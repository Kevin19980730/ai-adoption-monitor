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 (first-hand)" sheetId="2" state="visible" r:id="rId2"/>
    <sheet xmlns:r="http://schemas.openxmlformats.org/officeDocument/2006/relationships" name="First-hand vs PDF" sheetId="3" state="visible" r:id="rId3"/>
    <sheet xmlns:r="http://schemas.openxmlformats.org/officeDocument/2006/relationships" name="First-hand detail" sheetId="4" state="visible" r:id="rId4"/>
    <sheet xmlns:r="http://schemas.openxmlformats.org/officeDocument/2006/relationships" name="Chart points" sheetId="5" state="visible" r:id="rId5"/>
    <sheet xmlns:r="http://schemas.openxmlformats.org/officeDocument/2006/relationships" name="Annual" sheetId="6" state="visible" r:id="rId6"/>
    <sheet xmlns:r="http://schemas.openxmlformats.org/officeDocument/2006/relationships" name="Hyperscalers" sheetId="7" state="visible" r:id="rId7"/>
    <sheet xmlns:r="http://schemas.openxmlformats.org/officeDocument/2006/relationships" name="Oracle fiscal quarters" sheetId="8" state="visible" r:id="rId8"/>
    <sheet xmlns:r="http://schemas.openxmlformats.org/officeDocument/2006/relationships" name="Hyperscalers first-hand" sheetId="9" state="visible" r:id="rId9"/>
    <sheet xmlns:r="http://schemas.openxmlformats.org/officeDocument/2006/relationships" name="Annual (first-hand)" sheetId="10" state="visible" r:id="rId10"/>
    <sheet xmlns:r="http://schemas.openxmlformats.org/officeDocument/2006/relationships" name="Chart points (first-hand)" sheetId="11" state="visible" r:id="rId11"/>
    <sheet xmlns:r="http://schemas.openxmlformats.org/officeDocument/2006/relationships" name="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×&quot;"/>
    <numFmt numFmtId="165" formatCode="0.0"/>
    <numFmt numFmtId="166" formatCode="#,##0.0"/>
    <numFmt numFmtId="167" formatCode="0.000"/>
    <numFmt numFmtId="168" formatCode="+0.000;-0.000;0.000"/>
    <numFmt numFmtId="169" formatCode="+0.00;-0.00;0.00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sz val="14"/>
    </font>
    <font>
      <b val="1"/>
      <sz val="12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000000"/>
      <sz val="12"/>
    </font>
    <font>
      <name val="Arial"/>
      <color rgb="000000F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1" applyAlignment="1" pivotButton="0" quotePrefix="0" xfId="0">
      <alignment horizontal="left" vertical="bottom" wrapText="1"/>
    </xf>
    <xf numFmtId="0" fontId="1" fillId="0" borderId="1" applyAlignment="1" pivotButton="0" quotePrefix="0" xfId="0">
      <alignment horizontal="center" vertical="bottom" wrapText="1"/>
    </xf>
    <xf numFmtId="2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  <xf numFmtId="165" fontId="5" fillId="0" borderId="0" pivotButton="0" quotePrefix="0" xfId="0"/>
    <xf numFmtId="0" fontId="5" fillId="0" borderId="0" applyAlignment="1" pivotButton="0" quotePrefix="0" xfId="0">
      <alignment wrapText="1"/>
    </xf>
    <xf numFmtId="169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167" fontId="5" fillId="0" borderId="0" pivotButton="0" quotePrefix="0" xfId="0"/>
    <xf numFmtId="0" fontId="0" fillId="0" borderId="0" applyAlignment="1" pivotButton="0" quotePrefix="0" xfId="0">
      <alignment vertical="top" wrapText="1"/>
    </xf>
    <xf numFmtId="166" fontId="7" fillId="0" borderId="0" pivotButton="0" quotePrefix="0" xfId="0"/>
    <xf numFmtId="167" fontId="7" fillId="0" borderId="0" pivotButton="0" quotePrefix="0" xfId="0"/>
    <xf numFmtId="168" fontId="5" fillId="0" borderId="0" pivotButton="0" quotePrefix="0" xfId="0"/>
    <xf numFmtId="166" fontId="5" fillId="0" borderId="0" pivotButton="0" quotePrefix="0" xfId="0"/>
    <xf numFmtId="2" fontId="7" fillId="0" borderId="0" pivotButton="0" quotePrefix="0" xfId="0"/>
    <xf numFmtId="3" fontId="7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Exhibit 2 replica, 1970-2025: sector capex, % of US GDP</a:t>
            </a:r>
          </a:p>
        </rich>
      </tx>
      <overlay val="0"/>
    </title>
    <plotArea>
      <scatterChart>
        <ser>
          <idx val="0"/>
          <order val="0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points'!$C$24:$C$80</f>
            </numRef>
          </xVal>
          <yVal>
            <numRef>
              <f>'Chart points'!$E$24:$E$80</f>
            </numRef>
          </yVal>
          <smooth val="0"/>
        </ser>
        <ser>
          <idx val="1"/>
          <order val="1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points'!$C$81:$C$111</f>
            </numRef>
          </xVal>
          <yVal>
            <numRef>
              <f>'Chart points'!$E$81:$E$111</f>
            </numRef>
          </yVal>
          <smooth val="0"/>
        </ser>
        <ser>
          <idx val="2"/>
          <order val="2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points'!$C$112:$C$168</f>
            </numRef>
          </xVal>
          <yVal>
            <numRef>
              <f>'Chart points'!$E$112:$E$168</f>
            </numRef>
          </yVal>
          <smooth val="0"/>
        </ser>
        <ser>
          <idx val="3"/>
          <order val="3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points'!$C$169:$C$185</f>
            </numRef>
          </xVal>
          <yVal>
            <numRef>
              <f>'Chart points'!$E$169:$E$185</f>
            </numRef>
          </yVal>
          <smooth val="0"/>
        </ser>
        <ser>
          <idx val="4"/>
          <order val="4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points'!$C$186:$C$202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026"/>
          <min val="197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US railroads, 1899-1920: capex, % of GNP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points'!$C$2:$C$23</f>
            </numRef>
          </xVal>
          <yVal>
            <numRef>
              <f>'Chart points'!$E$2:$E$23</f>
            </numRef>
          </yVal>
          <smooth val="0"/>
        </ser>
        <axId val="10"/>
        <axId val="20"/>
      </scatterChart>
      <valAx>
        <axId val="10"/>
        <scaling>
          <orientation val="minMax"/>
          <max val="1920"/>
          <min val="1899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Six cycles aligned on their start: % of US GDP vs years since start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points'!$D$2:$D$23</f>
            </numRef>
          </xVal>
          <yVal>
            <numRef>
              <f>'Chart points'!$E$2:$E$23</f>
            </numRef>
          </yVal>
          <smooth val="0"/>
        </ser>
        <ser>
          <idx val="1"/>
          <order val="1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points'!$D$24:$D$80</f>
            </numRef>
          </xVal>
          <yVal>
            <numRef>
              <f>'Chart points'!$E$24:$E$80</f>
            </numRef>
          </yVal>
          <smooth val="0"/>
        </ser>
        <ser>
          <idx val="2"/>
          <order val="2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points'!$D$81:$D$111</f>
            </numRef>
          </xVal>
          <yVal>
            <numRef>
              <f>'Chart points'!$E$81:$E$111</f>
            </numRef>
          </yVal>
          <smooth val="0"/>
        </ser>
        <ser>
          <idx val="3"/>
          <order val="3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points'!$D$112:$D$168</f>
            </numRef>
          </xVal>
          <yVal>
            <numRef>
              <f>'Chart points'!$E$112:$E$168</f>
            </numRef>
          </yVal>
          <smooth val="0"/>
        </ser>
        <ser>
          <idx val="4"/>
          <order val="4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points'!$D$169:$D$185</f>
            </numRef>
          </xVal>
          <yVal>
            <numRef>
              <f>'Chart points'!$E$169:$E$185</f>
            </numRef>
          </yVal>
          <smooth val="0"/>
        </ser>
        <ser>
          <idx val="5"/>
          <order val="5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points'!$D$186:$D$202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2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replica, 1970-2026: sector capex, % of US GDP</a:t>
            </a:r>
          </a:p>
        </rich>
      </tx>
      <overlay val="0"/>
    </title>
    <plotArea>
      <scatterChart>
        <ser>
          <idx val="0"/>
          <order val="0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(first-hand)'!$C$24:$C$53</f>
            </numRef>
          </xVal>
          <yVal>
            <numRef>
              <f>'Chart points (first-hand)'!$E$24:$E$53</f>
            </numRef>
          </yVal>
          <smooth val="0"/>
        </ser>
        <ser>
          <idx val="1"/>
          <order val="1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(first-hand)'!$C$54:$C$71</f>
            </numRef>
          </xVal>
          <yVal>
            <numRef>
              <f>'Chart points (first-hand)'!$E$54:$E$71</f>
            </numRef>
          </yVal>
          <smooth val="0"/>
        </ser>
        <ser>
          <idx val="2"/>
          <order val="2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(first-hand)'!$C$72:$C$101</f>
            </numRef>
          </xVal>
          <yVal>
            <numRef>
              <f>'Chart points (first-hand)'!$E$72:$E$101</f>
            </numRef>
          </yVal>
          <smooth val="0"/>
        </ser>
        <ser>
          <idx val="3"/>
          <order val="3"/>
          <tx>
            <v>Five hyperscalers (first-hand)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(first-hand)'!$C$102:$C$119</f>
            </numRef>
          </xVal>
          <yVal>
            <numRef>
              <f>'Chart points (first-hand)'!$E$102:$E$119</f>
            </numRef>
          </yVal>
          <smooth val="0"/>
        </ser>
        <ser>
          <idx val="4"/>
          <order val="4"/>
          <tx>
            <v>Five + CoreWeave + Nebius + SpaceX AI (first-hand)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xVal>
            <numRef>
              <f>'Chart points (first-hand)'!$C$120:$C$124</f>
            </numRef>
          </xVal>
          <yVal>
            <numRef>
              <f>'Chart points (first-hand)'!$E$120:$E$124</f>
            </numRef>
          </yVal>
          <smooth val="0"/>
        </ser>
        <axId val="10"/>
        <axId val="20"/>
      </scatterChart>
      <valAx>
        <axId val="10"/>
        <scaling>
          <orientation val="minMax"/>
          <max val="2027"/>
          <min val="197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US railroads, 1899-1920 (first-hand): capex, % of GNP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(first-hand)'!$C$2:$C$23</f>
            </numRef>
          </xVal>
          <yVal>
            <numRef>
              <f>'Chart points (first-hand)'!$E$2:$E$23</f>
            </numRef>
          </yVal>
          <smooth val="0"/>
        </ser>
        <axId val="10"/>
        <axId val="20"/>
      </scatterChart>
      <valAx>
        <axId val="10"/>
        <scaling>
          <orientation val="minMax"/>
          <max val="1920"/>
          <min val="1899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Cycles aligned on their start (first-hand): % of US GDP vs years since start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(first-hand)'!$D$2:$D$23</f>
            </numRef>
          </xVal>
          <yVal>
            <numRef>
              <f>'Chart points (first-hand)'!$E$2:$E$23</f>
            </numRef>
          </yVal>
          <smooth val="0"/>
        </ser>
        <ser>
          <idx val="1"/>
          <order val="1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(first-hand)'!$D$24:$D$53</f>
            </numRef>
          </xVal>
          <yVal>
            <numRef>
              <f>'Chart points (first-hand)'!$E$24:$E$53</f>
            </numRef>
          </yVal>
          <smooth val="0"/>
        </ser>
        <ser>
          <idx val="2"/>
          <order val="2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(first-hand)'!$D$54:$D$71</f>
            </numRef>
          </xVal>
          <yVal>
            <numRef>
              <f>'Chart points (first-hand)'!$E$54:$E$71</f>
            </numRef>
          </yVal>
          <smooth val="0"/>
        </ser>
        <ser>
          <idx val="3"/>
          <order val="3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(first-hand)'!$D$72:$D$101</f>
            </numRef>
          </xVal>
          <yVal>
            <numRef>
              <f>'Chart points (first-hand)'!$E$72:$E$101</f>
            </numRef>
          </yVal>
          <smooth val="0"/>
        </ser>
        <ser>
          <idx val="4"/>
          <order val="4"/>
          <tx>
            <v>Five hyperscalers (first-hand)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 (first-hand)'!$D$102:$D$119</f>
            </numRef>
          </xVal>
          <yVal>
            <numRef>
              <f>'Chart points (first-hand)'!$E$102:$E$119</f>
            </numRef>
          </yVal>
          <smooth val="0"/>
        </ser>
        <ser>
          <idx val="5"/>
          <order val="5"/>
          <tx>
            <v>Five + CoreWeave + Nebius + SpaceX AI (first-hand)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prstDash val="solid"/>
              </a:ln>
            </spPr>
          </marker>
          <xVal>
            <numRef>
              <f>'Chart points (first-hand)'!$D$120:$D$124</f>
            </numRef>
          </xVal>
          <yVal>
            <numRef>
              <f>'Chart points (first-hand)'!$E$120:$E$124</f>
            </numRef>
          </yVal>
          <smooth val="0"/>
        </ser>
        <axId val="10"/>
        <axId val="20"/>
      </scatterChart>
      <valAx>
        <axId val="10"/>
        <scaling>
          <orientation val="minMax"/>
          <max val="22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hyperscaler capex, TTM, % of US GDP</a:t>
            </a:r>
          </a:p>
        </rich>
      </tx>
      <overlay val="0"/>
    </title>
    <plotArea>
      <lineChart>
        <grouping val="standard"/>
        <ser>
          <idx val="0"/>
          <order val="0"/>
          <tx>
            <v>Five hyperscalers (MSFT, GOOGL, AMZN, META, ORCL)</v>
          </tx>
          <spPr>
            <a:ln xmlns:a="http://schemas.openxmlformats.org/drawingml/2006/main" w="28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first-hand'!$K$5:$K$27</f>
            </numRef>
          </val>
          <smooth val="0"/>
        </ser>
        <ser>
          <idx val="1"/>
          <order val="1"/>
          <tx>
            <v>Five + CoreWeave + Nebius + SpaceX AI (where reported periods allow)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7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first-hand'!$S$5:$S$27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0"/>
        <lblOffset val="100"/>
        <tickLblSkip val="4"/>
        <tickMarkSkip val="4"/>
      </catAx>
      <valAx>
        <axId val="100"/>
        <scaling>
          <orientation val="minMax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First-hand hyperscaler capex, TTM, $bn</a:t>
            </a:r>
          </a:p>
        </rich>
      </tx>
      <overlay val="0"/>
    </title>
    <plotArea>
      <lineChart>
        <grouping val="standard"/>
        <ser>
          <idx val="0"/>
          <order val="0"/>
          <tx>
            <v>Five hyperscalers (MSFT, GOOGL, AMZN, META, ORCL)</v>
          </tx>
          <spPr>
            <a:ln xmlns:a="http://schemas.openxmlformats.org/drawingml/2006/main" w="28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first-hand'!$I$5:$I$27</f>
            </numRef>
          </val>
          <smooth val="0"/>
        </ser>
        <ser>
          <idx val="1"/>
          <order val="1"/>
          <tx>
            <v>Five + CoreWeave + Nebius + SpaceX AI (where reported periods allow)</v>
          </tx>
          <spPr>
            <a:ln xmlns:a="http://schemas.openxmlformats.org/drawingml/2006/main" w="28000">
              <a:solidFill>
                <a:srgbClr val="8A5CD6"/>
              </a:solidFill>
              <a:prstDash val="dash"/>
            </a:ln>
          </spPr>
          <marker>
            <symbol val="circle"/>
            <size val="7"/>
            <spPr>
              <a:solidFill xmlns:a="http://schemas.openxmlformats.org/drawingml/2006/main">
                <a:srgbClr val="8A5CD6"/>
              </a:solidFill>
              <a:ln xmlns:a="http://schemas.openxmlformats.org/drawingml/2006/main">
                <a:solidFill>
                  <a:srgbClr val="8A5CD6"/>
                </a:solidFill>
                <a:prstDash val="solid"/>
              </a:ln>
            </spPr>
          </marker>
          <cat>
            <numRef>
              <f>'Hyperscalers first-hand'!$A$5:$A$27</f>
            </numRef>
          </cat>
          <val>
            <numRef>
              <f>'Hyperscalers first-hand'!$R$5:$R$27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0"/>
        <lblOffset val="100"/>
        <tickLblSkip val="4"/>
        <tickMarkSkip val="4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43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34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43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35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33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33</row>
      <rowOff>0</rowOff>
    </from>
    <ext cx="61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rstHand" displayName="FirstHand" ref="A1:L79" headerRowCount="1">
  <autoFilter ref="A1:L79"/>
  <tableColumns count="12">
    <tableColumn id="1" name="Series"/>
    <tableColumn id="2" name="Period"/>
    <tableColumn id="3" name="Numerator"/>
    <tableColumn id="4" name="Numerator unit"/>
    <tableColumn id="5" name="Denominator"/>
    <tableColumn id="6" name="Denominator unit"/>
    <tableColumn id="7" name="Scale"/>
    <tableColumn id="8" name="First-hand (% GDP)"/>
    <tableColumn id="9" name="PDF vector (% GDP)"/>
    <tableColumn id="10" name="Difference (pp)"/>
    <tableColumn id="11" name="|Difference|"/>
    <tableColumn id="12" name="First-hand source"/>
  </tableColumns>
  <tableStyleInfo name="TableStyleLight1" showRowStripes="0"/>
</table>
</file>

<file path=xl/tables/table2.xml><?xml version="1.0" encoding="utf-8"?>
<table xmlns="http://schemas.openxmlformats.org/spreadsheetml/2006/main" id="2" name="ChartPoints" displayName="ChartPoints" ref="A1:F202" headerRowCount="1">
  <autoFilter ref="A1:F202"/>
  <tableColumns count="6">
    <tableColumn id="1" name="Series"/>
    <tableColumn id="2" name="Label"/>
    <tableColumn id="3" name="Chart position (year)"/>
    <tableColumn id="4" name="Years since cycle start"/>
    <tableColumn id="5" name="% of US GDP"/>
    <tableColumn id="6" name="Year (annual series)"/>
  </tableColumns>
  <tableStyleInfo name="TableStyleLight1" showRowStripes="0"/>
</table>
</file>

<file path=xl/tables/table3.xml><?xml version="1.0" encoding="utf-8"?>
<table xmlns="http://schemas.openxmlformats.org/spreadsheetml/2006/main" id="3" name="Annual" displayName="Annual" ref="A1:E60" headerRowCount="1">
  <autoFilter ref="A1:E60"/>
  <tableColumns count="5">
    <tableColumn id="1" name="Year"/>
    <tableColumn id="2" name="US railroads (1900 onwards)"/>
    <tableColumn id="3" name="O&amp;G (1970-80s)"/>
    <tableColumn id="4" name="Telecoms (1990s)"/>
    <tableColumn id="5" name="O&amp;G (Shale)"/>
  </tableColumns>
  <tableStyleInfo name="TableStyleLight1" showRowStripes="0"/>
</table>
</file>

<file path=xl/tables/table4.xml><?xml version="1.0" encoding="utf-8"?>
<table xmlns="http://schemas.openxmlformats.org/spreadsheetml/2006/main" id="4" name="Hyperscalers" displayName="Hyperscalers" ref="A1:E18" headerRowCount="1">
  <autoFilter ref="A1:E18"/>
  <tableColumns count="5">
    <tableColumn id="1" name="Trailing 4 quarters to"/>
    <tableColumn id="2" name="Position (year)"/>
    <tableColumn id="3" name="Hyperscalers"/>
    <tableColumn id="4" name="Hyperscalers (lease adjusted)"/>
    <tableColumn id="5" name="Lease adjustment (pp)"/>
  </tableColumns>
  <tableStyleInfo name="TableStyleLight1" showRowStripes="0"/>
</table>
</file>

<file path=xl/tables/table5.xml><?xml version="1.0" encoding="utf-8"?>
<table xmlns="http://schemas.openxmlformats.org/spreadsheetml/2006/main" id="5" name="HyperQuarterly" displayName="HyperQuarterly" ref="A1:S27" headerRowCount="1">
  <autoFilter ref="A1:S27"/>
  <tableColumns count="19">
    <tableColumn id="1" name="Calendar quarter"/>
    <tableColumn id="2" name="MSFT"/>
    <tableColumn id="3" name="GOOGL"/>
    <tableColumn id="4" name="AMZN"/>
    <tableColumn id="5" name="META"/>
    <tableColumn id="6" name="ORCL (calendarised)"/>
    <tableColumn id="7" name="Capex, 5 names"/>
    <tableColumn id="8" name="BEA GDP, SAAR"/>
    <tableColumn id="9" name="TTM capex"/>
    <tableColumn id="10" name="TTM GDP"/>
    <tableColumn id="11" name="TTM capex % of GDP"/>
    <tableColumn id="12" name="BofA chart (PDF)"/>
    <tableColumn id="13" name="BofA - first-hand (pp)"/>
    <tableColumn id="14" name="CoreWeave"/>
    <tableColumn id="15" name="Nebius"/>
    <tableColumn id="16" name="SpaceX AI segment"/>
    <tableColumn id="17" name="Reported period (if not one quarter)"/>
    <tableColumn id="18" name="TTM capex, 8 names"/>
    <tableColumn id="19" name="TTM 8 names % of GDP"/>
  </tableColumns>
  <tableStyleInfo name="TableStyleLight1" showRowStripes="0"/>
</table>
</file>

<file path=xl/tables/table6.xml><?xml version="1.0" encoding="utf-8"?>
<table xmlns="http://schemas.openxmlformats.org/spreadsheetml/2006/main" id="6" name="AnnualFirstHand" displayName="AnnualFirstHand" ref="A1:E60" headerRowCount="1">
  <autoFilter ref="A1:E60"/>
  <tableColumns count="5">
    <tableColumn id="1" name="Year"/>
    <tableColumn id="2" name="US railroads (1900 onwards)"/>
    <tableColumn id="3" name="O&amp;G (1970-80s)"/>
    <tableColumn id="4" name="Telecoms (1990s)"/>
    <tableColumn id="5" name="O&amp;G (Shale)"/>
  </tableColumns>
  <tableStyleInfo name="TableStyleLight1" showRowStripes="0"/>
</table>
</file>

<file path=xl/tables/table7.xml><?xml version="1.0" encoding="utf-8"?>
<table xmlns="http://schemas.openxmlformats.org/spreadsheetml/2006/main" id="7" name="ChartPointsFirstHand" displayName="ChartPointsFirstHand" ref="A1:E124" headerRowCount="1">
  <autoFilter ref="A1:E124"/>
  <tableColumns count="5">
    <tableColumn id="1" name="Series"/>
    <tableColumn id="2" name="Label"/>
    <tableColumn id="3" name="Calendar position (year)"/>
    <tableColumn id="4" name="Years since cycle start"/>
    <tableColumn id="5" name="% of US GDP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9" customWidth="1" min="5" max="5"/>
    <col width="14" customWidth="1" min="6" max="6"/>
    <col width="10" customWidth="1" min="7" max="7"/>
    <col width="11" customWidth="1" min="8" max="8"/>
    <col width="14" customWidth="1" min="9" max="9"/>
    <col width="13" customWidth="1" min="10" max="10"/>
  </cols>
  <sheetData>
    <row r="1">
      <c r="A1" s="1" t="inlineStr">
        <is>
          <t>BofA Exhibit 2: Hyperscaler capex is late cycle, measured at a macro level</t>
        </is>
      </c>
    </row>
    <row r="2">
      <c r="A2" s="2" t="inlineStr">
        <is>
          <t>Sector capex as % of US GDP through each cycle's speculative build phase. Values read exactly from the PDF's vector chart.</t>
        </is>
      </c>
    </row>
    <row r="3"/>
    <row r="4">
      <c r="A4" s="3" t="inlineStr">
        <is>
          <t>Cycle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Start value</t>
        </is>
      </c>
      <c r="E4" s="4" t="inlineStr">
        <is>
          <t>Peak</t>
        </is>
      </c>
      <c r="F4" s="4" t="inlineStr">
        <is>
          <t>Peak year / quarter</t>
        </is>
      </c>
      <c r="G4" s="4" t="inlineStr">
        <is>
          <t>Last value</t>
        </is>
      </c>
      <c r="H4" s="4" t="inlineStr">
        <is>
          <t>Peak ÷ start</t>
        </is>
      </c>
      <c r="I4" s="4" t="inlineStr">
        <is>
          <t>Fall from peak to last</t>
        </is>
      </c>
      <c r="J4" s="4" t="inlineStr">
        <is>
          <t>Years start → peak</t>
        </is>
      </c>
    </row>
    <row r="5">
      <c r="A5" s="2" t="inlineStr">
        <is>
          <t>US railroads (1900 onwards)</t>
        </is>
      </c>
      <c r="B5" s="2">
        <f>_xlfn.MINIFS(Annual!A2:A60,Annual!B2:B60,"&lt;&gt;")</f>
        <v/>
      </c>
      <c r="C5" s="2">
        <f>_xlfn.MAXIFS(Annual!A2:A60,Annual!B2:B60,"&lt;&gt;")</f>
        <v/>
      </c>
      <c r="D5" s="5">
        <f>INDEX(Annual!B2:B60,MATCH(B5,Annual!A2:A60,0))</f>
        <v/>
      </c>
      <c r="E5" s="5">
        <f>MAX(Annual!B2:B60)</f>
        <v/>
      </c>
      <c r="F5" s="2">
        <f>INDEX(Annual!A2:A60,MATCH(E5,Annual!B2:B60,0))</f>
        <v/>
      </c>
      <c r="G5" s="5">
        <f>INDEX(Annual!B2:B60,MATCH(C5,Annual!A2:A60,0))</f>
        <v/>
      </c>
      <c r="H5" s="6">
        <f>E5/D5</f>
        <v/>
      </c>
      <c r="I5" s="7">
        <f>G5/E5-1</f>
        <v/>
      </c>
      <c r="J5" s="8">
        <f>F5-B5</f>
        <v/>
      </c>
    </row>
    <row r="6">
      <c r="A6" s="2" t="inlineStr">
        <is>
          <t>O&amp;G (1970-80s)</t>
        </is>
      </c>
      <c r="B6" s="2">
        <f>_xlfn.MINIFS(Annual!A2:A60,Annual!C2:C60,"&lt;&gt;")</f>
        <v/>
      </c>
      <c r="C6" s="2">
        <f>_xlfn.MAXIFS(Annual!A2:A60,Annual!C2:C60,"&lt;&gt;")</f>
        <v/>
      </c>
      <c r="D6" s="5">
        <f>INDEX(Annual!C2:C60,MATCH(B6,Annual!A2:A60,0))</f>
        <v/>
      </c>
      <c r="E6" s="5">
        <f>MAX(Annual!C2:C60)</f>
        <v/>
      </c>
      <c r="F6" s="2">
        <f>INDEX(Annual!A2:A60,MATCH(E6,Annual!C2:C60,0))</f>
        <v/>
      </c>
      <c r="G6" s="5">
        <f>INDEX(Annual!C2:C60,MATCH(C6,Annual!A2:A60,0))</f>
        <v/>
      </c>
      <c r="H6" s="6">
        <f>E6/D6</f>
        <v/>
      </c>
      <c r="I6" s="7">
        <f>G6/E6-1</f>
        <v/>
      </c>
      <c r="J6" s="8">
        <f>F6-B6</f>
        <v/>
      </c>
    </row>
    <row r="7">
      <c r="A7" s="2" t="inlineStr">
        <is>
          <t>Telecoms (1990s)</t>
        </is>
      </c>
      <c r="B7" s="2">
        <f>_xlfn.MINIFS(Annual!A2:A60,Annual!D2:D60,"&lt;&gt;")</f>
        <v/>
      </c>
      <c r="C7" s="2">
        <f>_xlfn.MAXIFS(Annual!A2:A60,Annual!D2:D60,"&lt;&gt;")</f>
        <v/>
      </c>
      <c r="D7" s="5">
        <f>INDEX(Annual!D2:D60,MATCH(B7,Annual!A2:A60,0))</f>
        <v/>
      </c>
      <c r="E7" s="5">
        <f>MAX(Annual!D2:D60)</f>
        <v/>
      </c>
      <c r="F7" s="2">
        <f>INDEX(Annual!A2:A60,MATCH(E7,Annual!D2:D60,0))</f>
        <v/>
      </c>
      <c r="G7" s="5">
        <f>INDEX(Annual!D2:D60,MATCH(C7,Annual!A2:A60,0))</f>
        <v/>
      </c>
      <c r="H7" s="6">
        <f>E7/D7</f>
        <v/>
      </c>
      <c r="I7" s="7">
        <f>G7/E7-1</f>
        <v/>
      </c>
      <c r="J7" s="8">
        <f>F7-B7</f>
        <v/>
      </c>
    </row>
    <row r="8">
      <c r="A8" s="2" t="inlineStr">
        <is>
          <t>O&amp;G (Shale)</t>
        </is>
      </c>
      <c r="B8" s="2">
        <f>_xlfn.MINIFS(Annual!A2:A60,Annual!E2:E60,"&lt;&gt;")</f>
        <v/>
      </c>
      <c r="C8" s="2">
        <f>_xlfn.MAXIFS(Annual!A2:A60,Annual!E2:E60,"&lt;&gt;")</f>
        <v/>
      </c>
      <c r="D8" s="5">
        <f>INDEX(Annual!E2:E60,MATCH(B8,Annual!A2:A60,0))</f>
        <v/>
      </c>
      <c r="E8" s="5">
        <f>MAX(Annual!E2:E60)</f>
        <v/>
      </c>
      <c r="F8" s="2">
        <f>INDEX(Annual!A2:A60,MATCH(E8,Annual!E2:E60,0))</f>
        <v/>
      </c>
      <c r="G8" s="5">
        <f>INDEX(Annual!E2:E60,MATCH(C8,Annual!A2:A60,0))</f>
        <v/>
      </c>
      <c r="H8" s="6">
        <f>E8/D8</f>
        <v/>
      </c>
      <c r="I8" s="7">
        <f>G8/E8-1</f>
        <v/>
      </c>
      <c r="J8" s="8">
        <f>F8-B8</f>
        <v/>
      </c>
    </row>
    <row r="9">
      <c r="A9" s="2" t="inlineStr">
        <is>
          <t>Hyperscalers</t>
        </is>
      </c>
      <c r="B9" s="2">
        <f>MIN(Hyperscalers!B2:B18)</f>
        <v/>
      </c>
      <c r="C9" s="2">
        <f>MAX(Hyperscalers!B2:B18)</f>
        <v/>
      </c>
      <c r="D9" s="5">
        <f>INDEX(Hyperscalers!C2:C18,1)</f>
        <v/>
      </c>
      <c r="E9" s="5">
        <f>MAX(Hyperscalers!C2:C18)</f>
        <v/>
      </c>
      <c r="F9" s="2">
        <f>INDEX(Hyperscalers!A2:A18,MATCH(E9,Hyperscalers!C2:C18,0))</f>
        <v/>
      </c>
      <c r="G9" s="5">
        <f>INDEX(Hyperscalers!C2:C18,ROWS(Hyperscalers!C2:C18))</f>
        <v/>
      </c>
      <c r="H9" s="6">
        <f>E9/D9</f>
        <v/>
      </c>
      <c r="I9" s="7">
        <f>G9/E9-1</f>
        <v/>
      </c>
      <c r="J9" s="8">
        <f>INDEX(Hyperscalers!B2:B18,MATCH(E9,Hyperscalers!C2:C18,0))-B9</f>
        <v/>
      </c>
    </row>
    <row r="10">
      <c r="A10" s="2" t="inlineStr">
        <is>
          <t>Hyperscalers (lease adjusted)</t>
        </is>
      </c>
      <c r="B10" s="2">
        <f>MIN(Hyperscalers!B2:B18)</f>
        <v/>
      </c>
      <c r="C10" s="2">
        <f>MAX(Hyperscalers!B2:B18)</f>
        <v/>
      </c>
      <c r="D10" s="5">
        <f>INDEX(Hyperscalers!D2:D18,1)</f>
        <v/>
      </c>
      <c r="E10" s="5">
        <f>MAX(Hyperscalers!D2:D18)</f>
        <v/>
      </c>
      <c r="F10" s="2">
        <f>INDEX(Hyperscalers!A2:A18,MATCH(E10,Hyperscalers!D2:D18,0))</f>
        <v/>
      </c>
      <c r="G10" s="5">
        <f>INDEX(Hyperscalers!D2:D18,ROWS(Hyperscalers!D2:D18))</f>
        <v/>
      </c>
      <c r="H10" s="6">
        <f>E10/D10</f>
        <v/>
      </c>
      <c r="I10" s="7">
        <f>G10/E10-1</f>
        <v/>
      </c>
      <c r="J10" s="8">
        <f>INDEX(Hyperscalers!B2:B18,MATCH(E10,Hyperscalers!D2:D18,0))-B10</f>
        <v/>
      </c>
    </row>
    <row r="11"/>
    <row r="12">
      <c r="A12" s="9" t="inlineStr">
        <is>
          <t>Hyperscaler start/end are quarterly chart positions (2021.5 = mid-2021). Annual series: each year's value is drawn from mid-year Y-1 to Q1 of Y; the year column uses Y.</t>
        </is>
      </c>
    </row>
    <row r="13"/>
  </sheetData>
  <mergeCells count="1">
    <mergeCell ref="A12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1" customWidth="1" min="4" max="4"/>
    <col width="9" customWidth="1" min="5" max="5"/>
    <col width="14" customWidth="1" min="6" max="6"/>
    <col width="10" customWidth="1" min="7" max="7"/>
    <col width="11" customWidth="1" min="8" max="8"/>
    <col width="14" customWidth="1" min="9" max="9"/>
    <col width="13" customWidth="1" min="10" max="10"/>
    <col width="12" customWidth="1" min="11" max="11"/>
    <col width="14" customWidth="1" min="12" max="12"/>
  </cols>
  <sheetData>
    <row r="1">
      <c r="A1" s="1" t="inlineStr">
        <is>
          <t>Exhibit 2 rebuilt from first-hand data: sector capex as % of US GDP</t>
        </is>
      </c>
    </row>
    <row r="2">
      <c r="A2" s="2" t="inlineStr">
        <is>
          <t>Same layout as Summary, but every number comes from the primary sources (NBER tables, BEA Fixed Assets and NIPA, SEC filings, SpaceX prospectus) via the First-hand detail and Hyperscalers first-hand sheets - no BofA input.</t>
        </is>
      </c>
    </row>
    <row r="3"/>
    <row r="4">
      <c r="A4" s="3" t="inlineStr">
        <is>
          <t>Cycle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Start value</t>
        </is>
      </c>
      <c r="E4" s="4" t="inlineStr">
        <is>
          <t>Peak</t>
        </is>
      </c>
      <c r="F4" s="4" t="inlineStr">
        <is>
          <t>Peak year / quarter</t>
        </is>
      </c>
      <c r="G4" s="4" t="inlineStr">
        <is>
          <t>Last value</t>
        </is>
      </c>
      <c r="H4" s="4" t="inlineStr">
        <is>
          <t>Peak ÷ start</t>
        </is>
      </c>
      <c r="I4" s="4" t="inlineStr">
        <is>
          <t>Fall from peak to last</t>
        </is>
      </c>
      <c r="J4" s="4" t="inlineStr">
        <is>
          <t>Years start → peak</t>
        </is>
      </c>
      <c r="K4" s="4" t="inlineStr">
        <is>
          <t>BofA exhibit peak</t>
        </is>
      </c>
      <c r="L4" s="4" t="inlineStr">
        <is>
          <t>Peak: first-hand - BofA (pp)</t>
        </is>
      </c>
    </row>
    <row r="5">
      <c r="A5" s="2" t="inlineStr">
        <is>
          <t>US railroads (1900 onwards) (first-hand)</t>
        </is>
      </c>
      <c r="B5" s="2">
        <f>_xlfn.MINIFS('Annual (first-hand)'!A2:A60,'Annual (first-hand)'!B2:B60,"&lt;&gt;")</f>
        <v/>
      </c>
      <c r="C5" s="2">
        <f>_xlfn.MAXIFS('Annual (first-hand)'!A2:A60,'Annual (first-hand)'!B2:B60,"&lt;&gt;")</f>
        <v/>
      </c>
      <c r="D5" s="5">
        <f>INDEX('Annual (first-hand)'!B2:B60,MATCH(B5,'Annual (first-hand)'!A2:A60,0))</f>
        <v/>
      </c>
      <c r="E5" s="5">
        <f>MAX('Annual (first-hand)'!B2:B60)</f>
        <v/>
      </c>
      <c r="F5" s="2">
        <f>INDEX('Annual (first-hand)'!A2:A60,MATCH(E5,'Annual (first-hand)'!B2:B60,0))</f>
        <v/>
      </c>
      <c r="G5" s="5">
        <f>INDEX('Annual (first-hand)'!B2:B60,MATCH(C5,'Annual (first-hand)'!A2:A60,0))</f>
        <v/>
      </c>
      <c r="H5" s="6">
        <f>E5/D5</f>
        <v/>
      </c>
      <c r="I5" s="7">
        <f>G5/E5-1</f>
        <v/>
      </c>
      <c r="J5" s="8">
        <f>F5-B5</f>
        <v/>
      </c>
      <c r="K5" s="5">
        <f>Summary!E5</f>
        <v/>
      </c>
      <c r="L5" s="10">
        <f>E5-K5</f>
        <v/>
      </c>
    </row>
    <row r="6">
      <c r="A6" s="2" t="inlineStr">
        <is>
          <t>O&amp;G (1970-80s) (first-hand)</t>
        </is>
      </c>
      <c r="B6" s="2">
        <f>_xlfn.MINIFS('Annual (first-hand)'!A2:A60,'Annual (first-hand)'!C2:C60,"&lt;&gt;")</f>
        <v/>
      </c>
      <c r="C6" s="2">
        <f>_xlfn.MAXIFS('Annual (first-hand)'!A2:A60,'Annual (first-hand)'!C2:C60,"&lt;&gt;")</f>
        <v/>
      </c>
      <c r="D6" s="5">
        <f>INDEX('Annual (first-hand)'!C2:C60,MATCH(B6,'Annual (first-hand)'!A2:A60,0))</f>
        <v/>
      </c>
      <c r="E6" s="5">
        <f>MAX('Annual (first-hand)'!C2:C60)</f>
        <v/>
      </c>
      <c r="F6" s="2">
        <f>INDEX('Annual (first-hand)'!A2:A60,MATCH(E6,'Annual (first-hand)'!C2:C60,0))</f>
        <v/>
      </c>
      <c r="G6" s="5">
        <f>INDEX('Annual (first-hand)'!C2:C60,MATCH(C6,'Annual (first-hand)'!A2:A60,0))</f>
        <v/>
      </c>
      <c r="H6" s="6">
        <f>E6/D6</f>
        <v/>
      </c>
      <c r="I6" s="7">
        <f>G6/E6-1</f>
        <v/>
      </c>
      <c r="J6" s="8">
        <f>F6-B6</f>
        <v/>
      </c>
      <c r="K6" s="5">
        <f>Summary!E6</f>
        <v/>
      </c>
      <c r="L6" s="10">
        <f>E6-K6</f>
        <v/>
      </c>
    </row>
    <row r="7">
      <c r="A7" s="2" t="inlineStr">
        <is>
          <t>Telecoms (1990s) (first-hand)</t>
        </is>
      </c>
      <c r="B7" s="2">
        <f>_xlfn.MINIFS('Annual (first-hand)'!A2:A60,'Annual (first-hand)'!D2:D60,"&lt;&gt;")</f>
        <v/>
      </c>
      <c r="C7" s="2">
        <f>_xlfn.MAXIFS('Annual (first-hand)'!A2:A60,'Annual (first-hand)'!D2:D60,"&lt;&gt;")</f>
        <v/>
      </c>
      <c r="D7" s="5">
        <f>INDEX('Annual (first-hand)'!D2:D60,MATCH(B7,'Annual (first-hand)'!A2:A60,0))</f>
        <v/>
      </c>
      <c r="E7" s="5">
        <f>MAX('Annual (first-hand)'!D2:D60)</f>
        <v/>
      </c>
      <c r="F7" s="2">
        <f>INDEX('Annual (first-hand)'!A2:A60,MATCH(E7,'Annual (first-hand)'!D2:D60,0))</f>
        <v/>
      </c>
      <c r="G7" s="5">
        <f>INDEX('Annual (first-hand)'!D2:D60,MATCH(C7,'Annual (first-hand)'!A2:A60,0))</f>
        <v/>
      </c>
      <c r="H7" s="6">
        <f>E7/D7</f>
        <v/>
      </c>
      <c r="I7" s="7">
        <f>G7/E7-1</f>
        <v/>
      </c>
      <c r="J7" s="8">
        <f>F7-B7</f>
        <v/>
      </c>
      <c r="K7" s="5">
        <f>Summary!E7</f>
        <v/>
      </c>
      <c r="L7" s="10">
        <f>E7-K7</f>
        <v/>
      </c>
    </row>
    <row r="8">
      <c r="A8" s="2" t="inlineStr">
        <is>
          <t>O&amp;G (Shale) (first-hand)</t>
        </is>
      </c>
      <c r="B8" s="2">
        <f>_xlfn.MINIFS('Annual (first-hand)'!A2:A60,'Annual (first-hand)'!E2:E60,"&lt;&gt;")</f>
        <v/>
      </c>
      <c r="C8" s="2">
        <f>_xlfn.MAXIFS('Annual (first-hand)'!A2:A60,'Annual (first-hand)'!E2:E60,"&lt;&gt;")</f>
        <v/>
      </c>
      <c r="D8" s="5">
        <f>INDEX('Annual (first-hand)'!E2:E60,MATCH(B8,'Annual (first-hand)'!A2:A60,0))</f>
        <v/>
      </c>
      <c r="E8" s="5">
        <f>MAX('Annual (first-hand)'!E2:E60)</f>
        <v/>
      </c>
      <c r="F8" s="2">
        <f>INDEX('Annual (first-hand)'!A2:A60,MATCH(E8,'Annual (first-hand)'!E2:E60,0))</f>
        <v/>
      </c>
      <c r="G8" s="5">
        <f>INDEX('Annual (first-hand)'!E2:E60,MATCH(C8,'Annual (first-hand)'!A2:A60,0))</f>
        <v/>
      </c>
      <c r="H8" s="6">
        <f>E8/D8</f>
        <v/>
      </c>
      <c r="I8" s="7">
        <f>G8/E8-1</f>
        <v/>
      </c>
      <c r="J8" s="8">
        <f>F8-B8</f>
        <v/>
      </c>
      <c r="K8" s="5">
        <f>Summary!E8</f>
        <v/>
      </c>
      <c r="L8" s="10">
        <f>E8-K8</f>
        <v/>
      </c>
    </row>
    <row r="9">
      <c r="A9" s="2" t="inlineStr">
        <is>
          <t>Five hyperscalers (first-hand)</t>
        </is>
      </c>
      <c r="B9" s="2">
        <f>INDEX('Hyperscalers first-hand'!A10:A27,MATCH(TRUE,INDEX(ISNUMBER('Hyperscalers first-hand'!K10:K27),0),0))</f>
        <v/>
      </c>
      <c r="C9" s="2">
        <f>LOOKUP(2,1/ISNUMBER('Hyperscalers first-hand'!K10:K27),'Hyperscalers first-hand'!A10:A27)</f>
        <v/>
      </c>
      <c r="D9" s="5">
        <f>INDEX('Hyperscalers first-hand'!K10:K27,MATCH(TRUE,INDEX(ISNUMBER('Hyperscalers first-hand'!K10:K27),0),0))</f>
        <v/>
      </c>
      <c r="E9" s="5">
        <f>MAX('Hyperscalers first-hand'!K10:K27)</f>
        <v/>
      </c>
      <c r="F9" s="2">
        <f>INDEX('Hyperscalers first-hand'!A10:A27,MATCH(E9,'Hyperscalers first-hand'!K10:K27,0))</f>
        <v/>
      </c>
      <c r="G9" s="5">
        <f>LOOKUP(2,1/ISNUMBER('Hyperscalers first-hand'!K10:K27),'Hyperscalers first-hand'!K10:K27)</f>
        <v/>
      </c>
      <c r="H9" s="6">
        <f>E9/D9</f>
        <v/>
      </c>
      <c r="I9" s="7">
        <f>G9/E9-1</f>
        <v/>
      </c>
      <c r="J9" s="8">
        <f>(MATCH(E9,'Hyperscalers first-hand'!K10:K27,0)-MATCH(TRUE,INDEX(ISNUMBER('Hyperscalers first-hand'!K10:K27),0),0))/4</f>
        <v/>
      </c>
      <c r="K9" s="5">
        <f>Summary!E9</f>
        <v/>
      </c>
      <c r="L9" s="10">
        <f>E9-K9</f>
        <v/>
      </c>
    </row>
    <row r="10">
      <c r="A10" s="2" t="inlineStr">
        <is>
          <t>Five + CoreWeave + Nebius + SpaceX AI (first-hand)</t>
        </is>
      </c>
      <c r="B10" s="2">
        <f>INDEX('Hyperscalers first-hand'!A17:A27,MATCH(TRUE,INDEX(ISNUMBER('Hyperscalers first-hand'!S17:S27),0),0))</f>
        <v/>
      </c>
      <c r="C10" s="2">
        <f>LOOKUP(2,1/ISNUMBER('Hyperscalers first-hand'!S17:S27),'Hyperscalers first-hand'!A17:A27)</f>
        <v/>
      </c>
      <c r="D10" s="5">
        <f>INDEX('Hyperscalers first-hand'!S17:S27,MATCH(TRUE,INDEX(ISNUMBER('Hyperscalers first-hand'!S17:S27),0),0))</f>
        <v/>
      </c>
      <c r="E10" s="5">
        <f>MAX('Hyperscalers first-hand'!S17:S27)</f>
        <v/>
      </c>
      <c r="F10" s="2">
        <f>INDEX('Hyperscalers first-hand'!A17:A27,MATCH(E10,'Hyperscalers first-hand'!S17:S27,0))</f>
        <v/>
      </c>
      <c r="G10" s="5">
        <f>LOOKUP(2,1/ISNUMBER('Hyperscalers first-hand'!S17:S27),'Hyperscalers first-hand'!S17:S27)</f>
        <v/>
      </c>
      <c r="H10" s="6">
        <f>E10/D10</f>
        <v/>
      </c>
      <c r="I10" s="7">
        <f>G10/E10-1</f>
        <v/>
      </c>
      <c r="J10" s="8">
        <f>(MATCH(E10,'Hyperscalers first-hand'!S17:S27,0)-MATCH(TRUE,INDEX(ISNUMBER('Hyperscalers first-hand'!S17:S27),0),0))/4</f>
        <v/>
      </c>
    </row>
    <row r="11"/>
    <row r="12">
      <c r="A12" s="11" t="inlineStr">
        <is>
          <t>Annual series are calendar years (drawn as steps across each year). Hyperscalers are trailing-four-quarter capex over trailing-four-quarter GDP at the true quarter end, from the TTM to 2022Q1 (BofA's first point) to the latest filing; BofA draws the same numbers three quarters before their period end and stops at the TTM to 2026Q1, so its peak is one quarter older. BofA's lease-adjusted line cannot be rebuilt from filings; the second hyperscaler line adds CoreWeave, Nebius and SpaceX's AI segment instead, shown where the reported periods cover the four quarters (aligned on the five's start).</t>
        </is>
      </c>
    </row>
    <row r="13"/>
    <row r="14"/>
  </sheetData>
  <mergeCells count="1">
    <mergeCell ref="A12:L1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8" customWidth="1" min="3" max="3"/>
    <col width="13" customWidth="1" min="4" max="4"/>
    <col width="13" customWidth="1" min="5" max="5"/>
    <col width="22" customWidth="1" min="6" max="6"/>
  </cols>
  <sheetData>
    <row r="1">
      <c r="A1" s="12" t="inlineStr">
        <is>
          <t>Every panel rebuilt from the first-hand sources behind the footnote, compared with the PDF vector values</t>
        </is>
      </c>
    </row>
    <row r="2"/>
    <row r="3">
      <c r="A3" s="3" t="inlineStr">
        <is>
          <t>Panel</t>
        </is>
      </c>
      <c r="B3" s="4" t="inlineStr">
        <is>
          <t>First-hand definition</t>
        </is>
      </c>
      <c r="C3" s="4" t="inlineStr">
        <is>
          <t>Points</t>
        </is>
      </c>
      <c r="D3" s="4" t="inlineStr">
        <is>
          <t>Max |diff| (pp)</t>
        </is>
      </c>
      <c r="E3" s="4" t="inlineStr">
        <is>
          <t>Mean |diff| (pp)</t>
        </is>
      </c>
      <c r="F3" s="4" t="inlineStr">
        <is>
          <t>Verdict</t>
        </is>
      </c>
    </row>
    <row r="4">
      <c r="A4" s="2" t="inlineStr">
        <is>
          <t>Railroads</t>
        </is>
      </c>
      <c r="B4" s="2" t="inlineStr">
        <is>
          <t>NBER: Ulmer (1960) Table C-1 col.4 / Kuznets &amp; Jenks (1961) R-22 col.1, R-2 col.7 (1929 prices)</t>
        </is>
      </c>
      <c r="C4" s="13" t="n">
        <v>22</v>
      </c>
      <c r="D4" s="14">
        <f>_xlfn.MAXIFS('First-hand detail'!$K$2:$K$79,'First-hand detail'!$A$2:$A$79,"rail")</f>
        <v/>
      </c>
      <c r="E4" s="14">
        <f>AVERAGEIFS('First-hand detail'!$K$2:$K$79,'First-hand detail'!$A$2:$A$79,"rail")</f>
        <v/>
      </c>
      <c r="F4" s="2" t="inlineStr">
        <is>
          <t>Exact</t>
        </is>
      </c>
    </row>
    <row r="5">
      <c r="A5" s="2" t="inlineStr">
        <is>
          <t>O&amp;G 1970s-80s</t>
        </is>
      </c>
      <c r="B5" s="2" t="inlineStr">
        <is>
          <t>BEA Fixed Assets: investment by industry 2110+2130+4860, all assets / GDP</t>
        </is>
      </c>
      <c r="C5" s="13" t="n">
        <v>15</v>
      </c>
      <c r="D5" s="14">
        <f>_xlfn.MAXIFS('First-hand detail'!$K$2:$K$79,'First-hand detail'!$A$2:$A$79,"og70s")</f>
        <v/>
      </c>
      <c r="E5" s="14">
        <f>AVERAGEIFS('First-hand detail'!$K$2:$K$79,'First-hand detail'!$A$2:$A$79,"og70s")</f>
        <v/>
      </c>
      <c r="F5" s="2" t="inlineStr">
        <is>
          <t>Exact</t>
        </is>
      </c>
    </row>
    <row r="6">
      <c r="A6" s="2" t="inlineStr">
        <is>
          <t>O&amp;G shale</t>
        </is>
      </c>
      <c r="B6" s="2" t="inlineStr">
        <is>
          <t>BEA Fixed Assets: investment by industry 2110+2130+4860, all assets / GDP</t>
        </is>
      </c>
      <c r="C6" s="13" t="n">
        <v>15</v>
      </c>
      <c r="D6" s="14">
        <f>_xlfn.MAXIFS('First-hand detail'!$K$2:$K$79,'First-hand detail'!$A$2:$A$79,"shale")</f>
        <v/>
      </c>
      <c r="E6" s="14">
        <f>AVERAGEIFS('First-hand detail'!$K$2:$K$79,'First-hand detail'!$A$2:$A$79,"shale")</f>
        <v/>
      </c>
      <c r="F6" s="2" t="inlineStr">
        <is>
          <t>Exact</t>
        </is>
      </c>
    </row>
    <row r="7">
      <c r="A7" s="2" t="inlineStr">
        <is>
          <t>Telecoms</t>
        </is>
      </c>
      <c r="B7" s="2" t="inlineStr">
        <is>
          <t>BEA Fixed Assets: investment by industry 5130, all assets / GDP</t>
        </is>
      </c>
      <c r="C7" s="13" t="n">
        <v>9</v>
      </c>
      <c r="D7" s="14">
        <f>_xlfn.MAXIFS('First-hand detail'!$K$2:$K$79,'First-hand detail'!$A$2:$A$79,"telecom")</f>
        <v/>
      </c>
      <c r="E7" s="14">
        <f>AVERAGEIFS('First-hand detail'!$K$2:$K$79,'First-hand detail'!$A$2:$A$79,"telecom")</f>
        <v/>
      </c>
      <c r="F7" s="2" t="inlineStr">
        <is>
          <t>Exact</t>
        </is>
      </c>
    </row>
    <row r="8">
      <c r="A8" s="2" t="inlineStr">
        <is>
          <t>Hyperscalers</t>
        </is>
      </c>
      <c r="B8" s="2" t="inlineStr">
        <is>
          <t>SEC XBRL capex MSFT+GOOGL+AMZN+META+ORCL, TTM / BEA GDP TTM</t>
        </is>
      </c>
      <c r="C8" s="13" t="n">
        <v>17</v>
      </c>
      <c r="D8" s="14">
        <f>_xlfn.MAXIFS('First-hand detail'!$K$2:$K$79,'First-hand detail'!$A$2:$A$79,"hyper")</f>
        <v/>
      </c>
      <c r="E8" s="14">
        <f>AVERAGEIFS('First-hand detail'!$K$2:$K$79,'First-hand detail'!$A$2:$A$79,"hyper")</f>
        <v/>
      </c>
      <c r="F8" s="2" t="inlineStr">
        <is>
          <t>Matches (RMSE 0.017pp, Oracle calendarised)</t>
        </is>
      </c>
    </row>
    <row r="9" ht="45" customHeight="1">
      <c r="A9" s="11" t="inlineStr">
        <is>
          <t>Hyperscalers (lease adjusted)</t>
        </is>
      </c>
      <c r="B9" s="11" t="inlineStr">
        <is>
          <t>Not reproducible from filings: the gap to reported capex is 1-2.5x the finance-lease additions companies tag; finance + principal repayments or operating-lease additions do not fit either. Treat it as BofA's own estimate.</t>
        </is>
      </c>
      <c r="C9" s="15" t="n"/>
      <c r="D9" s="15" t="n"/>
      <c r="E9" s="15" t="n"/>
      <c r="F9" s="11" t="inlineStr">
        <is>
          <t>Not reproducible</t>
        </is>
      </c>
    </row>
    <row r="10"/>
    <row r="11">
      <c r="A11" s="2" t="inlineStr">
        <is>
          <t>Dating convention found in the process: every post-1970 point is drawn three quarters before the end of its four-quarter window (half a year before the start of its final quarter). A point drawn at position P</t>
        </is>
      </c>
    </row>
    <row r="12">
      <c r="A12" s="2" t="inlineStr">
        <is>
          <t>is the four quarters ending at P+0.75: the hyperscaler point drawn at mid-2021 is TTM to 2022Q1, the last one (mid-2025)</t>
        </is>
      </c>
    </row>
    <row r="13">
      <c r="A13" s="2" t="inlineStr">
        <is>
          <t>is TTM to 2026Q1. Annual year Y is drawn from Y-0.5 to Y+0.25 for the same reason.</t>
        </is>
      </c>
    </row>
    <row r="14">
      <c r="A14" s="2" t="inlineStr">
        <is>
          <t>O&amp;G is broader than drilling: BEA investment by the oil &amp; gas extraction, support-activities-for-mining and pipeline</t>
        </is>
      </c>
    </row>
    <row r="15">
      <c r="A15" s="2" t="inlineStr">
        <is>
          <t>industries, all asset types including intellectual property products. Telecoms is the broadcasting &amp; telecoms industry, all assets.</t>
        </is>
      </c>
    </row>
    <row r="16">
      <c r="A16" s="2" t="inlineStr">
        <is>
          <t>BEA vintage used here: Fixed Assets detailed investment updated 30 Sep 2026 and current NIPA GDP; identical to BofA's for these years.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30" customWidth="1" min="4" max="4"/>
    <col width="15" customWidth="1" min="5" max="5"/>
    <col width="30" customWidth="1" min="6" max="6"/>
    <col width="7" customWidth="1" min="7" max="7"/>
    <col width="12" customWidth="1" min="8" max="8"/>
    <col width="12" customWidth="1" min="9" max="9"/>
    <col width="11" customWidth="1" min="10" max="10"/>
    <col width="11" customWidth="1" min="11" max="11"/>
    <col width="80" customWidth="1" min="12" max="12"/>
  </cols>
  <sheetData>
    <row r="1">
      <c r="A1" s="3" t="inlineStr">
        <is>
          <t>Series</t>
        </is>
      </c>
      <c r="B1" s="4" t="inlineStr">
        <is>
          <t>Period</t>
        </is>
      </c>
      <c r="C1" s="4" t="inlineStr">
        <is>
          <t>Numerator</t>
        </is>
      </c>
      <c r="D1" s="4" t="inlineStr">
        <is>
          <t>Numerator unit</t>
        </is>
      </c>
      <c r="E1" s="4" t="inlineStr">
        <is>
          <t>Denominator</t>
        </is>
      </c>
      <c r="F1" s="4" t="inlineStr">
        <is>
          <t>Denominator unit</t>
        </is>
      </c>
      <c r="G1" s="4" t="inlineStr">
        <is>
          <t>Scale</t>
        </is>
      </c>
      <c r="H1" s="4" t="inlineStr">
        <is>
          <t>First-hand (% GDP)</t>
        </is>
      </c>
      <c r="I1" s="4" t="inlineStr">
        <is>
          <t>PDF vector (% GDP)</t>
        </is>
      </c>
      <c r="J1" s="4" t="inlineStr">
        <is>
          <t>Difference (pp)</t>
        </is>
      </c>
      <c r="K1" s="4" t="inlineStr">
        <is>
          <t>|Difference|</t>
        </is>
      </c>
      <c r="L1" s="4" t="inlineStr">
        <is>
          <t>First-hand source</t>
        </is>
      </c>
    </row>
    <row r="2">
      <c r="A2" s="2" t="inlineStr">
        <is>
          <t>rail</t>
        </is>
      </c>
      <c r="B2" s="2" t="inlineStr">
        <is>
          <t>1899</t>
        </is>
      </c>
      <c r="C2" s="16" t="n">
        <v>405</v>
      </c>
      <c r="D2" s="2" t="inlineStr">
        <is>
          <t>$m, 1929 prices (C-1 col.4)</t>
        </is>
      </c>
      <c r="E2" s="16" t="n">
        <v>34.6</v>
      </c>
      <c r="F2" s="2" t="inlineStr">
        <is>
          <t>$bn, 1929 prices (GNP Variant I)</t>
        </is>
      </c>
      <c r="G2" s="17" t="n">
        <v>0.001</v>
      </c>
      <c r="H2" s="14">
        <f>C2*G2/E2*100</f>
        <v/>
      </c>
      <c r="I2" s="17" t="n">
        <v>1.169</v>
      </c>
      <c r="J2" s="18">
        <f>I2-H2</f>
        <v/>
      </c>
      <c r="K2" s="14">
        <f>ABS(J2)</f>
        <v/>
      </c>
      <c r="L2" s="2" t="inlineStr">
        <is>
          <t>NBER: Ulmer (1960) Table C-1 col.4 / Kuznets &amp; Jenks (1961) R-22 col.1, R-2 col.7 (1929 prices)</t>
        </is>
      </c>
    </row>
    <row r="3">
      <c r="A3" s="2" t="inlineStr">
        <is>
          <t>rail</t>
        </is>
      </c>
      <c r="B3" s="2" t="inlineStr">
        <is>
          <t>1900</t>
        </is>
      </c>
      <c r="C3" s="16" t="n">
        <v>452</v>
      </c>
      <c r="D3" s="2" t="inlineStr">
        <is>
          <t>$m, 1929 prices (C-1 col.4)</t>
        </is>
      </c>
      <c r="E3" s="16" t="n">
        <v>36.2</v>
      </c>
      <c r="F3" s="2" t="inlineStr">
        <is>
          <t>$bn, 1929 prices (GNP Variant I)</t>
        </is>
      </c>
      <c r="G3" s="17" t="n">
        <v>0.001</v>
      </c>
      <c r="H3" s="14">
        <f>C3*G3/E3*100</f>
        <v/>
      </c>
      <c r="I3" s="17" t="n">
        <v>1.247</v>
      </c>
      <c r="J3" s="18">
        <f>I3-H3</f>
        <v/>
      </c>
      <c r="K3" s="14">
        <f>ABS(J3)</f>
        <v/>
      </c>
      <c r="L3" s="2" t="inlineStr">
        <is>
          <t>NBER: Ulmer (1960) Table C-1 col.4 / Kuznets &amp; Jenks (1961) R-22 col.1, R-2 col.7 (1929 prices)</t>
        </is>
      </c>
    </row>
    <row r="4">
      <c r="A4" s="2" t="inlineStr">
        <is>
          <t>rail</t>
        </is>
      </c>
      <c r="B4" s="2" t="inlineStr">
        <is>
          <t>1901</t>
        </is>
      </c>
      <c r="C4" s="16" t="n">
        <v>414</v>
      </c>
      <c r="D4" s="2" t="inlineStr">
        <is>
          <t>$m, 1929 prices (C-1 col.4)</t>
        </is>
      </c>
      <c r="E4" s="16" t="n">
        <v>39.5</v>
      </c>
      <c r="F4" s="2" t="inlineStr">
        <is>
          <t>$bn, 1929 prices (GNP Variant I)</t>
        </is>
      </c>
      <c r="G4" s="17" t="n">
        <v>0.001</v>
      </c>
      <c r="H4" s="14">
        <f>C4*G4/E4*100</f>
        <v/>
      </c>
      <c r="I4" s="17" t="n">
        <v>1.047</v>
      </c>
      <c r="J4" s="18">
        <f>I4-H4</f>
        <v/>
      </c>
      <c r="K4" s="14">
        <f>ABS(J4)</f>
        <v/>
      </c>
      <c r="L4" s="2" t="inlineStr">
        <is>
          <t>NBER: Ulmer (1960) Table C-1 col.4 / Kuznets &amp; Jenks (1961) R-22 col.1, R-2 col.7 (1929 prices)</t>
        </is>
      </c>
    </row>
    <row r="5">
      <c r="A5" s="2" t="inlineStr">
        <is>
          <t>rail</t>
        </is>
      </c>
      <c r="B5" s="2" t="inlineStr">
        <is>
          <t>1902</t>
        </is>
      </c>
      <c r="C5" s="16" t="n">
        <v>430</v>
      </c>
      <c r="D5" s="2" t="inlineStr">
        <is>
          <t>$m, 1929 prices (C-1 col.4)</t>
        </is>
      </c>
      <c r="E5" s="16" t="n">
        <v>40.2</v>
      </c>
      <c r="F5" s="2" t="inlineStr">
        <is>
          <t>$bn, 1929 prices (GNP Variant I)</t>
        </is>
      </c>
      <c r="G5" s="17" t="n">
        <v>0.001</v>
      </c>
      <c r="H5" s="14">
        <f>C5*G5/E5*100</f>
        <v/>
      </c>
      <c r="I5" s="17" t="n">
        <v>1.068</v>
      </c>
      <c r="J5" s="18">
        <f>I5-H5</f>
        <v/>
      </c>
      <c r="K5" s="14">
        <f>ABS(J5)</f>
        <v/>
      </c>
      <c r="L5" s="2" t="inlineStr">
        <is>
          <t>NBER: Ulmer (1960) Table C-1 col.4 / Kuznets &amp; Jenks (1961) R-22 col.1, R-2 col.7 (1929 prices)</t>
        </is>
      </c>
    </row>
    <row r="6">
      <c r="A6" s="2" t="inlineStr">
        <is>
          <t>rail</t>
        </is>
      </c>
      <c r="B6" s="2" t="inlineStr">
        <is>
          <t>1903</t>
        </is>
      </c>
      <c r="C6" s="16" t="n">
        <v>452</v>
      </c>
      <c r="D6" s="2" t="inlineStr">
        <is>
          <t>$m, 1929 prices (C-1 col.4)</t>
        </is>
      </c>
      <c r="E6" s="16" t="n">
        <v>42.3</v>
      </c>
      <c r="F6" s="2" t="inlineStr">
        <is>
          <t>$bn, 1929 prices (GNP Variant I)</t>
        </is>
      </c>
      <c r="G6" s="17" t="n">
        <v>0.001</v>
      </c>
      <c r="H6" s="14">
        <f>C6*G6/E6*100</f>
        <v/>
      </c>
      <c r="I6" s="17" t="n">
        <v>1.068</v>
      </c>
      <c r="J6" s="18">
        <f>I6-H6</f>
        <v/>
      </c>
      <c r="K6" s="14">
        <f>ABS(J6)</f>
        <v/>
      </c>
      <c r="L6" s="2" t="inlineStr">
        <is>
          <t>NBER: Ulmer (1960) Table C-1 col.4 / Kuznets &amp; Jenks (1961) R-22 col.1, R-2 col.7 (1929 prices)</t>
        </is>
      </c>
    </row>
    <row r="7">
      <c r="A7" s="2" t="inlineStr">
        <is>
          <t>rail</t>
        </is>
      </c>
      <c r="B7" s="2" t="inlineStr">
        <is>
          <t>1904</t>
        </is>
      </c>
      <c r="C7" s="16" t="n">
        <v>524</v>
      </c>
      <c r="D7" s="2" t="inlineStr">
        <is>
          <t>$m, 1929 prices (C-1 col.4)</t>
        </is>
      </c>
      <c r="E7" s="16" t="n">
        <v>41.8</v>
      </c>
      <c r="F7" s="2" t="inlineStr">
        <is>
          <t>$bn, 1929 prices (GNP Variant I)</t>
        </is>
      </c>
      <c r="G7" s="17" t="n">
        <v>0.001</v>
      </c>
      <c r="H7" s="14">
        <f>C7*G7/E7*100</f>
        <v/>
      </c>
      <c r="I7" s="17" t="n">
        <v>1.252</v>
      </c>
      <c r="J7" s="18">
        <f>I7-H7</f>
        <v/>
      </c>
      <c r="K7" s="14">
        <f>ABS(J7)</f>
        <v/>
      </c>
      <c r="L7" s="2" t="inlineStr">
        <is>
          <t>NBER: Ulmer (1960) Table C-1 col.4 / Kuznets &amp; Jenks (1961) R-22 col.1, R-2 col.7 (1929 prices)</t>
        </is>
      </c>
    </row>
    <row r="8">
      <c r="A8" s="2" t="inlineStr">
        <is>
          <t>rail</t>
        </is>
      </c>
      <c r="B8" s="2" t="inlineStr">
        <is>
          <t>1905</t>
        </is>
      </c>
      <c r="C8" s="16" t="n">
        <v>662</v>
      </c>
      <c r="D8" s="2" t="inlineStr">
        <is>
          <t>$m, 1929 prices (C-1 col.4)</t>
        </is>
      </c>
      <c r="E8" s="16" t="n">
        <v>44.4</v>
      </c>
      <c r="F8" s="2" t="inlineStr">
        <is>
          <t>$bn, 1929 prices (GNP Variant I)</t>
        </is>
      </c>
      <c r="G8" s="17" t="n">
        <v>0.001</v>
      </c>
      <c r="H8" s="14">
        <f>C8*G8/E8*100</f>
        <v/>
      </c>
      <c r="I8" s="17" t="n">
        <v>1.49</v>
      </c>
      <c r="J8" s="18">
        <f>I8-H8</f>
        <v/>
      </c>
      <c r="K8" s="14">
        <f>ABS(J8)</f>
        <v/>
      </c>
      <c r="L8" s="2" t="inlineStr">
        <is>
          <t>NBER: Ulmer (1960) Table C-1 col.4 / Kuznets &amp; Jenks (1961) R-22 col.1, R-2 col.7 (1929 prices)</t>
        </is>
      </c>
    </row>
    <row r="9">
      <c r="A9" s="2" t="inlineStr">
        <is>
          <t>rail</t>
        </is>
      </c>
      <c r="B9" s="2" t="inlineStr">
        <is>
          <t>1906</t>
        </is>
      </c>
      <c r="C9" s="16" t="n">
        <v>883</v>
      </c>
      <c r="D9" s="2" t="inlineStr">
        <is>
          <t>$m, 1929 prices (C-1 col.4)</t>
        </is>
      </c>
      <c r="E9" s="16" t="n">
        <v>49.1</v>
      </c>
      <c r="F9" s="2" t="inlineStr">
        <is>
          <t>$bn, 1929 prices (GNP Variant I)</t>
        </is>
      </c>
      <c r="G9" s="17" t="n">
        <v>0.001</v>
      </c>
      <c r="H9" s="14">
        <f>C9*G9/E9*100</f>
        <v/>
      </c>
      <c r="I9" s="17" t="n">
        <v>1.798</v>
      </c>
      <c r="J9" s="18">
        <f>I9-H9</f>
        <v/>
      </c>
      <c r="K9" s="14">
        <f>ABS(J9)</f>
        <v/>
      </c>
      <c r="L9" s="2" t="inlineStr">
        <is>
          <t>NBER: Ulmer (1960) Table C-1 col.4 / Kuznets &amp; Jenks (1961) R-22 col.1, R-2 col.7 (1929 prices)</t>
        </is>
      </c>
    </row>
    <row r="10">
      <c r="A10" s="2" t="inlineStr">
        <is>
          <t>rail</t>
        </is>
      </c>
      <c r="B10" s="2" t="inlineStr">
        <is>
          <t>1907</t>
        </is>
      </c>
      <c r="C10" s="16" t="n">
        <v>1023</v>
      </c>
      <c r="D10" s="2" t="inlineStr">
        <is>
          <t>$m, 1929 prices (C-1 col.4)</t>
        </is>
      </c>
      <c r="E10" s="16" t="n">
        <v>50.5</v>
      </c>
      <c r="F10" s="2" t="inlineStr">
        <is>
          <t>$bn, 1929 prices (GNP Variant I)</t>
        </is>
      </c>
      <c r="G10" s="17" t="n">
        <v>0.001</v>
      </c>
      <c r="H10" s="14">
        <f>C10*G10/E10*100</f>
        <v/>
      </c>
      <c r="I10" s="17" t="n">
        <v>2.026</v>
      </c>
      <c r="J10" s="18">
        <f>I10-H10</f>
        <v/>
      </c>
      <c r="K10" s="14">
        <f>ABS(J10)</f>
        <v/>
      </c>
      <c r="L10" s="2" t="inlineStr">
        <is>
          <t>NBER: Ulmer (1960) Table C-1 col.4 / Kuznets &amp; Jenks (1961) R-22 col.1, R-2 col.7 (1929 prices)</t>
        </is>
      </c>
    </row>
    <row r="11">
      <c r="A11" s="2" t="inlineStr">
        <is>
          <t>rail</t>
        </is>
      </c>
      <c r="B11" s="2" t="inlineStr">
        <is>
          <t>1908</t>
        </is>
      </c>
      <c r="C11" s="16" t="n">
        <v>1042</v>
      </c>
      <c r="D11" s="2" t="inlineStr">
        <is>
          <t>$m, 1929 prices (C-1 col.4)</t>
        </is>
      </c>
      <c r="E11" s="16" t="n">
        <v>46.9</v>
      </c>
      <c r="F11" s="2" t="inlineStr">
        <is>
          <t>$bn, 1929 prices (GNP Variant I)</t>
        </is>
      </c>
      <c r="G11" s="17" t="n">
        <v>0.001</v>
      </c>
      <c r="H11" s="14">
        <f>C11*G11/E11*100</f>
        <v/>
      </c>
      <c r="I11" s="17" t="n">
        <v>2.221</v>
      </c>
      <c r="J11" s="18">
        <f>I11-H11</f>
        <v/>
      </c>
      <c r="K11" s="14">
        <f>ABS(J11)</f>
        <v/>
      </c>
      <c r="L11" s="2" t="inlineStr">
        <is>
          <t>NBER: Ulmer (1960) Table C-1 col.4 / Kuznets &amp; Jenks (1961) R-22 col.1, R-2 col.7 (1929 prices)</t>
        </is>
      </c>
    </row>
    <row r="12">
      <c r="A12" s="2" t="inlineStr">
        <is>
          <t>rail</t>
        </is>
      </c>
      <c r="B12" s="2" t="inlineStr">
        <is>
          <t>1909</t>
        </is>
      </c>
      <c r="C12" s="16" t="n">
        <v>1102</v>
      </c>
      <c r="D12" s="2" t="inlineStr">
        <is>
          <t>$m, 1929 prices (C-1 col.4)</t>
        </is>
      </c>
      <c r="E12" s="16" t="n">
        <v>52.1</v>
      </c>
      <c r="F12" s="2" t="inlineStr">
        <is>
          <t>$bn, 1929 prices (GNP Variant I)</t>
        </is>
      </c>
      <c r="G12" s="17" t="n">
        <v>0.001</v>
      </c>
      <c r="H12" s="14">
        <f>C12*G12/E12*100</f>
        <v/>
      </c>
      <c r="I12" s="17" t="n">
        <v>2.115</v>
      </c>
      <c r="J12" s="18">
        <f>I12-H12</f>
        <v/>
      </c>
      <c r="K12" s="14">
        <f>ABS(J12)</f>
        <v/>
      </c>
      <c r="L12" s="2" t="inlineStr">
        <is>
          <t>NBER: Ulmer (1960) Table C-1 col.4 / Kuznets &amp; Jenks (1961) R-22 col.1, R-2 col.7 (1929 prices)</t>
        </is>
      </c>
    </row>
    <row r="13">
      <c r="A13" s="2" t="inlineStr">
        <is>
          <t>rail</t>
        </is>
      </c>
      <c r="B13" s="2" t="inlineStr">
        <is>
          <t>1910</t>
        </is>
      </c>
      <c r="C13" s="16" t="n">
        <v>1216</v>
      </c>
      <c r="D13" s="2" t="inlineStr">
        <is>
          <t>$m, 1929 prices (C-1 col.4)</t>
        </is>
      </c>
      <c r="E13" s="16" t="n">
        <v>52.8</v>
      </c>
      <c r="F13" s="2" t="inlineStr">
        <is>
          <t>$bn, 1929 prices (GNP Variant I)</t>
        </is>
      </c>
      <c r="G13" s="17" t="n">
        <v>0.001</v>
      </c>
      <c r="H13" s="14">
        <f>C13*G13/E13*100</f>
        <v/>
      </c>
      <c r="I13" s="17" t="n">
        <v>2.303</v>
      </c>
      <c r="J13" s="18">
        <f>I13-H13</f>
        <v/>
      </c>
      <c r="K13" s="14">
        <f>ABS(J13)</f>
        <v/>
      </c>
      <c r="L13" s="2" t="inlineStr">
        <is>
          <t>NBER: Ulmer (1960) Table C-1 col.4 / Kuznets &amp; Jenks (1961) R-22 col.1, R-2 col.7 (1929 prices)</t>
        </is>
      </c>
    </row>
    <row r="14">
      <c r="A14" s="2" t="inlineStr">
        <is>
          <t>rail</t>
        </is>
      </c>
      <c r="B14" s="2" t="inlineStr">
        <is>
          <t>1911</t>
        </is>
      </c>
      <c r="C14" s="16" t="n">
        <v>1114</v>
      </c>
      <c r="D14" s="2" t="inlineStr">
        <is>
          <t>$m, 1929 prices (C-1 col.4)</t>
        </is>
      </c>
      <c r="E14" s="16" t="n">
        <v>52.6</v>
      </c>
      <c r="F14" s="2" t="inlineStr">
        <is>
          <t>$bn, 1929 prices (GNP Variant I)</t>
        </is>
      </c>
      <c r="G14" s="17" t="n">
        <v>0.001</v>
      </c>
      <c r="H14" s="14">
        <f>C14*G14/E14*100</f>
        <v/>
      </c>
      <c r="I14" s="17" t="n">
        <v>2.117</v>
      </c>
      <c r="J14" s="18">
        <f>I14-H14</f>
        <v/>
      </c>
      <c r="K14" s="14">
        <f>ABS(J14)</f>
        <v/>
      </c>
      <c r="L14" s="2" t="inlineStr">
        <is>
          <t>NBER: Ulmer (1960) Table C-1 col.4 / Kuznets &amp; Jenks (1961) R-22 col.1, R-2 col.7 (1929 prices)</t>
        </is>
      </c>
    </row>
    <row r="15">
      <c r="A15" s="2" t="inlineStr">
        <is>
          <t>rail</t>
        </is>
      </c>
      <c r="B15" s="2" t="inlineStr">
        <is>
          <t>1912</t>
        </is>
      </c>
      <c r="C15" s="16" t="n">
        <v>1067</v>
      </c>
      <c r="D15" s="2" t="inlineStr">
        <is>
          <t>$m, 1929 prices (C-1 col.4)</t>
        </is>
      </c>
      <c r="E15" s="16" t="n">
        <v>53.4</v>
      </c>
      <c r="F15" s="2" t="inlineStr">
        <is>
          <t>$bn, 1929 prices (GNP Variant I)</t>
        </is>
      </c>
      <c r="G15" s="17" t="n">
        <v>0.001</v>
      </c>
      <c r="H15" s="14">
        <f>C15*G15/E15*100</f>
        <v/>
      </c>
      <c r="I15" s="17" t="n">
        <v>1.998</v>
      </c>
      <c r="J15" s="18">
        <f>I15-H15</f>
        <v/>
      </c>
      <c r="K15" s="14">
        <f>ABS(J15)</f>
        <v/>
      </c>
      <c r="L15" s="2" t="inlineStr">
        <is>
          <t>NBER: Ulmer (1960) Table C-1 col.4 / Kuznets &amp; Jenks (1961) R-22 col.1, R-2 col.7 (1929 prices)</t>
        </is>
      </c>
    </row>
    <row r="16">
      <c r="A16" s="2" t="inlineStr">
        <is>
          <t>rail</t>
        </is>
      </c>
      <c r="B16" s="2" t="inlineStr">
        <is>
          <t>1913</t>
        </is>
      </c>
      <c r="C16" s="16" t="n">
        <v>1116</v>
      </c>
      <c r="D16" s="2" t="inlineStr">
        <is>
          <t>$m, 1929 prices (C-1 col.4)</t>
        </is>
      </c>
      <c r="E16" s="16" t="n">
        <v>56.4</v>
      </c>
      <c r="F16" s="2" t="inlineStr">
        <is>
          <t>$bn, 1929 prices (GNP Variant I)</t>
        </is>
      </c>
      <c r="G16" s="17" t="n">
        <v>0.001</v>
      </c>
      <c r="H16" s="14">
        <f>C16*G16/E16*100</f>
        <v/>
      </c>
      <c r="I16" s="17" t="n">
        <v>1.979</v>
      </c>
      <c r="J16" s="18">
        <f>I16-H16</f>
        <v/>
      </c>
      <c r="K16" s="14">
        <f>ABS(J16)</f>
        <v/>
      </c>
      <c r="L16" s="2" t="inlineStr">
        <is>
          <t>NBER: Ulmer (1960) Table C-1 col.4 / Kuznets &amp; Jenks (1961) R-22 col.1, R-2 col.7 (1929 prices)</t>
        </is>
      </c>
    </row>
    <row r="17">
      <c r="A17" s="2" t="inlineStr">
        <is>
          <t>rail</t>
        </is>
      </c>
      <c r="B17" s="2" t="inlineStr">
        <is>
          <t>1914</t>
        </is>
      </c>
      <c r="C17" s="16" t="n">
        <v>783</v>
      </c>
      <c r="D17" s="2" t="inlineStr">
        <is>
          <t>$m, 1929 prices (C-1 col.4)</t>
        </is>
      </c>
      <c r="E17" s="16" t="n">
        <v>55.2</v>
      </c>
      <c r="F17" s="2" t="inlineStr">
        <is>
          <t>$bn, 1929 prices (GNP Variant I)</t>
        </is>
      </c>
      <c r="G17" s="17" t="n">
        <v>0.001</v>
      </c>
      <c r="H17" s="14">
        <f>C17*G17/E17*100</f>
        <v/>
      </c>
      <c r="I17" s="17" t="n">
        <v>1.418</v>
      </c>
      <c r="J17" s="18">
        <f>I17-H17</f>
        <v/>
      </c>
      <c r="K17" s="14">
        <f>ABS(J17)</f>
        <v/>
      </c>
      <c r="L17" s="2" t="inlineStr">
        <is>
          <t>NBER: Ulmer (1960) Table C-1 col.4 / Kuznets &amp; Jenks (1961) R-22 col.1, R-2 col.7 (1929 prices)</t>
        </is>
      </c>
    </row>
    <row r="18">
      <c r="A18" s="2" t="inlineStr">
        <is>
          <t>rail</t>
        </is>
      </c>
      <c r="B18" s="2" t="inlineStr">
        <is>
          <t>1915</t>
        </is>
      </c>
      <c r="C18" s="16" t="n">
        <v>467</v>
      </c>
      <c r="D18" s="2" t="inlineStr">
        <is>
          <t>$m, 1929 prices (C-1 col.4)</t>
        </is>
      </c>
      <c r="E18" s="16" t="n">
        <v>59.1</v>
      </c>
      <c r="F18" s="2" t="inlineStr">
        <is>
          <t>$bn, 1929 prices (GNP Variant I)</t>
        </is>
      </c>
      <c r="G18" s="17" t="n">
        <v>0.001</v>
      </c>
      <c r="H18" s="14">
        <f>C18*G18/E18*100</f>
        <v/>
      </c>
      <c r="I18" s="17" t="n">
        <v>0.79</v>
      </c>
      <c r="J18" s="18">
        <f>I18-H18</f>
        <v/>
      </c>
      <c r="K18" s="14">
        <f>ABS(J18)</f>
        <v/>
      </c>
      <c r="L18" s="2" t="inlineStr">
        <is>
          <t>NBER: Ulmer (1960) Table C-1 col.4 / Kuznets &amp; Jenks (1961) R-22 col.1, R-2 col.7 (1929 prices)</t>
        </is>
      </c>
    </row>
    <row r="19">
      <c r="A19" s="2" t="inlineStr">
        <is>
          <t>rail</t>
        </is>
      </c>
      <c r="B19" s="2" t="inlineStr">
        <is>
          <t>1916</t>
        </is>
      </c>
      <c r="C19" s="16" t="n">
        <v>524</v>
      </c>
      <c r="D19" s="2" t="inlineStr">
        <is>
          <t>$m, 1929 prices (C-1 col.4)</t>
        </is>
      </c>
      <c r="E19" s="16" t="n">
        <v>64.2</v>
      </c>
      <c r="F19" s="2" t="inlineStr">
        <is>
          <t>$bn, 1929 prices (GNP Variant I)</t>
        </is>
      </c>
      <c r="G19" s="17" t="n">
        <v>0.001</v>
      </c>
      <c r="H19" s="14">
        <f>C19*G19/E19*100</f>
        <v/>
      </c>
      <c r="I19" s="17" t="n">
        <v>0.8159999999999999</v>
      </c>
      <c r="J19" s="18">
        <f>I19-H19</f>
        <v/>
      </c>
      <c r="K19" s="14">
        <f>ABS(J19)</f>
        <v/>
      </c>
      <c r="L19" s="2" t="inlineStr">
        <is>
          <t>NBER: Ulmer (1960) Table C-1 col.4 / Kuznets &amp; Jenks (1961) R-22 col.1, R-2 col.7 (1929 prices)</t>
        </is>
      </c>
    </row>
    <row r="20">
      <c r="A20" s="2" t="inlineStr">
        <is>
          <t>rail</t>
        </is>
      </c>
      <c r="B20" s="2" t="inlineStr">
        <is>
          <t>1917</t>
        </is>
      </c>
      <c r="C20" s="16" t="n">
        <v>657</v>
      </c>
      <c r="D20" s="2" t="inlineStr">
        <is>
          <t>$m, 1929 prices (C-1 col.4)</t>
        </is>
      </c>
      <c r="E20" s="16" t="n">
        <v>64.8</v>
      </c>
      <c r="F20" s="2" t="inlineStr">
        <is>
          <t>$bn, 1929 prices (GNP Variant I)</t>
        </is>
      </c>
      <c r="G20" s="17" t="n">
        <v>0.001</v>
      </c>
      <c r="H20" s="14">
        <f>C20*G20/E20*100</f>
        <v/>
      </c>
      <c r="I20" s="17" t="n">
        <v>1.013</v>
      </c>
      <c r="J20" s="18">
        <f>I20-H20</f>
        <v/>
      </c>
      <c r="K20" s="14">
        <f>ABS(J20)</f>
        <v/>
      </c>
      <c r="L20" s="2" t="inlineStr">
        <is>
          <t>NBER: Ulmer (1960) Table C-1 col.4 / Kuznets &amp; Jenks (1961) R-22 col.1, R-2 col.7 (1929 prices)</t>
        </is>
      </c>
    </row>
    <row r="21">
      <c r="A21" s="2" t="inlineStr">
        <is>
          <t>rail</t>
        </is>
      </c>
      <c r="B21" s="2" t="inlineStr">
        <is>
          <t>1918</t>
        </is>
      </c>
      <c r="C21" s="16" t="n">
        <v>483</v>
      </c>
      <c r="D21" s="2" t="inlineStr">
        <is>
          <t>$m, 1929 prices (C-1 col.4)</t>
        </is>
      </c>
      <c r="E21" s="16" t="n">
        <v>61.8</v>
      </c>
      <c r="F21" s="2" t="inlineStr">
        <is>
          <t>$bn, 1929 prices (GNP Variant I)</t>
        </is>
      </c>
      <c r="G21" s="17" t="n">
        <v>0.001</v>
      </c>
      <c r="H21" s="14">
        <f>C21*G21/E21*100</f>
        <v/>
      </c>
      <c r="I21" s="17" t="n">
        <v>0.78</v>
      </c>
      <c r="J21" s="18">
        <f>I21-H21</f>
        <v/>
      </c>
      <c r="K21" s="14">
        <f>ABS(J21)</f>
        <v/>
      </c>
      <c r="L21" s="2" t="inlineStr">
        <is>
          <t>NBER: Ulmer (1960) Table C-1 col.4 / Kuznets &amp; Jenks (1961) R-22 col.1, R-2 col.7 (1929 prices)</t>
        </is>
      </c>
    </row>
    <row r="22">
      <c r="A22" s="2" t="inlineStr">
        <is>
          <t>rail</t>
        </is>
      </c>
      <c r="B22" s="2" t="inlineStr">
        <is>
          <t>1919</t>
        </is>
      </c>
      <c r="C22" s="16" t="n">
        <v>345</v>
      </c>
      <c r="D22" s="2" t="inlineStr">
        <is>
          <t>$m, 1929 prices (C-1 col.4)</t>
        </is>
      </c>
      <c r="E22" s="16" t="n">
        <v>67.8</v>
      </c>
      <c r="F22" s="2" t="inlineStr">
        <is>
          <t>$bn, 1929 prices (GNP Variant I)</t>
        </is>
      </c>
      <c r="G22" s="17" t="n">
        <v>0.001</v>
      </c>
      <c r="H22" s="14">
        <f>C22*G22/E22*100</f>
        <v/>
      </c>
      <c r="I22" s="17" t="n">
        <v>0.508</v>
      </c>
      <c r="J22" s="18">
        <f>I22-H22</f>
        <v/>
      </c>
      <c r="K22" s="14">
        <f>ABS(J22)</f>
        <v/>
      </c>
      <c r="L22" s="2" t="inlineStr">
        <is>
          <t>NBER: Ulmer (1960) Table C-1 col.4 / Kuznets &amp; Jenks (1961) R-22 col.1, R-2 col.7 (1929 prices)</t>
        </is>
      </c>
    </row>
    <row r="23">
      <c r="A23" s="2" t="inlineStr">
        <is>
          <t>rail</t>
        </is>
      </c>
      <c r="B23" s="2" t="inlineStr">
        <is>
          <t>1920</t>
        </is>
      </c>
      <c r="C23" s="16" t="n">
        <v>498</v>
      </c>
      <c r="D23" s="2" t="inlineStr">
        <is>
          <t>$m, 1929 prices (C-1 col.4)</t>
        </is>
      </c>
      <c r="E23" s="16" t="n">
        <v>68.5</v>
      </c>
      <c r="F23" s="2" t="inlineStr">
        <is>
          <t>$bn, 1929 prices (GNP Variant I)</t>
        </is>
      </c>
      <c r="G23" s="17" t="n">
        <v>0.001</v>
      </c>
      <c r="H23" s="14">
        <f>C23*G23/E23*100</f>
        <v/>
      </c>
      <c r="I23" s="17" t="n">
        <v>0.726</v>
      </c>
      <c r="J23" s="18">
        <f>I23-H23</f>
        <v/>
      </c>
      <c r="K23" s="14">
        <f>ABS(J23)</f>
        <v/>
      </c>
      <c r="L23" s="2" t="inlineStr">
        <is>
          <t>NBER: Ulmer (1960) Table C-1 col.4 / Kuznets &amp; Jenks (1961) R-22 col.1, R-2 col.7 (1929 prices)</t>
        </is>
      </c>
    </row>
    <row r="24">
      <c r="A24" s="2" t="inlineStr">
        <is>
          <t>og70s</t>
        </is>
      </c>
      <c r="B24" s="2" t="inlineStr">
        <is>
          <t>1972</t>
        </is>
      </c>
      <c r="C24" s="16" t="n">
        <v>4862</v>
      </c>
      <c r="D24" s="2" t="inlineStr">
        <is>
          <t>$m, BEA investment, industries 2110+2130+4860</t>
        </is>
      </c>
      <c r="E24" s="16" t="n">
        <v>1279110</v>
      </c>
      <c r="F24" s="2" t="inlineStr">
        <is>
          <t>$m, BEA GDP (A191RC)</t>
        </is>
      </c>
      <c r="G24" s="17" t="n">
        <v>1</v>
      </c>
      <c r="H24" s="14">
        <f>C24*G24/E24*100</f>
        <v/>
      </c>
      <c r="I24" s="17" t="n">
        <v>0.379</v>
      </c>
      <c r="J24" s="18">
        <f>I24-H24</f>
        <v/>
      </c>
      <c r="K24" s="14">
        <f>ABS(J24)</f>
        <v/>
      </c>
      <c r="L24" s="2" t="inlineStr">
        <is>
          <t>BEA Fixed Assets: investment by industry 2110+2130+4860, all assets / GDP</t>
        </is>
      </c>
    </row>
    <row r="25">
      <c r="A25" s="2" t="inlineStr">
        <is>
          <t>og70s</t>
        </is>
      </c>
      <c r="B25" s="2" t="inlineStr">
        <is>
          <t>1973</t>
        </is>
      </c>
      <c r="C25" s="16" t="n">
        <v>5589</v>
      </c>
      <c r="D25" s="2" t="inlineStr">
        <is>
          <t>$m, BEA investment, industries 2110+2130+4860</t>
        </is>
      </c>
      <c r="E25" s="16" t="n">
        <v>1425376</v>
      </c>
      <c r="F25" s="2" t="inlineStr">
        <is>
          <t>$m, BEA GDP (A191RC)</t>
        </is>
      </c>
      <c r="G25" s="17" t="n">
        <v>1</v>
      </c>
      <c r="H25" s="14">
        <f>C25*G25/E25*100</f>
        <v/>
      </c>
      <c r="I25" s="17" t="n">
        <v>0.391</v>
      </c>
      <c r="J25" s="18">
        <f>I25-H25</f>
        <v/>
      </c>
      <c r="K25" s="14">
        <f>ABS(J25)</f>
        <v/>
      </c>
      <c r="L25" s="2" t="inlineStr">
        <is>
          <t>BEA Fixed Assets: investment by industry 2110+2130+4860, all assets / GDP</t>
        </is>
      </c>
    </row>
    <row r="26">
      <c r="A26" s="2" t="inlineStr">
        <is>
          <t>og70s</t>
        </is>
      </c>
      <c r="B26" s="2" t="inlineStr">
        <is>
          <t>1974</t>
        </is>
      </c>
      <c r="C26" s="16" t="n">
        <v>7672</v>
      </c>
      <c r="D26" s="2" t="inlineStr">
        <is>
          <t>$m, BEA investment, industries 2110+2130+4860</t>
        </is>
      </c>
      <c r="E26" s="16" t="n">
        <v>1545243</v>
      </c>
      <c r="F26" s="2" t="inlineStr">
        <is>
          <t>$m, BEA GDP (A191RC)</t>
        </is>
      </c>
      <c r="G26" s="17" t="n">
        <v>1</v>
      </c>
      <c r="H26" s="14">
        <f>C26*G26/E26*100</f>
        <v/>
      </c>
      <c r="I26" s="17" t="n">
        <v>0.495</v>
      </c>
      <c r="J26" s="18">
        <f>I26-H26</f>
        <v/>
      </c>
      <c r="K26" s="14">
        <f>ABS(J26)</f>
        <v/>
      </c>
      <c r="L26" s="2" t="inlineStr">
        <is>
          <t>BEA Fixed Assets: investment by industry 2110+2130+4860, all assets / GDP</t>
        </is>
      </c>
    </row>
    <row r="27">
      <c r="A27" s="2" t="inlineStr">
        <is>
          <t>og70s</t>
        </is>
      </c>
      <c r="B27" s="2" t="inlineStr">
        <is>
          <t>1975</t>
        </is>
      </c>
      <c r="C27" s="16" t="n">
        <v>11205</v>
      </c>
      <c r="D27" s="2" t="inlineStr">
        <is>
          <t>$m, BEA investment, industries 2110+2130+4860</t>
        </is>
      </c>
      <c r="E27" s="16" t="n">
        <v>1684904</v>
      </c>
      <c r="F27" s="2" t="inlineStr">
        <is>
          <t>$m, BEA GDP (A191RC)</t>
        </is>
      </c>
      <c r="G27" s="17" t="n">
        <v>1</v>
      </c>
      <c r="H27" s="14">
        <f>C27*G27/E27*100</f>
        <v/>
      </c>
      <c r="I27" s="17" t="n">
        <v>0.665</v>
      </c>
      <c r="J27" s="18">
        <f>I27-H27</f>
        <v/>
      </c>
      <c r="K27" s="14">
        <f>ABS(J27)</f>
        <v/>
      </c>
      <c r="L27" s="2" t="inlineStr">
        <is>
          <t>BEA Fixed Assets: investment by industry 2110+2130+4860, all assets / GDP</t>
        </is>
      </c>
    </row>
    <row r="28">
      <c r="A28" s="2" t="inlineStr">
        <is>
          <t>og70s</t>
        </is>
      </c>
      <c r="B28" s="2" t="inlineStr">
        <is>
          <t>1976</t>
        </is>
      </c>
      <c r="C28" s="16" t="n">
        <v>13141</v>
      </c>
      <c r="D28" s="2" t="inlineStr">
        <is>
          <t>$m, BEA investment, industries 2110+2130+4860</t>
        </is>
      </c>
      <c r="E28" s="16" t="n">
        <v>1873412</v>
      </c>
      <c r="F28" s="2" t="inlineStr">
        <is>
          <t>$m, BEA GDP (A191RC)</t>
        </is>
      </c>
      <c r="G28" s="17" t="n">
        <v>1</v>
      </c>
      <c r="H28" s="14">
        <f>C28*G28/E28*100</f>
        <v/>
      </c>
      <c r="I28" s="17" t="n">
        <v>0.7</v>
      </c>
      <c r="J28" s="18">
        <f>I28-H28</f>
        <v/>
      </c>
      <c r="K28" s="14">
        <f>ABS(J28)</f>
        <v/>
      </c>
      <c r="L28" s="2" t="inlineStr">
        <is>
          <t>BEA Fixed Assets: investment by industry 2110+2130+4860, all assets / GDP</t>
        </is>
      </c>
    </row>
    <row r="29">
      <c r="A29" s="2" t="inlineStr">
        <is>
          <t>og70s</t>
        </is>
      </c>
      <c r="B29" s="2" t="inlineStr">
        <is>
          <t>1977</t>
        </is>
      </c>
      <c r="C29" s="16" t="n">
        <v>15021</v>
      </c>
      <c r="D29" s="2" t="inlineStr">
        <is>
          <t>$m, BEA investment, industries 2110+2130+4860</t>
        </is>
      </c>
      <c r="E29" s="16" t="n">
        <v>2081826</v>
      </c>
      <c r="F29" s="2" t="inlineStr">
        <is>
          <t>$m, BEA GDP (A191RC)</t>
        </is>
      </c>
      <c r="G29" s="17" t="n">
        <v>1</v>
      </c>
      <c r="H29" s="14">
        <f>C29*G29/E29*100</f>
        <v/>
      </c>
      <c r="I29" s="17" t="n">
        <v>0.722</v>
      </c>
      <c r="J29" s="18">
        <f>I29-H29</f>
        <v/>
      </c>
      <c r="K29" s="14">
        <f>ABS(J29)</f>
        <v/>
      </c>
      <c r="L29" s="2" t="inlineStr">
        <is>
          <t>BEA Fixed Assets: investment by industry 2110+2130+4860, all assets / GDP</t>
        </is>
      </c>
    </row>
    <row r="30">
      <c r="A30" s="2" t="inlineStr">
        <is>
          <t>og70s</t>
        </is>
      </c>
      <c r="B30" s="2" t="inlineStr">
        <is>
          <t>1978</t>
        </is>
      </c>
      <c r="C30" s="16" t="n">
        <v>21389</v>
      </c>
      <c r="D30" s="2" t="inlineStr">
        <is>
          <t>$m, BEA investment, industries 2110+2130+4860</t>
        </is>
      </c>
      <c r="E30" s="16" t="n">
        <v>2351599</v>
      </c>
      <c r="F30" s="2" t="inlineStr">
        <is>
          <t>$m, BEA GDP (A191RC)</t>
        </is>
      </c>
      <c r="G30" s="17" t="n">
        <v>1</v>
      </c>
      <c r="H30" s="14">
        <f>C30*G30/E30*100</f>
        <v/>
      </c>
      <c r="I30" s="17" t="n">
        <v>0.909</v>
      </c>
      <c r="J30" s="18">
        <f>I30-H30</f>
        <v/>
      </c>
      <c r="K30" s="14">
        <f>ABS(J30)</f>
        <v/>
      </c>
      <c r="L30" s="2" t="inlineStr">
        <is>
          <t>BEA Fixed Assets: investment by industry 2110+2130+4860, all assets / GDP</t>
        </is>
      </c>
    </row>
    <row r="31">
      <c r="A31" s="2" t="inlineStr">
        <is>
          <t>og70s</t>
        </is>
      </c>
      <c r="B31" s="2" t="inlineStr">
        <is>
          <t>1979</t>
        </is>
      </c>
      <c r="C31" s="16" t="n">
        <v>27942</v>
      </c>
      <c r="D31" s="2" t="inlineStr">
        <is>
          <t>$m, BEA investment, industries 2110+2130+4860</t>
        </is>
      </c>
      <c r="E31" s="16" t="n">
        <v>2627333</v>
      </c>
      <c r="F31" s="2" t="inlineStr">
        <is>
          <t>$m, BEA GDP (A191RC)</t>
        </is>
      </c>
      <c r="G31" s="17" t="n">
        <v>1</v>
      </c>
      <c r="H31" s="14">
        <f>C31*G31/E31*100</f>
        <v/>
      </c>
      <c r="I31" s="17" t="n">
        <v>1.064</v>
      </c>
      <c r="J31" s="18">
        <f>I31-H31</f>
        <v/>
      </c>
      <c r="K31" s="14">
        <f>ABS(J31)</f>
        <v/>
      </c>
      <c r="L31" s="2" t="inlineStr">
        <is>
          <t>BEA Fixed Assets: investment by industry 2110+2130+4860, all assets / GDP</t>
        </is>
      </c>
    </row>
    <row r="32">
      <c r="A32" s="2" t="inlineStr">
        <is>
          <t>og70s</t>
        </is>
      </c>
      <c r="B32" s="2" t="inlineStr">
        <is>
          <t>1980</t>
        </is>
      </c>
      <c r="C32" s="16" t="n">
        <v>40712</v>
      </c>
      <c r="D32" s="2" t="inlineStr">
        <is>
          <t>$m, BEA investment, industries 2110+2130+4860</t>
        </is>
      </c>
      <c r="E32" s="16" t="n">
        <v>2857307</v>
      </c>
      <c r="F32" s="2" t="inlineStr">
        <is>
          <t>$m, BEA GDP (A191RC)</t>
        </is>
      </c>
      <c r="G32" s="17" t="n">
        <v>1</v>
      </c>
      <c r="H32" s="14">
        <f>C32*G32/E32*100</f>
        <v/>
      </c>
      <c r="I32" s="17" t="n">
        <v>1.425</v>
      </c>
      <c r="J32" s="18">
        <f>I32-H32</f>
        <v/>
      </c>
      <c r="K32" s="14">
        <f>ABS(J32)</f>
        <v/>
      </c>
      <c r="L32" s="2" t="inlineStr">
        <is>
          <t>BEA Fixed Assets: investment by industry 2110+2130+4860, all assets / GDP</t>
        </is>
      </c>
    </row>
    <row r="33">
      <c r="A33" s="2" t="inlineStr">
        <is>
          <t>og70s</t>
        </is>
      </c>
      <c r="B33" s="2" t="inlineStr">
        <is>
          <t>1981</t>
        </is>
      </c>
      <c r="C33" s="16" t="n">
        <v>63261</v>
      </c>
      <c r="D33" s="2" t="inlineStr">
        <is>
          <t>$m, BEA investment, industries 2110+2130+4860</t>
        </is>
      </c>
      <c r="E33" s="16" t="n">
        <v>3207041</v>
      </c>
      <c r="F33" s="2" t="inlineStr">
        <is>
          <t>$m, BEA GDP (A191RC)</t>
        </is>
      </c>
      <c r="G33" s="17" t="n">
        <v>1</v>
      </c>
      <c r="H33" s="14">
        <f>C33*G33/E33*100</f>
        <v/>
      </c>
      <c r="I33" s="17" t="n">
        <v>1.972</v>
      </c>
      <c r="J33" s="18">
        <f>I33-H33</f>
        <v/>
      </c>
      <c r="K33" s="14">
        <f>ABS(J33)</f>
        <v/>
      </c>
      <c r="L33" s="2" t="inlineStr">
        <is>
          <t>BEA Fixed Assets: investment by industry 2110+2130+4860, all assets / GDP</t>
        </is>
      </c>
    </row>
    <row r="34">
      <c r="A34" s="2" t="inlineStr">
        <is>
          <t>og70s</t>
        </is>
      </c>
      <c r="B34" s="2" t="inlineStr">
        <is>
          <t>1982</t>
        </is>
      </c>
      <c r="C34" s="16" t="n">
        <v>63204</v>
      </c>
      <c r="D34" s="2" t="inlineStr">
        <is>
          <t>$m, BEA investment, industries 2110+2130+4860</t>
        </is>
      </c>
      <c r="E34" s="16" t="n">
        <v>3343789</v>
      </c>
      <c r="F34" s="2" t="inlineStr">
        <is>
          <t>$m, BEA GDP (A191RC)</t>
        </is>
      </c>
      <c r="G34" s="17" t="n">
        <v>1</v>
      </c>
      <c r="H34" s="14">
        <f>C34*G34/E34*100</f>
        <v/>
      </c>
      <c r="I34" s="17" t="n">
        <v>1.891</v>
      </c>
      <c r="J34" s="18">
        <f>I34-H34</f>
        <v/>
      </c>
      <c r="K34" s="14">
        <f>ABS(J34)</f>
        <v/>
      </c>
      <c r="L34" s="2" t="inlineStr">
        <is>
          <t>BEA Fixed Assets: investment by industry 2110+2130+4860, all assets / GDP</t>
        </is>
      </c>
    </row>
    <row r="35">
      <c r="A35" s="2" t="inlineStr">
        <is>
          <t>og70s</t>
        </is>
      </c>
      <c r="B35" s="2" t="inlineStr">
        <is>
          <t>1983</t>
        </is>
      </c>
      <c r="C35" s="16" t="n">
        <v>43001</v>
      </c>
      <c r="D35" s="2" t="inlineStr">
        <is>
          <t>$m, BEA investment, industries 2110+2130+4860</t>
        </is>
      </c>
      <c r="E35" s="16" t="n">
        <v>3634038</v>
      </c>
      <c r="F35" s="2" t="inlineStr">
        <is>
          <t>$m, BEA GDP (A191RC)</t>
        </is>
      </c>
      <c r="G35" s="17" t="n">
        <v>1</v>
      </c>
      <c r="H35" s="14">
        <f>C35*G35/E35*100</f>
        <v/>
      </c>
      <c r="I35" s="17" t="n">
        <v>1.182</v>
      </c>
      <c r="J35" s="18">
        <f>I35-H35</f>
        <v/>
      </c>
      <c r="K35" s="14">
        <f>ABS(J35)</f>
        <v/>
      </c>
      <c r="L35" s="2" t="inlineStr">
        <is>
          <t>BEA Fixed Assets: investment by industry 2110+2130+4860, all assets / GDP</t>
        </is>
      </c>
    </row>
    <row r="36">
      <c r="A36" s="2" t="inlineStr">
        <is>
          <t>og70s</t>
        </is>
      </c>
      <c r="B36" s="2" t="inlineStr">
        <is>
          <t>1984</t>
        </is>
      </c>
      <c r="C36" s="16" t="n">
        <v>44159</v>
      </c>
      <c r="D36" s="2" t="inlineStr">
        <is>
          <t>$m, BEA investment, industries 2110+2130+4860</t>
        </is>
      </c>
      <c r="E36" s="16" t="n">
        <v>4037613</v>
      </c>
      <c r="F36" s="2" t="inlineStr">
        <is>
          <t>$m, BEA GDP (A191RC)</t>
        </is>
      </c>
      <c r="G36" s="17" t="n">
        <v>1</v>
      </c>
      <c r="H36" s="14">
        <f>C36*G36/E36*100</f>
        <v/>
      </c>
      <c r="I36" s="17" t="n">
        <v>1.093</v>
      </c>
      <c r="J36" s="18">
        <f>I36-H36</f>
        <v/>
      </c>
      <c r="K36" s="14">
        <f>ABS(J36)</f>
        <v/>
      </c>
      <c r="L36" s="2" t="inlineStr">
        <is>
          <t>BEA Fixed Assets: investment by industry 2110+2130+4860, all assets / GDP</t>
        </is>
      </c>
    </row>
    <row r="37">
      <c r="A37" s="2" t="inlineStr">
        <is>
          <t>og70s</t>
        </is>
      </c>
      <c r="B37" s="2" t="inlineStr">
        <is>
          <t>1985</t>
        </is>
      </c>
      <c r="C37" s="16" t="n">
        <v>40149</v>
      </c>
      <c r="D37" s="2" t="inlineStr">
        <is>
          <t>$m, BEA investment, industries 2110+2130+4860</t>
        </is>
      </c>
      <c r="E37" s="16" t="n">
        <v>4338979</v>
      </c>
      <c r="F37" s="2" t="inlineStr">
        <is>
          <t>$m, BEA GDP (A191RC)</t>
        </is>
      </c>
      <c r="G37" s="17" t="n">
        <v>1</v>
      </c>
      <c r="H37" s="14">
        <f>C37*G37/E37*100</f>
        <v/>
      </c>
      <c r="I37" s="17" t="n">
        <v>0.925</v>
      </c>
      <c r="J37" s="18">
        <f>I37-H37</f>
        <v/>
      </c>
      <c r="K37" s="14">
        <f>ABS(J37)</f>
        <v/>
      </c>
      <c r="L37" s="2" t="inlineStr">
        <is>
          <t>BEA Fixed Assets: investment by industry 2110+2130+4860, all assets / GDP</t>
        </is>
      </c>
    </row>
    <row r="38">
      <c r="A38" s="2" t="inlineStr">
        <is>
          <t>og70s</t>
        </is>
      </c>
      <c r="B38" s="2" t="inlineStr">
        <is>
          <t>1986</t>
        </is>
      </c>
      <c r="C38" s="16" t="n">
        <v>23680</v>
      </c>
      <c r="D38" s="2" t="inlineStr">
        <is>
          <t>$m, BEA investment, industries 2110+2130+4860</t>
        </is>
      </c>
      <c r="E38" s="16" t="n">
        <v>4579631</v>
      </c>
      <c r="F38" s="2" t="inlineStr">
        <is>
          <t>$m, BEA GDP (A191RC)</t>
        </is>
      </c>
      <c r="G38" s="17" t="n">
        <v>1</v>
      </c>
      <c r="H38" s="14">
        <f>C38*G38/E38*100</f>
        <v/>
      </c>
      <c r="I38" s="17" t="n">
        <v>0.516</v>
      </c>
      <c r="J38" s="18">
        <f>I38-H38</f>
        <v/>
      </c>
      <c r="K38" s="14">
        <f>ABS(J38)</f>
        <v/>
      </c>
      <c r="L38" s="2" t="inlineStr">
        <is>
          <t>BEA Fixed Assets: investment by industry 2110+2130+4860, all assets / GDP</t>
        </is>
      </c>
    </row>
    <row r="39">
      <c r="A39" s="2" t="inlineStr">
        <is>
          <t>shale</t>
        </is>
      </c>
      <c r="B39" s="2" t="inlineStr">
        <is>
          <t>2002</t>
        </is>
      </c>
      <c r="C39" s="16" t="n">
        <v>43291</v>
      </c>
      <c r="D39" s="2" t="inlineStr">
        <is>
          <t>$m, BEA investment, industries 2110+2130+4860</t>
        </is>
      </c>
      <c r="E39" s="16" t="n">
        <v>10929108</v>
      </c>
      <c r="F39" s="2" t="inlineStr">
        <is>
          <t>$m, BEA GDP (A191RC)</t>
        </is>
      </c>
      <c r="G39" s="17" t="n">
        <v>1</v>
      </c>
      <c r="H39" s="14">
        <f>C39*G39/E39*100</f>
        <v/>
      </c>
      <c r="I39" s="17" t="n">
        <v>0.395</v>
      </c>
      <c r="J39" s="18">
        <f>I39-H39</f>
        <v/>
      </c>
      <c r="K39" s="14">
        <f>ABS(J39)</f>
        <v/>
      </c>
      <c r="L39" s="2" t="inlineStr">
        <is>
          <t>BEA Fixed Assets: investment by industry 2110+2130+4860, all assets / GDP</t>
        </is>
      </c>
    </row>
    <row r="40">
      <c r="A40" s="2" t="inlineStr">
        <is>
          <t>shale</t>
        </is>
      </c>
      <c r="B40" s="2" t="inlineStr">
        <is>
          <t>2003</t>
        </is>
      </c>
      <c r="C40" s="16" t="n">
        <v>53559</v>
      </c>
      <c r="D40" s="2" t="inlineStr">
        <is>
          <t>$m, BEA investment, industries 2110+2130+4860</t>
        </is>
      </c>
      <c r="E40" s="16" t="n">
        <v>11456450</v>
      </c>
      <c r="F40" s="2" t="inlineStr">
        <is>
          <t>$m, BEA GDP (A191RC)</t>
        </is>
      </c>
      <c r="G40" s="17" t="n">
        <v>1</v>
      </c>
      <c r="H40" s="14">
        <f>C40*G40/E40*100</f>
        <v/>
      </c>
      <c r="I40" s="17" t="n">
        <v>0.468</v>
      </c>
      <c r="J40" s="18">
        <f>I40-H40</f>
        <v/>
      </c>
      <c r="K40" s="14">
        <f>ABS(J40)</f>
        <v/>
      </c>
      <c r="L40" s="2" t="inlineStr">
        <is>
          <t>BEA Fixed Assets: investment by industry 2110+2130+4860, all assets / GDP</t>
        </is>
      </c>
    </row>
    <row r="41">
      <c r="A41" s="2" t="inlineStr">
        <is>
          <t>shale</t>
        </is>
      </c>
      <c r="B41" s="2" t="inlineStr">
        <is>
          <t>2004</t>
        </is>
      </c>
      <c r="C41" s="16" t="n">
        <v>61702</v>
      </c>
      <c r="D41" s="2" t="inlineStr">
        <is>
          <t>$m, BEA investment, industries 2110+2130+4860</t>
        </is>
      </c>
      <c r="E41" s="16" t="n">
        <v>12217196</v>
      </c>
      <c r="F41" s="2" t="inlineStr">
        <is>
          <t>$m, BEA GDP (A191RC)</t>
        </is>
      </c>
      <c r="G41" s="17" t="n">
        <v>1</v>
      </c>
      <c r="H41" s="14">
        <f>C41*G41/E41*100</f>
        <v/>
      </c>
      <c r="I41" s="17" t="n">
        <v>0.505</v>
      </c>
      <c r="J41" s="18">
        <f>I41-H41</f>
        <v/>
      </c>
      <c r="K41" s="14">
        <f>ABS(J41)</f>
        <v/>
      </c>
      <c r="L41" s="2" t="inlineStr">
        <is>
          <t>BEA Fixed Assets: investment by industry 2110+2130+4860, all assets / GDP</t>
        </is>
      </c>
    </row>
    <row r="42">
      <c r="A42" s="2" t="inlineStr">
        <is>
          <t>shale</t>
        </is>
      </c>
      <c r="B42" s="2" t="inlineStr">
        <is>
          <t>2005</t>
        </is>
      </c>
      <c r="C42" s="16" t="n">
        <v>85201</v>
      </c>
      <c r="D42" s="2" t="inlineStr">
        <is>
          <t>$m, BEA investment, industries 2110+2130+4860</t>
        </is>
      </c>
      <c r="E42" s="16" t="n">
        <v>13039197</v>
      </c>
      <c r="F42" s="2" t="inlineStr">
        <is>
          <t>$m, BEA GDP (A191RC)</t>
        </is>
      </c>
      <c r="G42" s="17" t="n">
        <v>1</v>
      </c>
      <c r="H42" s="14">
        <f>C42*G42/E42*100</f>
        <v/>
      </c>
      <c r="I42" s="17" t="n">
        <v>0.653</v>
      </c>
      <c r="J42" s="18">
        <f>I42-H42</f>
        <v/>
      </c>
      <c r="K42" s="14">
        <f>ABS(J42)</f>
        <v/>
      </c>
      <c r="L42" s="2" t="inlineStr">
        <is>
          <t>BEA Fixed Assets: investment by industry 2110+2130+4860, all assets / GDP</t>
        </is>
      </c>
    </row>
    <row r="43">
      <c r="A43" s="2" t="inlineStr">
        <is>
          <t>shale</t>
        </is>
      </c>
      <c r="B43" s="2" t="inlineStr">
        <is>
          <t>2006</t>
        </is>
      </c>
      <c r="C43" s="16" t="n">
        <v>119755</v>
      </c>
      <c r="D43" s="2" t="inlineStr">
        <is>
          <t>$m, BEA investment, industries 2110+2130+4860</t>
        </is>
      </c>
      <c r="E43" s="16" t="n">
        <v>13815583</v>
      </c>
      <c r="F43" s="2" t="inlineStr">
        <is>
          <t>$m, BEA GDP (A191RC)</t>
        </is>
      </c>
      <c r="G43" s="17" t="n">
        <v>1</v>
      </c>
      <c r="H43" s="14">
        <f>C43*G43/E43*100</f>
        <v/>
      </c>
      <c r="I43" s="17" t="n">
        <v>0.866</v>
      </c>
      <c r="J43" s="18">
        <f>I43-H43</f>
        <v/>
      </c>
      <c r="K43" s="14">
        <f>ABS(J43)</f>
        <v/>
      </c>
      <c r="L43" s="2" t="inlineStr">
        <is>
          <t>BEA Fixed Assets: investment by industry 2110+2130+4860, all assets / GDP</t>
        </is>
      </c>
    </row>
    <row r="44">
      <c r="A44" s="2" t="inlineStr">
        <is>
          <t>shale</t>
        </is>
      </c>
      <c r="B44" s="2" t="inlineStr">
        <is>
          <t>2007</t>
        </is>
      </c>
      <c r="C44" s="16" t="n">
        <v>137621</v>
      </c>
      <c r="D44" s="2" t="inlineStr">
        <is>
          <t>$m, BEA investment, industries 2110+2130+4860</t>
        </is>
      </c>
      <c r="E44" s="16" t="n">
        <v>14474228</v>
      </c>
      <c r="F44" s="2" t="inlineStr">
        <is>
          <t>$m, BEA GDP (A191RC)</t>
        </is>
      </c>
      <c r="G44" s="17" t="n">
        <v>1</v>
      </c>
      <c r="H44" s="14">
        <f>C44*G44/E44*100</f>
        <v/>
      </c>
      <c r="I44" s="17" t="n">
        <v>0.95</v>
      </c>
      <c r="J44" s="18">
        <f>I44-H44</f>
        <v/>
      </c>
      <c r="K44" s="14">
        <f>ABS(J44)</f>
        <v/>
      </c>
      <c r="L44" s="2" t="inlineStr">
        <is>
          <t>BEA Fixed Assets: investment by industry 2110+2130+4860, all assets / GDP</t>
        </is>
      </c>
    </row>
    <row r="45">
      <c r="A45" s="2" t="inlineStr">
        <is>
          <t>shale</t>
        </is>
      </c>
      <c r="B45" s="2" t="inlineStr">
        <is>
          <t>2008</t>
        </is>
      </c>
      <c r="C45" s="16" t="n">
        <v>164624</v>
      </c>
      <c r="D45" s="2" t="inlineStr">
        <is>
          <t>$m, BEA investment, industries 2110+2130+4860</t>
        </is>
      </c>
      <c r="E45" s="16" t="n">
        <v>14769862</v>
      </c>
      <c r="F45" s="2" t="inlineStr">
        <is>
          <t>$m, BEA GDP (A191RC)</t>
        </is>
      </c>
      <c r="G45" s="17" t="n">
        <v>1</v>
      </c>
      <c r="H45" s="14">
        <f>C45*G45/E45*100</f>
        <v/>
      </c>
      <c r="I45" s="17" t="n">
        <v>1.114</v>
      </c>
      <c r="J45" s="18">
        <f>I45-H45</f>
        <v/>
      </c>
      <c r="K45" s="14">
        <f>ABS(J45)</f>
        <v/>
      </c>
      <c r="L45" s="2" t="inlineStr">
        <is>
          <t>BEA Fixed Assets: investment by industry 2110+2130+4860, all assets / GDP</t>
        </is>
      </c>
    </row>
    <row r="46">
      <c r="A46" s="2" t="inlineStr">
        <is>
          <t>shale</t>
        </is>
      </c>
      <c r="B46" s="2" t="inlineStr">
        <is>
          <t>2009</t>
        </is>
      </c>
      <c r="C46" s="16" t="n">
        <v>112278</v>
      </c>
      <c r="D46" s="2" t="inlineStr">
        <is>
          <t>$m, BEA investment, industries 2110+2130+4860</t>
        </is>
      </c>
      <c r="E46" s="16" t="n">
        <v>14478067</v>
      </c>
      <c r="F46" s="2" t="inlineStr">
        <is>
          <t>$m, BEA GDP (A191RC)</t>
        </is>
      </c>
      <c r="G46" s="17" t="n">
        <v>1</v>
      </c>
      <c r="H46" s="14">
        <f>C46*G46/E46*100</f>
        <v/>
      </c>
      <c r="I46" s="17" t="n">
        <v>0.775</v>
      </c>
      <c r="J46" s="18">
        <f>I46-H46</f>
        <v/>
      </c>
      <c r="K46" s="14">
        <f>ABS(J46)</f>
        <v/>
      </c>
      <c r="L46" s="2" t="inlineStr">
        <is>
          <t>BEA Fixed Assets: investment by industry 2110+2130+4860, all assets / GDP</t>
        </is>
      </c>
    </row>
    <row r="47">
      <c r="A47" s="2" t="inlineStr">
        <is>
          <t>shale</t>
        </is>
      </c>
      <c r="B47" s="2" t="inlineStr">
        <is>
          <t>2010</t>
        </is>
      </c>
      <c r="C47" s="16" t="n">
        <v>128345</v>
      </c>
      <c r="D47" s="2" t="inlineStr">
        <is>
          <t>$m, BEA investment, industries 2110+2130+4860</t>
        </is>
      </c>
      <c r="E47" s="16" t="n">
        <v>15048971</v>
      </c>
      <c r="F47" s="2" t="inlineStr">
        <is>
          <t>$m, BEA GDP (A191RC)</t>
        </is>
      </c>
      <c r="G47" s="17" t="n">
        <v>1</v>
      </c>
      <c r="H47" s="14">
        <f>C47*G47/E47*100</f>
        <v/>
      </c>
      <c r="I47" s="17" t="n">
        <v>0.852</v>
      </c>
      <c r="J47" s="18">
        <f>I47-H47</f>
        <v/>
      </c>
      <c r="K47" s="14">
        <f>ABS(J47)</f>
        <v/>
      </c>
      <c r="L47" s="2" t="inlineStr">
        <is>
          <t>BEA Fixed Assets: investment by industry 2110+2130+4860, all assets / GDP</t>
        </is>
      </c>
    </row>
    <row r="48">
      <c r="A48" s="2" t="inlineStr">
        <is>
          <t>shale</t>
        </is>
      </c>
      <c r="B48" s="2" t="inlineStr">
        <is>
          <t>2011</t>
        </is>
      </c>
      <c r="C48" s="16" t="n">
        <v>161349</v>
      </c>
      <c r="D48" s="2" t="inlineStr">
        <is>
          <t>$m, BEA investment, industries 2110+2130+4860</t>
        </is>
      </c>
      <c r="E48" s="16" t="n">
        <v>15599732</v>
      </c>
      <c r="F48" s="2" t="inlineStr">
        <is>
          <t>$m, BEA GDP (A191RC)</t>
        </is>
      </c>
      <c r="G48" s="17" t="n">
        <v>1</v>
      </c>
      <c r="H48" s="14">
        <f>C48*G48/E48*100</f>
        <v/>
      </c>
      <c r="I48" s="17" t="n">
        <v>1.034</v>
      </c>
      <c r="J48" s="18">
        <f>I48-H48</f>
        <v/>
      </c>
      <c r="K48" s="14">
        <f>ABS(J48)</f>
        <v/>
      </c>
      <c r="L48" s="2" t="inlineStr">
        <is>
          <t>BEA Fixed Assets: investment by industry 2110+2130+4860, all assets / GDP</t>
        </is>
      </c>
    </row>
    <row r="49">
      <c r="A49" s="2" t="inlineStr">
        <is>
          <t>shale</t>
        </is>
      </c>
      <c r="B49" s="2" t="inlineStr">
        <is>
          <t>2012</t>
        </is>
      </c>
      <c r="C49" s="16" t="n">
        <v>204805</v>
      </c>
      <c r="D49" s="2" t="inlineStr">
        <is>
          <t>$m, BEA investment, industries 2110+2130+4860</t>
        </is>
      </c>
      <c r="E49" s="16" t="n">
        <v>16253970</v>
      </c>
      <c r="F49" s="2" t="inlineStr">
        <is>
          <t>$m, BEA GDP (A191RC)</t>
        </is>
      </c>
      <c r="G49" s="17" t="n">
        <v>1</v>
      </c>
      <c r="H49" s="14">
        <f>C49*G49/E49*100</f>
        <v/>
      </c>
      <c r="I49" s="17" t="n">
        <v>1.259</v>
      </c>
      <c r="J49" s="18">
        <f>I49-H49</f>
        <v/>
      </c>
      <c r="K49" s="14">
        <f>ABS(J49)</f>
        <v/>
      </c>
      <c r="L49" s="2" t="inlineStr">
        <is>
          <t>BEA Fixed Assets: investment by industry 2110+2130+4860, all assets / GDP</t>
        </is>
      </c>
    </row>
    <row r="50">
      <c r="A50" s="2" t="inlineStr">
        <is>
          <t>shale</t>
        </is>
      </c>
      <c r="B50" s="2" t="inlineStr">
        <is>
          <t>2013</t>
        </is>
      </c>
      <c r="C50" s="16" t="n">
        <v>211076</v>
      </c>
      <c r="D50" s="2" t="inlineStr">
        <is>
          <t>$m, BEA investment, industries 2110+2130+4860</t>
        </is>
      </c>
      <c r="E50" s="16" t="n">
        <v>16880683</v>
      </c>
      <c r="F50" s="2" t="inlineStr">
        <is>
          <t>$m, BEA GDP (A191RC)</t>
        </is>
      </c>
      <c r="G50" s="17" t="n">
        <v>1</v>
      </c>
      <c r="H50" s="14">
        <f>C50*G50/E50*100</f>
        <v/>
      </c>
      <c r="I50" s="17" t="n">
        <v>1.249</v>
      </c>
      <c r="J50" s="18">
        <f>I50-H50</f>
        <v/>
      </c>
      <c r="K50" s="14">
        <f>ABS(J50)</f>
        <v/>
      </c>
      <c r="L50" s="2" t="inlineStr">
        <is>
          <t>BEA Fixed Assets: investment by industry 2110+2130+4860, all assets / GDP</t>
        </is>
      </c>
    </row>
    <row r="51">
      <c r="A51" s="2" t="inlineStr">
        <is>
          <t>shale</t>
        </is>
      </c>
      <c r="B51" s="2" t="inlineStr">
        <is>
          <t>2014</t>
        </is>
      </c>
      <c r="C51" s="16" t="n">
        <v>249208</v>
      </c>
      <c r="D51" s="2" t="inlineStr">
        <is>
          <t>$m, BEA investment, industries 2110+2130+4860</t>
        </is>
      </c>
      <c r="E51" s="16" t="n">
        <v>17608138</v>
      </c>
      <c r="F51" s="2" t="inlineStr">
        <is>
          <t>$m, BEA GDP (A191RC)</t>
        </is>
      </c>
      <c r="G51" s="17" t="n">
        <v>1</v>
      </c>
      <c r="H51" s="14">
        <f>C51*G51/E51*100</f>
        <v/>
      </c>
      <c r="I51" s="17" t="n">
        <v>1.415</v>
      </c>
      <c r="J51" s="18">
        <f>I51-H51</f>
        <v/>
      </c>
      <c r="K51" s="14">
        <f>ABS(J51)</f>
        <v/>
      </c>
      <c r="L51" s="2" t="inlineStr">
        <is>
          <t>BEA Fixed Assets: investment by industry 2110+2130+4860, all assets / GDP</t>
        </is>
      </c>
    </row>
    <row r="52">
      <c r="A52" s="2" t="inlineStr">
        <is>
          <t>shale</t>
        </is>
      </c>
      <c r="B52" s="2" t="inlineStr">
        <is>
          <t>2015</t>
        </is>
      </c>
      <c r="C52" s="16" t="n">
        <v>179261</v>
      </c>
      <c r="D52" s="2" t="inlineStr">
        <is>
          <t>$m, BEA investment, industries 2110+2130+4860</t>
        </is>
      </c>
      <c r="E52" s="16" t="n">
        <v>18295019</v>
      </c>
      <c r="F52" s="2" t="inlineStr">
        <is>
          <t>$m, BEA GDP (A191RC)</t>
        </is>
      </c>
      <c r="G52" s="17" t="n">
        <v>1</v>
      </c>
      <c r="H52" s="14">
        <f>C52*G52/E52*100</f>
        <v/>
      </c>
      <c r="I52" s="17" t="n">
        <v>0.979</v>
      </c>
      <c r="J52" s="18">
        <f>I52-H52</f>
        <v/>
      </c>
      <c r="K52" s="14">
        <f>ABS(J52)</f>
        <v/>
      </c>
      <c r="L52" s="2" t="inlineStr">
        <is>
          <t>BEA Fixed Assets: investment by industry 2110+2130+4860, all assets / GDP</t>
        </is>
      </c>
    </row>
    <row r="53">
      <c r="A53" s="2" t="inlineStr">
        <is>
          <t>shale</t>
        </is>
      </c>
      <c r="B53" s="2" t="inlineStr">
        <is>
          <t>2016</t>
        </is>
      </c>
      <c r="C53" s="16" t="n">
        <v>105513</v>
      </c>
      <c r="D53" s="2" t="inlineStr">
        <is>
          <t>$m, BEA investment, industries 2110+2130+4860</t>
        </is>
      </c>
      <c r="E53" s="16" t="n">
        <v>18804913</v>
      </c>
      <c r="F53" s="2" t="inlineStr">
        <is>
          <t>$m, BEA GDP (A191RC)</t>
        </is>
      </c>
      <c r="G53" s="17" t="n">
        <v>1</v>
      </c>
      <c r="H53" s="14">
        <f>C53*G53/E53*100</f>
        <v/>
      </c>
      <c r="I53" s="17" t="n">
        <v>0.5600000000000001</v>
      </c>
      <c r="J53" s="18">
        <f>I53-H53</f>
        <v/>
      </c>
      <c r="K53" s="14">
        <f>ABS(J53)</f>
        <v/>
      </c>
      <c r="L53" s="2" t="inlineStr">
        <is>
          <t>BEA Fixed Assets: investment by industry 2110+2130+4860, all assets / GDP</t>
        </is>
      </c>
    </row>
    <row r="54">
      <c r="A54" s="2" t="inlineStr">
        <is>
          <t>telecom</t>
        </is>
      </c>
      <c r="B54" s="2" t="inlineStr">
        <is>
          <t>1995</t>
        </is>
      </c>
      <c r="C54" s="16" t="n">
        <v>80578</v>
      </c>
      <c r="D54" s="2" t="inlineStr">
        <is>
          <t>$m, BEA investment, industry 5130</t>
        </is>
      </c>
      <c r="E54" s="16" t="n">
        <v>7639749</v>
      </c>
      <c r="F54" s="2" t="inlineStr">
        <is>
          <t>$m, BEA GDP (A191RC)</t>
        </is>
      </c>
      <c r="G54" s="17" t="n">
        <v>1</v>
      </c>
      <c r="H54" s="14">
        <f>C54*G54/E54*100</f>
        <v/>
      </c>
      <c r="I54" s="17" t="n">
        <v>1.054</v>
      </c>
      <c r="J54" s="18">
        <f>I54-H54</f>
        <v/>
      </c>
      <c r="K54" s="14">
        <f>ABS(J54)</f>
        <v/>
      </c>
      <c r="L54" s="2" t="inlineStr">
        <is>
          <t>BEA Fixed Assets: investment by industry 5130, all assets / GDP</t>
        </is>
      </c>
    </row>
    <row r="55">
      <c r="A55" s="2" t="inlineStr">
        <is>
          <t>telecom</t>
        </is>
      </c>
      <c r="B55" s="2" t="inlineStr">
        <is>
          <t>1996</t>
        </is>
      </c>
      <c r="C55" s="16" t="n">
        <v>87528</v>
      </c>
      <c r="D55" s="2" t="inlineStr">
        <is>
          <t>$m, BEA investment, industry 5130</t>
        </is>
      </c>
      <c r="E55" s="16" t="n">
        <v>8073122</v>
      </c>
      <c r="F55" s="2" t="inlineStr">
        <is>
          <t>$m, BEA GDP (A191RC)</t>
        </is>
      </c>
      <c r="G55" s="17" t="n">
        <v>1</v>
      </c>
      <c r="H55" s="14">
        <f>C55*G55/E55*100</f>
        <v/>
      </c>
      <c r="I55" s="17" t="n">
        <v>1.083</v>
      </c>
      <c r="J55" s="18">
        <f>I55-H55</f>
        <v/>
      </c>
      <c r="K55" s="14">
        <f>ABS(J55)</f>
        <v/>
      </c>
      <c r="L55" s="2" t="inlineStr">
        <is>
          <t>BEA Fixed Assets: investment by industry 5130, all assets / GDP</t>
        </is>
      </c>
    </row>
    <row r="56">
      <c r="A56" s="2" t="inlineStr">
        <is>
          <t>telecom</t>
        </is>
      </c>
      <c r="B56" s="2" t="inlineStr">
        <is>
          <t>1997</t>
        </is>
      </c>
      <c r="C56" s="16" t="n">
        <v>94134</v>
      </c>
      <c r="D56" s="2" t="inlineStr">
        <is>
          <t>$m, BEA investment, industry 5130</t>
        </is>
      </c>
      <c r="E56" s="16" t="n">
        <v>8577552</v>
      </c>
      <c r="F56" s="2" t="inlineStr">
        <is>
          <t>$m, BEA GDP (A191RC)</t>
        </is>
      </c>
      <c r="G56" s="17" t="n">
        <v>1</v>
      </c>
      <c r="H56" s="14">
        <f>C56*G56/E56*100</f>
        <v/>
      </c>
      <c r="I56" s="17" t="n">
        <v>1.098</v>
      </c>
      <c r="J56" s="18">
        <f>I56-H56</f>
        <v/>
      </c>
      <c r="K56" s="14">
        <f>ABS(J56)</f>
        <v/>
      </c>
      <c r="L56" s="2" t="inlineStr">
        <is>
          <t>BEA Fixed Assets: investment by industry 5130, all assets / GDP</t>
        </is>
      </c>
    </row>
    <row r="57">
      <c r="A57" s="2" t="inlineStr">
        <is>
          <t>telecom</t>
        </is>
      </c>
      <c r="B57" s="2" t="inlineStr">
        <is>
          <t>1998</t>
        </is>
      </c>
      <c r="C57" s="16" t="n">
        <v>102970</v>
      </c>
      <c r="D57" s="2" t="inlineStr">
        <is>
          <t>$m, BEA investment, industry 5130</t>
        </is>
      </c>
      <c r="E57" s="16" t="n">
        <v>9062817</v>
      </c>
      <c r="F57" s="2" t="inlineStr">
        <is>
          <t>$m, BEA GDP (A191RC)</t>
        </is>
      </c>
      <c r="G57" s="17" t="n">
        <v>1</v>
      </c>
      <c r="H57" s="14">
        <f>C57*G57/E57*100</f>
        <v/>
      </c>
      <c r="I57" s="17" t="n">
        <v>1.135</v>
      </c>
      <c r="J57" s="18">
        <f>I57-H57</f>
        <v/>
      </c>
      <c r="K57" s="14">
        <f>ABS(J57)</f>
        <v/>
      </c>
      <c r="L57" s="2" t="inlineStr">
        <is>
          <t>BEA Fixed Assets: investment by industry 5130, all assets / GDP</t>
        </is>
      </c>
    </row>
    <row r="58">
      <c r="A58" s="2" t="inlineStr">
        <is>
          <t>telecom</t>
        </is>
      </c>
      <c r="B58" s="2" t="inlineStr">
        <is>
          <t>1999</t>
        </is>
      </c>
      <c r="C58" s="16" t="n">
        <v>123751</v>
      </c>
      <c r="D58" s="2" t="inlineStr">
        <is>
          <t>$m, BEA investment, industry 5130</t>
        </is>
      </c>
      <c r="E58" s="16" t="n">
        <v>9631172</v>
      </c>
      <c r="F58" s="2" t="inlineStr">
        <is>
          <t>$m, BEA GDP (A191RC)</t>
        </is>
      </c>
      <c r="G58" s="17" t="n">
        <v>1</v>
      </c>
      <c r="H58" s="14">
        <f>C58*G58/E58*100</f>
        <v/>
      </c>
      <c r="I58" s="17" t="n">
        <v>1.285</v>
      </c>
      <c r="J58" s="18">
        <f>I58-H58</f>
        <v/>
      </c>
      <c r="K58" s="14">
        <f>ABS(J58)</f>
        <v/>
      </c>
      <c r="L58" s="2" t="inlineStr">
        <is>
          <t>BEA Fixed Assets: investment by industry 5130, all assets / GDP</t>
        </is>
      </c>
    </row>
    <row r="59">
      <c r="A59" s="2" t="inlineStr">
        <is>
          <t>telecom</t>
        </is>
      </c>
      <c r="B59" s="2" t="inlineStr">
        <is>
          <t>2000</t>
        </is>
      </c>
      <c r="C59" s="16" t="n">
        <v>157925</v>
      </c>
      <c r="D59" s="2" t="inlineStr">
        <is>
          <t>$m, BEA investment, industry 5130</t>
        </is>
      </c>
      <c r="E59" s="16" t="n">
        <v>10250952</v>
      </c>
      <c r="F59" s="2" t="inlineStr">
        <is>
          <t>$m, BEA GDP (A191RC)</t>
        </is>
      </c>
      <c r="G59" s="17" t="n">
        <v>1</v>
      </c>
      <c r="H59" s="14">
        <f>C59*G59/E59*100</f>
        <v/>
      </c>
      <c r="I59" s="17" t="n">
        <v>1.54</v>
      </c>
      <c r="J59" s="18">
        <f>I59-H59</f>
        <v/>
      </c>
      <c r="K59" s="14">
        <f>ABS(J59)</f>
        <v/>
      </c>
      <c r="L59" s="2" t="inlineStr">
        <is>
          <t>BEA Fixed Assets: investment by industry 5130, all assets / GDP</t>
        </is>
      </c>
    </row>
    <row r="60">
      <c r="A60" s="2" t="inlineStr">
        <is>
          <t>telecom</t>
        </is>
      </c>
      <c r="B60" s="2" t="inlineStr">
        <is>
          <t>2001</t>
        </is>
      </c>
      <c r="C60" s="16" t="n">
        <v>141498</v>
      </c>
      <c r="D60" s="2" t="inlineStr">
        <is>
          <t>$m, BEA investment, industry 5130</t>
        </is>
      </c>
      <c r="E60" s="16" t="n">
        <v>10581929</v>
      </c>
      <c r="F60" s="2" t="inlineStr">
        <is>
          <t>$m, BEA GDP (A191RC)</t>
        </is>
      </c>
      <c r="G60" s="17" t="n">
        <v>1</v>
      </c>
      <c r="H60" s="14">
        <f>C60*G60/E60*100</f>
        <v/>
      </c>
      <c r="I60" s="17" t="n">
        <v>1.337</v>
      </c>
      <c r="J60" s="18">
        <f>I60-H60</f>
        <v/>
      </c>
      <c r="K60" s="14">
        <f>ABS(J60)</f>
        <v/>
      </c>
      <c r="L60" s="2" t="inlineStr">
        <is>
          <t>BEA Fixed Assets: investment by industry 5130, all assets / GDP</t>
        </is>
      </c>
    </row>
    <row r="61">
      <c r="A61" s="2" t="inlineStr">
        <is>
          <t>telecom</t>
        </is>
      </c>
      <c r="B61" s="2" t="inlineStr">
        <is>
          <t>2002</t>
        </is>
      </c>
      <c r="C61" s="16" t="n">
        <v>99569</v>
      </c>
      <c r="D61" s="2" t="inlineStr">
        <is>
          <t>$m, BEA investment, industry 5130</t>
        </is>
      </c>
      <c r="E61" s="16" t="n">
        <v>10929108</v>
      </c>
      <c r="F61" s="2" t="inlineStr">
        <is>
          <t>$m, BEA GDP (A191RC)</t>
        </is>
      </c>
      <c r="G61" s="17" t="n">
        <v>1</v>
      </c>
      <c r="H61" s="14">
        <f>C61*G61/E61*100</f>
        <v/>
      </c>
      <c r="I61" s="17" t="n">
        <v>0.91</v>
      </c>
      <c r="J61" s="18">
        <f>I61-H61</f>
        <v/>
      </c>
      <c r="K61" s="14">
        <f>ABS(J61)</f>
        <v/>
      </c>
      <c r="L61" s="2" t="inlineStr">
        <is>
          <t>BEA Fixed Assets: investment by industry 5130, all assets / GDP</t>
        </is>
      </c>
    </row>
    <row r="62">
      <c r="A62" s="2" t="inlineStr">
        <is>
          <t>telecom</t>
        </is>
      </c>
      <c r="B62" s="2" t="inlineStr">
        <is>
          <t>2003</t>
        </is>
      </c>
      <c r="C62" s="16" t="n">
        <v>90455</v>
      </c>
      <c r="D62" s="2" t="inlineStr">
        <is>
          <t>$m, BEA investment, industry 5130</t>
        </is>
      </c>
      <c r="E62" s="16" t="n">
        <v>11456450</v>
      </c>
      <c r="F62" s="2" t="inlineStr">
        <is>
          <t>$m, BEA GDP (A191RC)</t>
        </is>
      </c>
      <c r="G62" s="17" t="n">
        <v>1</v>
      </c>
      <c r="H62" s="14">
        <f>C62*G62/E62*100</f>
        <v/>
      </c>
      <c r="I62" s="17" t="n">
        <v>0.789</v>
      </c>
      <c r="J62" s="18">
        <f>I62-H62</f>
        <v/>
      </c>
      <c r="K62" s="14">
        <f>ABS(J62)</f>
        <v/>
      </c>
      <c r="L62" s="2" t="inlineStr">
        <is>
          <t>BEA Fixed Assets: investment by industry 5130, all assets / GDP</t>
        </is>
      </c>
    </row>
    <row r="63">
      <c r="A63" s="2" t="inlineStr">
        <is>
          <t>hyper</t>
        </is>
      </c>
      <c r="B63" s="2" t="inlineStr">
        <is>
          <t>TTM to 2022Q1</t>
        </is>
      </c>
      <c r="C63" s="19">
        <f>'Hyperscalers first-hand'!I10</f>
        <v/>
      </c>
      <c r="D63" s="2" t="inlineStr">
        <is>
          <t>$bn, TTM capex of the five (SEC)</t>
        </is>
      </c>
      <c r="E63" s="19">
        <f>'Hyperscalers first-hand'!J10</f>
        <v/>
      </c>
      <c r="F63" s="2" t="inlineStr">
        <is>
          <t>$bn, TTM BEA GDP</t>
        </is>
      </c>
      <c r="G63" s="17" t="n">
        <v>1</v>
      </c>
      <c r="H63" s="14">
        <f>C63*G63/E63*100</f>
        <v/>
      </c>
      <c r="I63" s="17" t="n">
        <v>0.537</v>
      </c>
      <c r="J63" s="18">
        <f>I63-H63</f>
        <v/>
      </c>
      <c r="K63" s="14">
        <f>ABS(J63)</f>
        <v/>
      </c>
      <c r="L63" s="2" t="inlineStr">
        <is>
          <t>SEC XBRL capex MSFT+GOOGL+AMZN+META+ORCL, TTM / BEA GDP TTM</t>
        </is>
      </c>
    </row>
    <row r="64">
      <c r="A64" s="2" t="inlineStr">
        <is>
          <t>hyper</t>
        </is>
      </c>
      <c r="B64" s="2" t="inlineStr">
        <is>
          <t>TTM to 2022Q2</t>
        </is>
      </c>
      <c r="C64" s="19">
        <f>'Hyperscalers first-hand'!I11</f>
        <v/>
      </c>
      <c r="D64" s="2" t="inlineStr">
        <is>
          <t>$bn, TTM capex of the five (SEC)</t>
        </is>
      </c>
      <c r="E64" s="19">
        <f>'Hyperscalers first-hand'!J11</f>
        <v/>
      </c>
      <c r="F64" s="2" t="inlineStr">
        <is>
          <t>$bn, TTM BEA GDP</t>
        </is>
      </c>
      <c r="G64" s="17" t="n">
        <v>1</v>
      </c>
      <c r="H64" s="14">
        <f>C64*G64/E64*100</f>
        <v/>
      </c>
      <c r="I64" s="17" t="n">
        <v>0.5639999999999999</v>
      </c>
      <c r="J64" s="18">
        <f>I64-H64</f>
        <v/>
      </c>
      <c r="K64" s="14">
        <f>ABS(J64)</f>
        <v/>
      </c>
      <c r="L64" s="2" t="inlineStr">
        <is>
          <t>SEC XBRL capex MSFT+GOOGL+AMZN+META+ORCL, TTM / BEA GDP TTM</t>
        </is>
      </c>
    </row>
    <row r="65">
      <c r="A65" s="2" t="inlineStr">
        <is>
          <t>hyper</t>
        </is>
      </c>
      <c r="B65" s="2" t="inlineStr">
        <is>
          <t>TTM to 2022Q3</t>
        </is>
      </c>
      <c r="C65" s="19">
        <f>'Hyperscalers first-hand'!I12</f>
        <v/>
      </c>
      <c r="D65" s="2" t="inlineStr">
        <is>
          <t>$bn, TTM capex of the five (SEC)</t>
        </is>
      </c>
      <c r="E65" s="19">
        <f>'Hyperscalers first-hand'!J12</f>
        <v/>
      </c>
      <c r="F65" s="2" t="inlineStr">
        <is>
          <t>$bn, TTM BEA GDP</t>
        </is>
      </c>
      <c r="G65" s="17" t="n">
        <v>1</v>
      </c>
      <c r="H65" s="14">
        <f>C65*G65/E65*100</f>
        <v/>
      </c>
      <c r="I65" s="17" t="n">
        <v>0.595</v>
      </c>
      <c r="J65" s="18">
        <f>I65-H65</f>
        <v/>
      </c>
      <c r="K65" s="14">
        <f>ABS(J65)</f>
        <v/>
      </c>
      <c r="L65" s="2" t="inlineStr">
        <is>
          <t>SEC XBRL capex MSFT+GOOGL+AMZN+META+ORCL, TTM / BEA GDP TTM</t>
        </is>
      </c>
    </row>
    <row r="66">
      <c r="A66" s="2" t="inlineStr">
        <is>
          <t>hyper</t>
        </is>
      </c>
      <c r="B66" s="2" t="inlineStr">
        <is>
          <t>TTM to 2022Q4</t>
        </is>
      </c>
      <c r="C66" s="19">
        <f>'Hyperscalers first-hand'!I13</f>
        <v/>
      </c>
      <c r="D66" s="2" t="inlineStr">
        <is>
          <t>$bn, TTM capex of the five (SEC)</t>
        </is>
      </c>
      <c r="E66" s="19">
        <f>'Hyperscalers first-hand'!J13</f>
        <v/>
      </c>
      <c r="F66" s="2" t="inlineStr">
        <is>
          <t>$bn, TTM BEA GDP</t>
        </is>
      </c>
      <c r="G66" s="17" t="n">
        <v>1</v>
      </c>
      <c r="H66" s="14">
        <f>C66*G66/E66*100</f>
        <v/>
      </c>
      <c r="I66" s="17" t="n">
        <v>0.611</v>
      </c>
      <c r="J66" s="18">
        <f>I66-H66</f>
        <v/>
      </c>
      <c r="K66" s="14">
        <f>ABS(J66)</f>
        <v/>
      </c>
      <c r="L66" s="2" t="inlineStr">
        <is>
          <t>SEC XBRL capex MSFT+GOOGL+AMZN+META+ORCL, TTM / BEA GDP TTM</t>
        </is>
      </c>
    </row>
    <row r="67">
      <c r="A67" s="2" t="inlineStr">
        <is>
          <t>hyper</t>
        </is>
      </c>
      <c r="B67" s="2" t="inlineStr">
        <is>
          <t>TTM to 2023Q1</t>
        </is>
      </c>
      <c r="C67" s="19">
        <f>'Hyperscalers first-hand'!I14</f>
        <v/>
      </c>
      <c r="D67" s="2" t="inlineStr">
        <is>
          <t>$bn, TTM capex of the five (SEC)</t>
        </is>
      </c>
      <c r="E67" s="19">
        <f>'Hyperscalers first-hand'!J14</f>
        <v/>
      </c>
      <c r="F67" s="2" t="inlineStr">
        <is>
          <t>$bn, TTM BEA GDP</t>
        </is>
      </c>
      <c r="G67" s="17" t="n">
        <v>1</v>
      </c>
      <c r="H67" s="14">
        <f>C67*G67/E67*100</f>
        <v/>
      </c>
      <c r="I67" s="17" t="n">
        <v>0.569</v>
      </c>
      <c r="J67" s="18">
        <f>I67-H67</f>
        <v/>
      </c>
      <c r="K67" s="14">
        <f>ABS(J67)</f>
        <v/>
      </c>
      <c r="L67" s="2" t="inlineStr">
        <is>
          <t>SEC XBRL capex MSFT+GOOGL+AMZN+META+ORCL, TTM / BEA GDP TTM</t>
        </is>
      </c>
    </row>
    <row r="68">
      <c r="A68" s="2" t="inlineStr">
        <is>
          <t>hyper</t>
        </is>
      </c>
      <c r="B68" s="2" t="inlineStr">
        <is>
          <t>TTM to 2023Q2</t>
        </is>
      </c>
      <c r="C68" s="19">
        <f>'Hyperscalers first-hand'!I15</f>
        <v/>
      </c>
      <c r="D68" s="2" t="inlineStr">
        <is>
          <t>$bn, TTM capex of the five (SEC)</t>
        </is>
      </c>
      <c r="E68" s="19">
        <f>'Hyperscalers first-hand'!J15</f>
        <v/>
      </c>
      <c r="F68" s="2" t="inlineStr">
        <is>
          <t>$bn, TTM BEA GDP</t>
        </is>
      </c>
      <c r="G68" s="17" t="n">
        <v>1</v>
      </c>
      <c r="H68" s="14">
        <f>C68*G68/E68*100</f>
        <v/>
      </c>
      <c r="I68" s="17" t="n">
        <v>0.555</v>
      </c>
      <c r="J68" s="18">
        <f>I68-H68</f>
        <v/>
      </c>
      <c r="K68" s="14">
        <f>ABS(J68)</f>
        <v/>
      </c>
      <c r="L68" s="2" t="inlineStr">
        <is>
          <t>SEC XBRL capex MSFT+GOOGL+AMZN+META+ORCL, TTM / BEA GDP TTM</t>
        </is>
      </c>
    </row>
    <row r="69">
      <c r="A69" s="2" t="inlineStr">
        <is>
          <t>hyper</t>
        </is>
      </c>
      <c r="B69" s="2" t="inlineStr">
        <is>
          <t>TTM to 2023Q3</t>
        </is>
      </c>
      <c r="C69" s="19">
        <f>'Hyperscalers first-hand'!I16</f>
        <v/>
      </c>
      <c r="D69" s="2" t="inlineStr">
        <is>
          <t>$bn, TTM capex of the five (SEC)</t>
        </is>
      </c>
      <c r="E69" s="19">
        <f>'Hyperscalers first-hand'!J16</f>
        <v/>
      </c>
      <c r="F69" s="2" t="inlineStr">
        <is>
          <t>$bn, TTM BEA GDP</t>
        </is>
      </c>
      <c r="G69" s="17" t="n">
        <v>1</v>
      </c>
      <c r="H69" s="14">
        <f>C69*G69/E69*100</f>
        <v/>
      </c>
      <c r="I69" s="17" t="n">
        <v>0.542</v>
      </c>
      <c r="J69" s="18">
        <f>I69-H69</f>
        <v/>
      </c>
      <c r="K69" s="14">
        <f>ABS(J69)</f>
        <v/>
      </c>
      <c r="L69" s="2" t="inlineStr">
        <is>
          <t>SEC XBRL capex MSFT+GOOGL+AMZN+META+ORCL, TTM / BEA GDP TTM</t>
        </is>
      </c>
    </row>
    <row r="70">
      <c r="A70" s="2" t="inlineStr">
        <is>
          <t>hyper</t>
        </is>
      </c>
      <c r="B70" s="2" t="inlineStr">
        <is>
          <t>TTM to 2023Q4</t>
        </is>
      </c>
      <c r="C70" s="19">
        <f>'Hyperscalers first-hand'!I17</f>
        <v/>
      </c>
      <c r="D70" s="2" t="inlineStr">
        <is>
          <t>$bn, TTM capex of the five (SEC)</t>
        </is>
      </c>
      <c r="E70" s="19">
        <f>'Hyperscalers first-hand'!J17</f>
        <v/>
      </c>
      <c r="F70" s="2" t="inlineStr">
        <is>
          <t>$bn, TTM BEA GDP</t>
        </is>
      </c>
      <c r="G70" s="17" t="n">
        <v>1</v>
      </c>
      <c r="H70" s="14">
        <f>C70*G70/E70*100</f>
        <v/>
      </c>
      <c r="I70" s="17" t="n">
        <v>0.551</v>
      </c>
      <c r="J70" s="18">
        <f>I70-H70</f>
        <v/>
      </c>
      <c r="K70" s="14">
        <f>ABS(J70)</f>
        <v/>
      </c>
      <c r="L70" s="2" t="inlineStr">
        <is>
          <t>SEC XBRL capex MSFT+GOOGL+AMZN+META+ORCL, TTM / BEA GDP TTM</t>
        </is>
      </c>
    </row>
    <row r="71">
      <c r="A71" s="2" t="inlineStr">
        <is>
          <t>hyper</t>
        </is>
      </c>
      <c r="B71" s="2" t="inlineStr">
        <is>
          <t>TTM to 2024Q1</t>
        </is>
      </c>
      <c r="C71" s="19">
        <f>'Hyperscalers first-hand'!I18</f>
        <v/>
      </c>
      <c r="D71" s="2" t="inlineStr">
        <is>
          <t>$bn, TTM capex of the five (SEC)</t>
        </is>
      </c>
      <c r="E71" s="19">
        <f>'Hyperscalers first-hand'!J18</f>
        <v/>
      </c>
      <c r="F71" s="2" t="inlineStr">
        <is>
          <t>$bn, TTM BEA GDP</t>
        </is>
      </c>
      <c r="G71" s="17" t="n">
        <v>1</v>
      </c>
      <c r="H71" s="14">
        <f>C71*G71/E71*100</f>
        <v/>
      </c>
      <c r="I71" s="17" t="n">
        <v>0.5620000000000001</v>
      </c>
      <c r="J71" s="18">
        <f>I71-H71</f>
        <v/>
      </c>
      <c r="K71" s="14">
        <f>ABS(J71)</f>
        <v/>
      </c>
      <c r="L71" s="2" t="inlineStr">
        <is>
          <t>SEC XBRL capex MSFT+GOOGL+AMZN+META+ORCL, TTM / BEA GDP TTM</t>
        </is>
      </c>
    </row>
    <row r="72">
      <c r="A72" s="2" t="inlineStr">
        <is>
          <t>hyper</t>
        </is>
      </c>
      <c r="B72" s="2" t="inlineStr">
        <is>
          <t>TTM to 2024Q2</t>
        </is>
      </c>
      <c r="C72" s="19">
        <f>'Hyperscalers first-hand'!I19</f>
        <v/>
      </c>
      <c r="D72" s="2" t="inlineStr">
        <is>
          <t>$bn, TTM capex of the five (SEC)</t>
        </is>
      </c>
      <c r="E72" s="19">
        <f>'Hyperscalers first-hand'!J19</f>
        <v/>
      </c>
      <c r="F72" s="2" t="inlineStr">
        <is>
          <t>$bn, TTM BEA GDP</t>
        </is>
      </c>
      <c r="G72" s="17" t="n">
        <v>1</v>
      </c>
      <c r="H72" s="14">
        <f>C72*G72/E72*100</f>
        <v/>
      </c>
      <c r="I72" s="17" t="n">
        <v>0.63</v>
      </c>
      <c r="J72" s="18">
        <f>I72-H72</f>
        <v/>
      </c>
      <c r="K72" s="14">
        <f>ABS(J72)</f>
        <v/>
      </c>
      <c r="L72" s="2" t="inlineStr">
        <is>
          <t>SEC XBRL capex MSFT+GOOGL+AMZN+META+ORCL, TTM / BEA GDP TTM</t>
        </is>
      </c>
    </row>
    <row r="73">
      <c r="A73" s="2" t="inlineStr">
        <is>
          <t>hyper</t>
        </is>
      </c>
      <c r="B73" s="2" t="inlineStr">
        <is>
          <t>TTM to 2024Q3</t>
        </is>
      </c>
      <c r="C73" s="19">
        <f>'Hyperscalers first-hand'!I20</f>
        <v/>
      </c>
      <c r="D73" s="2" t="inlineStr">
        <is>
          <t>$bn, TTM capex of the five (SEC)</t>
        </is>
      </c>
      <c r="E73" s="19">
        <f>'Hyperscalers first-hand'!J20</f>
        <v/>
      </c>
      <c r="F73" s="2" t="inlineStr">
        <is>
          <t>$bn, TTM BEA GDP</t>
        </is>
      </c>
      <c r="G73" s="17" t="n">
        <v>1</v>
      </c>
      <c r="H73" s="14">
        <f>C73*G73/E73*100</f>
        <v/>
      </c>
      <c r="I73" s="17" t="n">
        <v>0.715</v>
      </c>
      <c r="J73" s="18">
        <f>I73-H73</f>
        <v/>
      </c>
      <c r="K73" s="14">
        <f>ABS(J73)</f>
        <v/>
      </c>
      <c r="L73" s="2" t="inlineStr">
        <is>
          <t>SEC XBRL capex MSFT+GOOGL+AMZN+META+ORCL, TTM / BEA GDP TTM</t>
        </is>
      </c>
    </row>
    <row r="74">
      <c r="A74" s="2" t="inlineStr">
        <is>
          <t>hyper</t>
        </is>
      </c>
      <c r="B74" s="2" t="inlineStr">
        <is>
          <t>TTM to 2024Q4</t>
        </is>
      </c>
      <c r="C74" s="19">
        <f>'Hyperscalers first-hand'!I21</f>
        <v/>
      </c>
      <c r="D74" s="2" t="inlineStr">
        <is>
          <t>$bn, TTM capex of the five (SEC)</t>
        </is>
      </c>
      <c r="E74" s="19">
        <f>'Hyperscalers first-hand'!J21</f>
        <v/>
      </c>
      <c r="F74" s="2" t="inlineStr">
        <is>
          <t>$bn, TTM BEA GDP</t>
        </is>
      </c>
      <c r="G74" s="17" t="n">
        <v>1</v>
      </c>
      <c r="H74" s="14">
        <f>C74*G74/E74*100</f>
        <v/>
      </c>
      <c r="I74" s="17" t="n">
        <v>0.829</v>
      </c>
      <c r="J74" s="18">
        <f>I74-H74</f>
        <v/>
      </c>
      <c r="K74" s="14">
        <f>ABS(J74)</f>
        <v/>
      </c>
      <c r="L74" s="2" t="inlineStr">
        <is>
          <t>SEC XBRL capex MSFT+GOOGL+AMZN+META+ORCL, TTM / BEA GDP TTM</t>
        </is>
      </c>
    </row>
    <row r="75">
      <c r="A75" s="2" t="inlineStr">
        <is>
          <t>hyper</t>
        </is>
      </c>
      <c r="B75" s="2" t="inlineStr">
        <is>
          <t>TTM to 2025Q1</t>
        </is>
      </c>
      <c r="C75" s="19">
        <f>'Hyperscalers first-hand'!I22</f>
        <v/>
      </c>
      <c r="D75" s="2" t="inlineStr">
        <is>
          <t>$bn, TTM capex of the five (SEC)</t>
        </is>
      </c>
      <c r="E75" s="19">
        <f>'Hyperscalers first-hand'!J22</f>
        <v/>
      </c>
      <c r="F75" s="2" t="inlineStr">
        <is>
          <t>$bn, TTM BEA GDP</t>
        </is>
      </c>
      <c r="G75" s="17" t="n">
        <v>1</v>
      </c>
      <c r="H75" s="14">
        <f>C75*G75/E75*100</f>
        <v/>
      </c>
      <c r="I75" s="17" t="n">
        <v>0.901</v>
      </c>
      <c r="J75" s="18">
        <f>I75-H75</f>
        <v/>
      </c>
      <c r="K75" s="14">
        <f>ABS(J75)</f>
        <v/>
      </c>
      <c r="L75" s="2" t="inlineStr">
        <is>
          <t>SEC XBRL capex MSFT+GOOGL+AMZN+META+ORCL, TTM / BEA GDP TTM</t>
        </is>
      </c>
    </row>
    <row r="76">
      <c r="A76" s="2" t="inlineStr">
        <is>
          <t>hyper</t>
        </is>
      </c>
      <c r="B76" s="2" t="inlineStr">
        <is>
          <t>TTM to 2025Q2</t>
        </is>
      </c>
      <c r="C76" s="19">
        <f>'Hyperscalers first-hand'!I23</f>
        <v/>
      </c>
      <c r="D76" s="2" t="inlineStr">
        <is>
          <t>$bn, TTM capex of the five (SEC)</t>
        </is>
      </c>
      <c r="E76" s="19">
        <f>'Hyperscalers first-hand'!J23</f>
        <v/>
      </c>
      <c r="F76" s="2" t="inlineStr">
        <is>
          <t>$bn, TTM BEA GDP</t>
        </is>
      </c>
      <c r="G76" s="17" t="n">
        <v>1</v>
      </c>
      <c r="H76" s="14">
        <f>C76*G76/E76*100</f>
        <v/>
      </c>
      <c r="I76" s="17" t="n">
        <v>1.036</v>
      </c>
      <c r="J76" s="18">
        <f>I76-H76</f>
        <v/>
      </c>
      <c r="K76" s="14">
        <f>ABS(J76)</f>
        <v/>
      </c>
      <c r="L76" s="2" t="inlineStr">
        <is>
          <t>SEC XBRL capex MSFT+GOOGL+AMZN+META+ORCL, TTM / BEA GDP TTM</t>
        </is>
      </c>
    </row>
    <row r="77">
      <c r="A77" s="2" t="inlineStr">
        <is>
          <t>hyper</t>
        </is>
      </c>
      <c r="B77" s="2" t="inlineStr">
        <is>
          <t>TTM to 2025Q3</t>
        </is>
      </c>
      <c r="C77" s="19">
        <f>'Hyperscalers first-hand'!I24</f>
        <v/>
      </c>
      <c r="D77" s="2" t="inlineStr">
        <is>
          <t>$bn, TTM capex of the five (SEC)</t>
        </is>
      </c>
      <c r="E77" s="19">
        <f>'Hyperscalers first-hand'!J24</f>
        <v/>
      </c>
      <c r="F77" s="2" t="inlineStr">
        <is>
          <t>$bn, TTM BEA GDP</t>
        </is>
      </c>
      <c r="G77" s="17" t="n">
        <v>1</v>
      </c>
      <c r="H77" s="14">
        <f>C77*G77/E77*100</f>
        <v/>
      </c>
      <c r="I77" s="17" t="n">
        <v>1.187</v>
      </c>
      <c r="J77" s="18">
        <f>I77-H77</f>
        <v/>
      </c>
      <c r="K77" s="14">
        <f>ABS(J77)</f>
        <v/>
      </c>
      <c r="L77" s="2" t="inlineStr">
        <is>
          <t>SEC XBRL capex MSFT+GOOGL+AMZN+META+ORCL, TTM / BEA GDP TTM</t>
        </is>
      </c>
    </row>
    <row r="78">
      <c r="A78" s="2" t="inlineStr">
        <is>
          <t>hyper</t>
        </is>
      </c>
      <c r="B78" s="2" t="inlineStr">
        <is>
          <t>TTM to 2025Q4</t>
        </is>
      </c>
      <c r="C78" s="19">
        <f>'Hyperscalers first-hand'!I25</f>
        <v/>
      </c>
      <c r="D78" s="2" t="inlineStr">
        <is>
          <t>$bn, TTM capex of the five (SEC)</t>
        </is>
      </c>
      <c r="E78" s="19">
        <f>'Hyperscalers first-hand'!J25</f>
        <v/>
      </c>
      <c r="F78" s="2" t="inlineStr">
        <is>
          <t>$bn, TTM BEA GDP</t>
        </is>
      </c>
      <c r="G78" s="17" t="n">
        <v>1</v>
      </c>
      <c r="H78" s="14">
        <f>C78*G78/E78*100</f>
        <v/>
      </c>
      <c r="I78" s="17" t="n">
        <v>1.379</v>
      </c>
      <c r="J78" s="18">
        <f>I78-H78</f>
        <v/>
      </c>
      <c r="K78" s="14">
        <f>ABS(J78)</f>
        <v/>
      </c>
      <c r="L78" s="2" t="inlineStr">
        <is>
          <t>SEC XBRL capex MSFT+GOOGL+AMZN+META+ORCL, TTM / BEA GDP TTM</t>
        </is>
      </c>
    </row>
    <row r="79">
      <c r="A79" s="2" t="inlineStr">
        <is>
          <t>hyper</t>
        </is>
      </c>
      <c r="B79" s="2" t="inlineStr">
        <is>
          <t>TTM to 2026Q1</t>
        </is>
      </c>
      <c r="C79" s="19">
        <f>'Hyperscalers first-hand'!I26</f>
        <v/>
      </c>
      <c r="D79" s="2" t="inlineStr">
        <is>
          <t>$bn, TTM capex of the five (SEC)</t>
        </is>
      </c>
      <c r="E79" s="19">
        <f>'Hyperscalers first-hand'!J26</f>
        <v/>
      </c>
      <c r="F79" s="2" t="inlineStr">
        <is>
          <t>$bn, TTM BEA GDP</t>
        </is>
      </c>
      <c r="G79" s="17" t="n">
        <v>1</v>
      </c>
      <c r="H79" s="14">
        <f>C79*G79/E79*100</f>
        <v/>
      </c>
      <c r="I79" s="17" t="n">
        <v>1.536</v>
      </c>
      <c r="J79" s="18">
        <f>I79-H79</f>
        <v/>
      </c>
      <c r="K79" s="14">
        <f>ABS(J79)</f>
        <v/>
      </c>
      <c r="L79" s="2" t="inlineStr">
        <is>
          <t>SEC XBRL capex MSFT+GOOGL+AMZN+META+ORCL, TTM / BEA GDP TTM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3" t="inlineStr">
        <is>
          <t>Series</t>
        </is>
      </c>
      <c r="B1" s="4" t="inlineStr">
        <is>
          <t>Label</t>
        </is>
      </c>
      <c r="C1" s="4" t="inlineStr">
        <is>
          <t>Chart position (year)</t>
        </is>
      </c>
      <c r="D1" s="4" t="inlineStr">
        <is>
          <t>Years since cycle start</t>
        </is>
      </c>
      <c r="E1" s="4" t="inlineStr">
        <is>
          <t>% of US GDP</t>
        </is>
      </c>
      <c r="F1" s="4" t="inlineStr">
        <is>
          <t>Year (annual series)</t>
        </is>
      </c>
    </row>
    <row r="2">
      <c r="A2" s="2" t="inlineStr">
        <is>
          <t>rail</t>
        </is>
      </c>
      <c r="B2" s="2" t="inlineStr">
        <is>
          <t>US railroads (1900 onwards)</t>
        </is>
      </c>
      <c r="C2" s="2" t="n">
        <v>1899</v>
      </c>
      <c r="D2" s="2">
        <f>C2-C2</f>
        <v/>
      </c>
      <c r="E2" s="20" t="n">
        <v>1.169</v>
      </c>
      <c r="F2" s="2" t="n">
        <v>1899</v>
      </c>
    </row>
    <row r="3">
      <c r="A3" s="2" t="inlineStr">
        <is>
          <t>rail</t>
        </is>
      </c>
      <c r="B3" s="2" t="inlineStr">
        <is>
          <t>US railroads (1900 onwards)</t>
        </is>
      </c>
      <c r="C3" s="2" t="n">
        <v>1900</v>
      </c>
      <c r="D3" s="2">
        <f>C3-C2</f>
        <v/>
      </c>
      <c r="E3" s="20" t="n">
        <v>1.247</v>
      </c>
      <c r="F3" s="2" t="n">
        <v>1900</v>
      </c>
    </row>
    <row r="4">
      <c r="A4" s="2" t="inlineStr">
        <is>
          <t>rail</t>
        </is>
      </c>
      <c r="B4" s="2" t="inlineStr">
        <is>
          <t>US railroads (1900 onwards)</t>
        </is>
      </c>
      <c r="C4" s="2" t="n">
        <v>1901</v>
      </c>
      <c r="D4" s="2">
        <f>C4-C2</f>
        <v/>
      </c>
      <c r="E4" s="20" t="n">
        <v>1.047</v>
      </c>
      <c r="F4" s="2" t="n">
        <v>1901</v>
      </c>
    </row>
    <row r="5">
      <c r="A5" s="2" t="inlineStr">
        <is>
          <t>rail</t>
        </is>
      </c>
      <c r="B5" s="2" t="inlineStr">
        <is>
          <t>US railroads (1900 onwards)</t>
        </is>
      </c>
      <c r="C5" s="2" t="n">
        <v>1902</v>
      </c>
      <c r="D5" s="2">
        <f>C5-C2</f>
        <v/>
      </c>
      <c r="E5" s="20" t="n">
        <v>1.068</v>
      </c>
      <c r="F5" s="2" t="n">
        <v>1902</v>
      </c>
    </row>
    <row r="6">
      <c r="A6" s="2" t="inlineStr">
        <is>
          <t>rail</t>
        </is>
      </c>
      <c r="B6" s="2" t="inlineStr">
        <is>
          <t>US railroads (1900 onwards)</t>
        </is>
      </c>
      <c r="C6" s="2" t="n">
        <v>1903</v>
      </c>
      <c r="D6" s="2">
        <f>C6-C2</f>
        <v/>
      </c>
      <c r="E6" s="20" t="n">
        <v>1.068</v>
      </c>
      <c r="F6" s="2" t="n">
        <v>1903</v>
      </c>
    </row>
    <row r="7">
      <c r="A7" s="2" t="inlineStr">
        <is>
          <t>rail</t>
        </is>
      </c>
      <c r="B7" s="2" t="inlineStr">
        <is>
          <t>US railroads (1900 onwards)</t>
        </is>
      </c>
      <c r="C7" s="2" t="n">
        <v>1904</v>
      </c>
      <c r="D7" s="2">
        <f>C7-C2</f>
        <v/>
      </c>
      <c r="E7" s="20" t="n">
        <v>1.252</v>
      </c>
      <c r="F7" s="2" t="n">
        <v>1904</v>
      </c>
    </row>
    <row r="8">
      <c r="A8" s="2" t="inlineStr">
        <is>
          <t>rail</t>
        </is>
      </c>
      <c r="B8" s="2" t="inlineStr">
        <is>
          <t>US railroads (1900 onwards)</t>
        </is>
      </c>
      <c r="C8" s="2" t="n">
        <v>1905</v>
      </c>
      <c r="D8" s="2">
        <f>C8-C2</f>
        <v/>
      </c>
      <c r="E8" s="20" t="n">
        <v>1.49</v>
      </c>
      <c r="F8" s="2" t="n">
        <v>1905</v>
      </c>
    </row>
    <row r="9">
      <c r="A9" s="2" t="inlineStr">
        <is>
          <t>rail</t>
        </is>
      </c>
      <c r="B9" s="2" t="inlineStr">
        <is>
          <t>US railroads (1900 onwards)</t>
        </is>
      </c>
      <c r="C9" s="2" t="n">
        <v>1906</v>
      </c>
      <c r="D9" s="2">
        <f>C9-C2</f>
        <v/>
      </c>
      <c r="E9" s="20" t="n">
        <v>1.798</v>
      </c>
      <c r="F9" s="2" t="n">
        <v>1906</v>
      </c>
    </row>
    <row r="10">
      <c r="A10" s="2" t="inlineStr">
        <is>
          <t>rail</t>
        </is>
      </c>
      <c r="B10" s="2" t="inlineStr">
        <is>
          <t>US railroads (1900 onwards)</t>
        </is>
      </c>
      <c r="C10" s="2" t="n">
        <v>1907</v>
      </c>
      <c r="D10" s="2">
        <f>C10-C2</f>
        <v/>
      </c>
      <c r="E10" s="20" t="n">
        <v>2.026</v>
      </c>
      <c r="F10" s="2" t="n">
        <v>1907</v>
      </c>
    </row>
    <row r="11">
      <c r="A11" s="2" t="inlineStr">
        <is>
          <t>rail</t>
        </is>
      </c>
      <c r="B11" s="2" t="inlineStr">
        <is>
          <t>US railroads (1900 onwards)</t>
        </is>
      </c>
      <c r="C11" s="2" t="n">
        <v>1908</v>
      </c>
      <c r="D11" s="2">
        <f>C11-C2</f>
        <v/>
      </c>
      <c r="E11" s="20" t="n">
        <v>2.221</v>
      </c>
      <c r="F11" s="2" t="n">
        <v>1908</v>
      </c>
    </row>
    <row r="12">
      <c r="A12" s="2" t="inlineStr">
        <is>
          <t>rail</t>
        </is>
      </c>
      <c r="B12" s="2" t="inlineStr">
        <is>
          <t>US railroads (1900 onwards)</t>
        </is>
      </c>
      <c r="C12" s="2" t="n">
        <v>1909</v>
      </c>
      <c r="D12" s="2">
        <f>C12-C2</f>
        <v/>
      </c>
      <c r="E12" s="20" t="n">
        <v>2.115</v>
      </c>
      <c r="F12" s="2" t="n">
        <v>1909</v>
      </c>
    </row>
    <row r="13">
      <c r="A13" s="2" t="inlineStr">
        <is>
          <t>rail</t>
        </is>
      </c>
      <c r="B13" s="2" t="inlineStr">
        <is>
          <t>US railroads (1900 onwards)</t>
        </is>
      </c>
      <c r="C13" s="2" t="n">
        <v>1910</v>
      </c>
      <c r="D13" s="2">
        <f>C13-C2</f>
        <v/>
      </c>
      <c r="E13" s="20" t="n">
        <v>2.303</v>
      </c>
      <c r="F13" s="2" t="n">
        <v>1910</v>
      </c>
    </row>
    <row r="14">
      <c r="A14" s="2" t="inlineStr">
        <is>
          <t>rail</t>
        </is>
      </c>
      <c r="B14" s="2" t="inlineStr">
        <is>
          <t>US railroads (1900 onwards)</t>
        </is>
      </c>
      <c r="C14" s="2" t="n">
        <v>1911</v>
      </c>
      <c r="D14" s="2">
        <f>C14-C2</f>
        <v/>
      </c>
      <c r="E14" s="20" t="n">
        <v>2.117</v>
      </c>
      <c r="F14" s="2" t="n">
        <v>1911</v>
      </c>
    </row>
    <row r="15">
      <c r="A15" s="2" t="inlineStr">
        <is>
          <t>rail</t>
        </is>
      </c>
      <c r="B15" s="2" t="inlineStr">
        <is>
          <t>US railroads (1900 onwards)</t>
        </is>
      </c>
      <c r="C15" s="2" t="n">
        <v>1912</v>
      </c>
      <c r="D15" s="2">
        <f>C15-C2</f>
        <v/>
      </c>
      <c r="E15" s="20" t="n">
        <v>1.998</v>
      </c>
      <c r="F15" s="2" t="n">
        <v>1912</v>
      </c>
    </row>
    <row r="16">
      <c r="A16" s="2" t="inlineStr">
        <is>
          <t>rail</t>
        </is>
      </c>
      <c r="B16" s="2" t="inlineStr">
        <is>
          <t>US railroads (1900 onwards)</t>
        </is>
      </c>
      <c r="C16" s="2" t="n">
        <v>1913</v>
      </c>
      <c r="D16" s="2">
        <f>C16-C2</f>
        <v/>
      </c>
      <c r="E16" s="20" t="n">
        <v>1.979</v>
      </c>
      <c r="F16" s="2" t="n">
        <v>1913</v>
      </c>
    </row>
    <row r="17">
      <c r="A17" s="2" t="inlineStr">
        <is>
          <t>rail</t>
        </is>
      </c>
      <c r="B17" s="2" t="inlineStr">
        <is>
          <t>US railroads (1900 onwards)</t>
        </is>
      </c>
      <c r="C17" s="2" t="n">
        <v>1914</v>
      </c>
      <c r="D17" s="2">
        <f>C17-C2</f>
        <v/>
      </c>
      <c r="E17" s="20" t="n">
        <v>1.418</v>
      </c>
      <c r="F17" s="2" t="n">
        <v>1914</v>
      </c>
    </row>
    <row r="18">
      <c r="A18" s="2" t="inlineStr">
        <is>
          <t>rail</t>
        </is>
      </c>
      <c r="B18" s="2" t="inlineStr">
        <is>
          <t>US railroads (1900 onwards)</t>
        </is>
      </c>
      <c r="C18" s="2" t="n">
        <v>1915</v>
      </c>
      <c r="D18" s="2">
        <f>C18-C2</f>
        <v/>
      </c>
      <c r="E18" s="20" t="n">
        <v>0.79</v>
      </c>
      <c r="F18" s="2" t="n">
        <v>1915</v>
      </c>
    </row>
    <row r="19">
      <c r="A19" s="2" t="inlineStr">
        <is>
          <t>rail</t>
        </is>
      </c>
      <c r="B19" s="2" t="inlineStr">
        <is>
          <t>US railroads (1900 onwards)</t>
        </is>
      </c>
      <c r="C19" s="2" t="n">
        <v>1916</v>
      </c>
      <c r="D19" s="2">
        <f>C19-C2</f>
        <v/>
      </c>
      <c r="E19" s="20" t="n">
        <v>0.8159999999999999</v>
      </c>
      <c r="F19" s="2" t="n">
        <v>1916</v>
      </c>
    </row>
    <row r="20">
      <c r="A20" s="2" t="inlineStr">
        <is>
          <t>rail</t>
        </is>
      </c>
      <c r="B20" s="2" t="inlineStr">
        <is>
          <t>US railroads (1900 onwards)</t>
        </is>
      </c>
      <c r="C20" s="2" t="n">
        <v>1917</v>
      </c>
      <c r="D20" s="2">
        <f>C20-C2</f>
        <v/>
      </c>
      <c r="E20" s="20" t="n">
        <v>1.013</v>
      </c>
      <c r="F20" s="2" t="n">
        <v>1917</v>
      </c>
    </row>
    <row r="21">
      <c r="A21" s="2" t="inlineStr">
        <is>
          <t>rail</t>
        </is>
      </c>
      <c r="B21" s="2" t="inlineStr">
        <is>
          <t>US railroads (1900 onwards)</t>
        </is>
      </c>
      <c r="C21" s="2" t="n">
        <v>1918</v>
      </c>
      <c r="D21" s="2">
        <f>C21-C2</f>
        <v/>
      </c>
      <c r="E21" s="20" t="n">
        <v>0.78</v>
      </c>
      <c r="F21" s="2" t="n">
        <v>1918</v>
      </c>
    </row>
    <row r="22">
      <c r="A22" s="2" t="inlineStr">
        <is>
          <t>rail</t>
        </is>
      </c>
      <c r="B22" s="2" t="inlineStr">
        <is>
          <t>US railroads (1900 onwards)</t>
        </is>
      </c>
      <c r="C22" s="2" t="n">
        <v>1919</v>
      </c>
      <c r="D22" s="2">
        <f>C22-C2</f>
        <v/>
      </c>
      <c r="E22" s="20" t="n">
        <v>0.508</v>
      </c>
      <c r="F22" s="2" t="n">
        <v>1919</v>
      </c>
    </row>
    <row r="23">
      <c r="A23" s="2" t="inlineStr">
        <is>
          <t>rail</t>
        </is>
      </c>
      <c r="B23" s="2" t="inlineStr">
        <is>
          <t>US railroads (1900 onwards)</t>
        </is>
      </c>
      <c r="C23" s="2" t="n">
        <v>1920</v>
      </c>
      <c r="D23" s="2">
        <f>C23-C2</f>
        <v/>
      </c>
      <c r="E23" s="20" t="n">
        <v>0.726</v>
      </c>
      <c r="F23" s="2" t="n">
        <v>1920</v>
      </c>
    </row>
    <row r="24">
      <c r="A24" s="2" t="inlineStr">
        <is>
          <t>og70s</t>
        </is>
      </c>
      <c r="B24" s="2" t="inlineStr">
        <is>
          <t>O&amp;G (1970-80s)</t>
        </is>
      </c>
      <c r="C24" s="2" t="n">
        <v>1972</v>
      </c>
      <c r="D24" s="2">
        <f>C24-C24</f>
        <v/>
      </c>
      <c r="E24" s="20" t="n">
        <v>0.379</v>
      </c>
      <c r="F24" s="2" t="n">
        <v>1972</v>
      </c>
    </row>
    <row r="25">
      <c r="A25" s="2" t="inlineStr">
        <is>
          <t>og70s</t>
        </is>
      </c>
      <c r="B25" s="2" t="inlineStr">
        <is>
          <t>O&amp;G (1970-80s)</t>
        </is>
      </c>
      <c r="C25" s="2" t="n">
        <v>1972.25</v>
      </c>
      <c r="D25" s="2">
        <f>C25-C24</f>
        <v/>
      </c>
      <c r="E25" s="20" t="n">
        <v>0.379</v>
      </c>
      <c r="F25" s="2" t="n">
        <v>1972</v>
      </c>
    </row>
    <row r="26">
      <c r="A26" s="2" t="inlineStr">
        <is>
          <t>og70s</t>
        </is>
      </c>
      <c r="B26" s="2" t="inlineStr">
        <is>
          <t>O&amp;G (1970-80s)</t>
        </is>
      </c>
      <c r="C26" s="2" t="n">
        <v>1972.5</v>
      </c>
      <c r="D26" s="2">
        <f>C26-C24</f>
        <v/>
      </c>
      <c r="E26" s="20" t="n">
        <v>0.391</v>
      </c>
      <c r="F26" s="2" t="n">
        <v>1973</v>
      </c>
    </row>
    <row r="27">
      <c r="A27" s="2" t="inlineStr">
        <is>
          <t>og70s</t>
        </is>
      </c>
      <c r="B27" s="2" t="inlineStr">
        <is>
          <t>O&amp;G (1970-80s)</t>
        </is>
      </c>
      <c r="C27" s="2" t="n">
        <v>1972.75</v>
      </c>
      <c r="D27" s="2">
        <f>C27-C24</f>
        <v/>
      </c>
      <c r="E27" s="20" t="n">
        <v>0.391</v>
      </c>
      <c r="F27" s="2" t="n">
        <v>1973</v>
      </c>
    </row>
    <row r="28">
      <c r="A28" s="2" t="inlineStr">
        <is>
          <t>og70s</t>
        </is>
      </c>
      <c r="B28" s="2" t="inlineStr">
        <is>
          <t>O&amp;G (1970-80s)</t>
        </is>
      </c>
      <c r="C28" s="2" t="n">
        <v>1973</v>
      </c>
      <c r="D28" s="2">
        <f>C28-C24</f>
        <v/>
      </c>
      <c r="E28" s="20" t="n">
        <v>0.391</v>
      </c>
      <c r="F28" s="2" t="n">
        <v>1973</v>
      </c>
    </row>
    <row r="29">
      <c r="A29" s="2" t="inlineStr">
        <is>
          <t>og70s</t>
        </is>
      </c>
      <c r="B29" s="2" t="inlineStr">
        <is>
          <t>O&amp;G (1970-80s)</t>
        </is>
      </c>
      <c r="C29" s="2" t="n">
        <v>1973.25</v>
      </c>
      <c r="D29" s="2">
        <f>C29-C24</f>
        <v/>
      </c>
      <c r="E29" s="20" t="n">
        <v>0.391</v>
      </c>
      <c r="F29" s="2" t="n">
        <v>1973</v>
      </c>
    </row>
    <row r="30">
      <c r="A30" s="2" t="inlineStr">
        <is>
          <t>og70s</t>
        </is>
      </c>
      <c r="B30" s="2" t="inlineStr">
        <is>
          <t>O&amp;G (1970-80s)</t>
        </is>
      </c>
      <c r="C30" s="2" t="n">
        <v>1973.5</v>
      </c>
      <c r="D30" s="2">
        <f>C30-C24</f>
        <v/>
      </c>
      <c r="E30" s="20" t="n">
        <v>0.495</v>
      </c>
      <c r="F30" s="2" t="n">
        <v>1974</v>
      </c>
    </row>
    <row r="31">
      <c r="A31" s="2" t="inlineStr">
        <is>
          <t>og70s</t>
        </is>
      </c>
      <c r="B31" s="2" t="inlineStr">
        <is>
          <t>O&amp;G (1970-80s)</t>
        </is>
      </c>
      <c r="C31" s="2" t="n">
        <v>1973.75</v>
      </c>
      <c r="D31" s="2">
        <f>C31-C24</f>
        <v/>
      </c>
      <c r="E31" s="20" t="n">
        <v>0.495</v>
      </c>
      <c r="F31" s="2" t="n">
        <v>1974</v>
      </c>
    </row>
    <row r="32">
      <c r="A32" s="2" t="inlineStr">
        <is>
          <t>og70s</t>
        </is>
      </c>
      <c r="B32" s="2" t="inlineStr">
        <is>
          <t>O&amp;G (1970-80s)</t>
        </is>
      </c>
      <c r="C32" s="2" t="n">
        <v>1974</v>
      </c>
      <c r="D32" s="2">
        <f>C32-C24</f>
        <v/>
      </c>
      <c r="E32" s="20" t="n">
        <v>0.495</v>
      </c>
      <c r="F32" s="2" t="n">
        <v>1974</v>
      </c>
    </row>
    <row r="33">
      <c r="A33" s="2" t="inlineStr">
        <is>
          <t>og70s</t>
        </is>
      </c>
      <c r="B33" s="2" t="inlineStr">
        <is>
          <t>O&amp;G (1970-80s)</t>
        </is>
      </c>
      <c r="C33" s="2" t="n">
        <v>1974.25</v>
      </c>
      <c r="D33" s="2">
        <f>C33-C24</f>
        <v/>
      </c>
      <c r="E33" s="20" t="n">
        <v>0.495</v>
      </c>
      <c r="F33" s="2" t="n">
        <v>1974</v>
      </c>
    </row>
    <row r="34">
      <c r="A34" s="2" t="inlineStr">
        <is>
          <t>og70s</t>
        </is>
      </c>
      <c r="B34" s="2" t="inlineStr">
        <is>
          <t>O&amp;G (1970-80s)</t>
        </is>
      </c>
      <c r="C34" s="2" t="n">
        <v>1974.5</v>
      </c>
      <c r="D34" s="2">
        <f>C34-C24</f>
        <v/>
      </c>
      <c r="E34" s="20" t="n">
        <v>0.665</v>
      </c>
      <c r="F34" s="2" t="n">
        <v>1975</v>
      </c>
    </row>
    <row r="35">
      <c r="A35" s="2" t="inlineStr">
        <is>
          <t>og70s</t>
        </is>
      </c>
      <c r="B35" s="2" t="inlineStr">
        <is>
          <t>O&amp;G (1970-80s)</t>
        </is>
      </c>
      <c r="C35" s="2" t="n">
        <v>1974.75</v>
      </c>
      <c r="D35" s="2">
        <f>C35-C24</f>
        <v/>
      </c>
      <c r="E35" s="20" t="n">
        <v>0.665</v>
      </c>
      <c r="F35" s="2" t="n">
        <v>1975</v>
      </c>
    </row>
    <row r="36">
      <c r="A36" s="2" t="inlineStr">
        <is>
          <t>og70s</t>
        </is>
      </c>
      <c r="B36" s="2" t="inlineStr">
        <is>
          <t>O&amp;G (1970-80s)</t>
        </is>
      </c>
      <c r="C36" s="2" t="n">
        <v>1975</v>
      </c>
      <c r="D36" s="2">
        <f>C36-C24</f>
        <v/>
      </c>
      <c r="E36" s="20" t="n">
        <v>0.665</v>
      </c>
      <c r="F36" s="2" t="n">
        <v>1975</v>
      </c>
    </row>
    <row r="37">
      <c r="A37" s="2" t="inlineStr">
        <is>
          <t>og70s</t>
        </is>
      </c>
      <c r="B37" s="2" t="inlineStr">
        <is>
          <t>O&amp;G (1970-80s)</t>
        </is>
      </c>
      <c r="C37" s="2" t="n">
        <v>1975.25</v>
      </c>
      <c r="D37" s="2">
        <f>C37-C24</f>
        <v/>
      </c>
      <c r="E37" s="20" t="n">
        <v>0.665</v>
      </c>
      <c r="F37" s="2" t="n">
        <v>1975</v>
      </c>
    </row>
    <row r="38">
      <c r="A38" s="2" t="inlineStr">
        <is>
          <t>og70s</t>
        </is>
      </c>
      <c r="B38" s="2" t="inlineStr">
        <is>
          <t>O&amp;G (1970-80s)</t>
        </is>
      </c>
      <c r="C38" s="2" t="n">
        <v>1975.5</v>
      </c>
      <c r="D38" s="2">
        <f>C38-C24</f>
        <v/>
      </c>
      <c r="E38" s="20" t="n">
        <v>0.7</v>
      </c>
      <c r="F38" s="2" t="n">
        <v>1976</v>
      </c>
    </row>
    <row r="39">
      <c r="A39" s="2" t="inlineStr">
        <is>
          <t>og70s</t>
        </is>
      </c>
      <c r="B39" s="2" t="inlineStr">
        <is>
          <t>O&amp;G (1970-80s)</t>
        </is>
      </c>
      <c r="C39" s="2" t="n">
        <v>1975.75</v>
      </c>
      <c r="D39" s="2">
        <f>C39-C24</f>
        <v/>
      </c>
      <c r="E39" s="20" t="n">
        <v>0.7</v>
      </c>
      <c r="F39" s="2" t="n">
        <v>1976</v>
      </c>
    </row>
    <row r="40">
      <c r="A40" s="2" t="inlineStr">
        <is>
          <t>og70s</t>
        </is>
      </c>
      <c r="B40" s="2" t="inlineStr">
        <is>
          <t>O&amp;G (1970-80s)</t>
        </is>
      </c>
      <c r="C40" s="2" t="n">
        <v>1976</v>
      </c>
      <c r="D40" s="2">
        <f>C40-C24</f>
        <v/>
      </c>
      <c r="E40" s="20" t="n">
        <v>0.7</v>
      </c>
      <c r="F40" s="2" t="n">
        <v>1976</v>
      </c>
    </row>
    <row r="41">
      <c r="A41" s="2" t="inlineStr">
        <is>
          <t>og70s</t>
        </is>
      </c>
      <c r="B41" s="2" t="inlineStr">
        <is>
          <t>O&amp;G (1970-80s)</t>
        </is>
      </c>
      <c r="C41" s="2" t="n">
        <v>1976.25</v>
      </c>
      <c r="D41" s="2">
        <f>C41-C24</f>
        <v/>
      </c>
      <c r="E41" s="20" t="n">
        <v>0.7</v>
      </c>
      <c r="F41" s="2" t="n">
        <v>1976</v>
      </c>
    </row>
    <row r="42">
      <c r="A42" s="2" t="inlineStr">
        <is>
          <t>og70s</t>
        </is>
      </c>
      <c r="B42" s="2" t="inlineStr">
        <is>
          <t>O&amp;G (1970-80s)</t>
        </is>
      </c>
      <c r="C42" s="2" t="n">
        <v>1976.5</v>
      </c>
      <c r="D42" s="2">
        <f>C42-C24</f>
        <v/>
      </c>
      <c r="E42" s="20" t="n">
        <v>0.722</v>
      </c>
      <c r="F42" s="2" t="n">
        <v>1977</v>
      </c>
    </row>
    <row r="43">
      <c r="A43" s="2" t="inlineStr">
        <is>
          <t>og70s</t>
        </is>
      </c>
      <c r="B43" s="2" t="inlineStr">
        <is>
          <t>O&amp;G (1970-80s)</t>
        </is>
      </c>
      <c r="C43" s="2" t="n">
        <v>1976.75</v>
      </c>
      <c r="D43" s="2">
        <f>C43-C24</f>
        <v/>
      </c>
      <c r="E43" s="20" t="n">
        <v>0.722</v>
      </c>
      <c r="F43" s="2" t="n">
        <v>1977</v>
      </c>
    </row>
    <row r="44">
      <c r="A44" s="2" t="inlineStr">
        <is>
          <t>og70s</t>
        </is>
      </c>
      <c r="B44" s="2" t="inlineStr">
        <is>
          <t>O&amp;G (1970-80s)</t>
        </is>
      </c>
      <c r="C44" s="2" t="n">
        <v>1977</v>
      </c>
      <c r="D44" s="2">
        <f>C44-C24</f>
        <v/>
      </c>
      <c r="E44" s="20" t="n">
        <v>0.722</v>
      </c>
      <c r="F44" s="2" t="n">
        <v>1977</v>
      </c>
    </row>
    <row r="45">
      <c r="A45" s="2" t="inlineStr">
        <is>
          <t>og70s</t>
        </is>
      </c>
      <c r="B45" s="2" t="inlineStr">
        <is>
          <t>O&amp;G (1970-80s)</t>
        </is>
      </c>
      <c r="C45" s="2" t="n">
        <v>1977.25</v>
      </c>
      <c r="D45" s="2">
        <f>C45-C24</f>
        <v/>
      </c>
      <c r="E45" s="20" t="n">
        <v>0.722</v>
      </c>
      <c r="F45" s="2" t="n">
        <v>1977</v>
      </c>
    </row>
    <row r="46">
      <c r="A46" s="2" t="inlineStr">
        <is>
          <t>og70s</t>
        </is>
      </c>
      <c r="B46" s="2" t="inlineStr">
        <is>
          <t>O&amp;G (1970-80s)</t>
        </is>
      </c>
      <c r="C46" s="2" t="n">
        <v>1977.5</v>
      </c>
      <c r="D46" s="2">
        <f>C46-C24</f>
        <v/>
      </c>
      <c r="E46" s="20" t="n">
        <v>0.909</v>
      </c>
      <c r="F46" s="2" t="n">
        <v>1978</v>
      </c>
    </row>
    <row r="47">
      <c r="A47" s="2" t="inlineStr">
        <is>
          <t>og70s</t>
        </is>
      </c>
      <c r="B47" s="2" t="inlineStr">
        <is>
          <t>O&amp;G (1970-80s)</t>
        </is>
      </c>
      <c r="C47" s="2" t="n">
        <v>1977.75</v>
      </c>
      <c r="D47" s="2">
        <f>C47-C24</f>
        <v/>
      </c>
      <c r="E47" s="20" t="n">
        <v>0.909</v>
      </c>
      <c r="F47" s="2" t="n">
        <v>1978</v>
      </c>
    </row>
    <row r="48">
      <c r="A48" s="2" t="inlineStr">
        <is>
          <t>og70s</t>
        </is>
      </c>
      <c r="B48" s="2" t="inlineStr">
        <is>
          <t>O&amp;G (1970-80s)</t>
        </is>
      </c>
      <c r="C48" s="2" t="n">
        <v>1978</v>
      </c>
      <c r="D48" s="2">
        <f>C48-C24</f>
        <v/>
      </c>
      <c r="E48" s="20" t="n">
        <v>0.909</v>
      </c>
      <c r="F48" s="2" t="n">
        <v>1978</v>
      </c>
    </row>
    <row r="49">
      <c r="A49" s="2" t="inlineStr">
        <is>
          <t>og70s</t>
        </is>
      </c>
      <c r="B49" s="2" t="inlineStr">
        <is>
          <t>O&amp;G (1970-80s)</t>
        </is>
      </c>
      <c r="C49" s="2" t="n">
        <v>1978.25</v>
      </c>
      <c r="D49" s="2">
        <f>C49-C24</f>
        <v/>
      </c>
      <c r="E49" s="20" t="n">
        <v>0.909</v>
      </c>
      <c r="F49" s="2" t="n">
        <v>1978</v>
      </c>
    </row>
    <row r="50">
      <c r="A50" s="2" t="inlineStr">
        <is>
          <t>og70s</t>
        </is>
      </c>
      <c r="B50" s="2" t="inlineStr">
        <is>
          <t>O&amp;G (1970-80s)</t>
        </is>
      </c>
      <c r="C50" s="2" t="n">
        <v>1978.5</v>
      </c>
      <c r="D50" s="2">
        <f>C50-C24</f>
        <v/>
      </c>
      <c r="E50" s="20" t="n">
        <v>1.064</v>
      </c>
      <c r="F50" s="2" t="n">
        <v>1979</v>
      </c>
    </row>
    <row r="51">
      <c r="A51" s="2" t="inlineStr">
        <is>
          <t>og70s</t>
        </is>
      </c>
      <c r="B51" s="2" t="inlineStr">
        <is>
          <t>O&amp;G (1970-80s)</t>
        </is>
      </c>
      <c r="C51" s="2" t="n">
        <v>1978.75</v>
      </c>
      <c r="D51" s="2">
        <f>C51-C24</f>
        <v/>
      </c>
      <c r="E51" s="20" t="n">
        <v>1.064</v>
      </c>
      <c r="F51" s="2" t="n">
        <v>1979</v>
      </c>
    </row>
    <row r="52">
      <c r="A52" s="2" t="inlineStr">
        <is>
          <t>og70s</t>
        </is>
      </c>
      <c r="B52" s="2" t="inlineStr">
        <is>
          <t>O&amp;G (1970-80s)</t>
        </is>
      </c>
      <c r="C52" s="2" t="n">
        <v>1979</v>
      </c>
      <c r="D52" s="2">
        <f>C52-C24</f>
        <v/>
      </c>
      <c r="E52" s="20" t="n">
        <v>1.064</v>
      </c>
      <c r="F52" s="2" t="n">
        <v>1979</v>
      </c>
    </row>
    <row r="53">
      <c r="A53" s="2" t="inlineStr">
        <is>
          <t>og70s</t>
        </is>
      </c>
      <c r="B53" s="2" t="inlineStr">
        <is>
          <t>O&amp;G (1970-80s)</t>
        </is>
      </c>
      <c r="C53" s="2" t="n">
        <v>1979.25</v>
      </c>
      <c r="D53" s="2">
        <f>C53-C24</f>
        <v/>
      </c>
      <c r="E53" s="20" t="n">
        <v>1.064</v>
      </c>
      <c r="F53" s="2" t="n">
        <v>1979</v>
      </c>
    </row>
    <row r="54">
      <c r="A54" s="2" t="inlineStr">
        <is>
          <t>og70s</t>
        </is>
      </c>
      <c r="B54" s="2" t="inlineStr">
        <is>
          <t>O&amp;G (1970-80s)</t>
        </is>
      </c>
      <c r="C54" s="2" t="n">
        <v>1979.5</v>
      </c>
      <c r="D54" s="2">
        <f>C54-C24</f>
        <v/>
      </c>
      <c r="E54" s="20" t="n">
        <v>1.425</v>
      </c>
      <c r="F54" s="2" t="n">
        <v>1980</v>
      </c>
    </row>
    <row r="55">
      <c r="A55" s="2" t="inlineStr">
        <is>
          <t>og70s</t>
        </is>
      </c>
      <c r="B55" s="2" t="inlineStr">
        <is>
          <t>O&amp;G (1970-80s)</t>
        </is>
      </c>
      <c r="C55" s="2" t="n">
        <v>1979.75</v>
      </c>
      <c r="D55" s="2">
        <f>C55-C24</f>
        <v/>
      </c>
      <c r="E55" s="20" t="n">
        <v>1.425</v>
      </c>
      <c r="F55" s="2" t="n">
        <v>1980</v>
      </c>
    </row>
    <row r="56">
      <c r="A56" s="2" t="inlineStr">
        <is>
          <t>og70s</t>
        </is>
      </c>
      <c r="B56" s="2" t="inlineStr">
        <is>
          <t>O&amp;G (1970-80s)</t>
        </is>
      </c>
      <c r="C56" s="2" t="n">
        <v>1980</v>
      </c>
      <c r="D56" s="2">
        <f>C56-C24</f>
        <v/>
      </c>
      <c r="E56" s="20" t="n">
        <v>1.425</v>
      </c>
      <c r="F56" s="2" t="n">
        <v>1980</v>
      </c>
    </row>
    <row r="57">
      <c r="A57" s="2" t="inlineStr">
        <is>
          <t>og70s</t>
        </is>
      </c>
      <c r="B57" s="2" t="inlineStr">
        <is>
          <t>O&amp;G (1970-80s)</t>
        </is>
      </c>
      <c r="C57" s="2" t="n">
        <v>1980.25</v>
      </c>
      <c r="D57" s="2">
        <f>C57-C24</f>
        <v/>
      </c>
      <c r="E57" s="20" t="n">
        <v>1.425</v>
      </c>
      <c r="F57" s="2" t="n">
        <v>1980</v>
      </c>
    </row>
    <row r="58">
      <c r="A58" s="2" t="inlineStr">
        <is>
          <t>og70s</t>
        </is>
      </c>
      <c r="B58" s="2" t="inlineStr">
        <is>
          <t>O&amp;G (1970-80s)</t>
        </is>
      </c>
      <c r="C58" s="2" t="n">
        <v>1980.5</v>
      </c>
      <c r="D58" s="2">
        <f>C58-C24</f>
        <v/>
      </c>
      <c r="E58" s="20" t="n">
        <v>1.972</v>
      </c>
      <c r="F58" s="2" t="n">
        <v>1981</v>
      </c>
    </row>
    <row r="59">
      <c r="A59" s="2" t="inlineStr">
        <is>
          <t>og70s</t>
        </is>
      </c>
      <c r="B59" s="2" t="inlineStr">
        <is>
          <t>O&amp;G (1970-80s)</t>
        </is>
      </c>
      <c r="C59" s="2" t="n">
        <v>1980.75</v>
      </c>
      <c r="D59" s="2">
        <f>C59-C24</f>
        <v/>
      </c>
      <c r="E59" s="20" t="n">
        <v>1.972</v>
      </c>
      <c r="F59" s="2" t="n">
        <v>1981</v>
      </c>
    </row>
    <row r="60">
      <c r="A60" s="2" t="inlineStr">
        <is>
          <t>og70s</t>
        </is>
      </c>
      <c r="B60" s="2" t="inlineStr">
        <is>
          <t>O&amp;G (1970-80s)</t>
        </is>
      </c>
      <c r="C60" s="2" t="n">
        <v>1981</v>
      </c>
      <c r="D60" s="2">
        <f>C60-C24</f>
        <v/>
      </c>
      <c r="E60" s="20" t="n">
        <v>1.972</v>
      </c>
      <c r="F60" s="2" t="n">
        <v>1981</v>
      </c>
    </row>
    <row r="61">
      <c r="A61" s="2" t="inlineStr">
        <is>
          <t>og70s</t>
        </is>
      </c>
      <c r="B61" s="2" t="inlineStr">
        <is>
          <t>O&amp;G (1970-80s)</t>
        </is>
      </c>
      <c r="C61" s="2" t="n">
        <v>1981.25</v>
      </c>
      <c r="D61" s="2">
        <f>C61-C24</f>
        <v/>
      </c>
      <c r="E61" s="20" t="n">
        <v>1.972</v>
      </c>
      <c r="F61" s="2" t="n">
        <v>1981</v>
      </c>
    </row>
    <row r="62">
      <c r="A62" s="2" t="inlineStr">
        <is>
          <t>og70s</t>
        </is>
      </c>
      <c r="B62" s="2" t="inlineStr">
        <is>
          <t>O&amp;G (1970-80s)</t>
        </is>
      </c>
      <c r="C62" s="2" t="n">
        <v>1981.5</v>
      </c>
      <c r="D62" s="2">
        <f>C62-C24</f>
        <v/>
      </c>
      <c r="E62" s="20" t="n">
        <v>1.891</v>
      </c>
      <c r="F62" s="2" t="n">
        <v>1982</v>
      </c>
    </row>
    <row r="63">
      <c r="A63" s="2" t="inlineStr">
        <is>
          <t>og70s</t>
        </is>
      </c>
      <c r="B63" s="2" t="inlineStr">
        <is>
          <t>O&amp;G (1970-80s)</t>
        </is>
      </c>
      <c r="C63" s="2" t="n">
        <v>1981.75</v>
      </c>
      <c r="D63" s="2">
        <f>C63-C24</f>
        <v/>
      </c>
      <c r="E63" s="20" t="n">
        <v>1.891</v>
      </c>
      <c r="F63" s="2" t="n">
        <v>1982</v>
      </c>
    </row>
    <row r="64">
      <c r="A64" s="2" t="inlineStr">
        <is>
          <t>og70s</t>
        </is>
      </c>
      <c r="B64" s="2" t="inlineStr">
        <is>
          <t>O&amp;G (1970-80s)</t>
        </is>
      </c>
      <c r="C64" s="2" t="n">
        <v>1982</v>
      </c>
      <c r="D64" s="2">
        <f>C64-C24</f>
        <v/>
      </c>
      <c r="E64" s="20" t="n">
        <v>1.891</v>
      </c>
      <c r="F64" s="2" t="n">
        <v>1982</v>
      </c>
    </row>
    <row r="65">
      <c r="A65" s="2" t="inlineStr">
        <is>
          <t>og70s</t>
        </is>
      </c>
      <c r="B65" s="2" t="inlineStr">
        <is>
          <t>O&amp;G (1970-80s)</t>
        </is>
      </c>
      <c r="C65" s="2" t="n">
        <v>1982.25</v>
      </c>
      <c r="D65" s="2">
        <f>C65-C24</f>
        <v/>
      </c>
      <c r="E65" s="20" t="n">
        <v>1.891</v>
      </c>
      <c r="F65" s="2" t="n">
        <v>1982</v>
      </c>
    </row>
    <row r="66">
      <c r="A66" s="2" t="inlineStr">
        <is>
          <t>og70s</t>
        </is>
      </c>
      <c r="B66" s="2" t="inlineStr">
        <is>
          <t>O&amp;G (1970-80s)</t>
        </is>
      </c>
      <c r="C66" s="2" t="n">
        <v>1982.5</v>
      </c>
      <c r="D66" s="2">
        <f>C66-C24</f>
        <v/>
      </c>
      <c r="E66" s="20" t="n">
        <v>1.182</v>
      </c>
      <c r="F66" s="2" t="n">
        <v>1983</v>
      </c>
    </row>
    <row r="67">
      <c r="A67" s="2" t="inlineStr">
        <is>
          <t>og70s</t>
        </is>
      </c>
      <c r="B67" s="2" t="inlineStr">
        <is>
          <t>O&amp;G (1970-80s)</t>
        </is>
      </c>
      <c r="C67" s="2" t="n">
        <v>1982.75</v>
      </c>
      <c r="D67" s="2">
        <f>C67-C24</f>
        <v/>
      </c>
      <c r="E67" s="20" t="n">
        <v>1.182</v>
      </c>
      <c r="F67" s="2" t="n">
        <v>1983</v>
      </c>
    </row>
    <row r="68">
      <c r="A68" s="2" t="inlineStr">
        <is>
          <t>og70s</t>
        </is>
      </c>
      <c r="B68" s="2" t="inlineStr">
        <is>
          <t>O&amp;G (1970-80s)</t>
        </is>
      </c>
      <c r="C68" s="2" t="n">
        <v>1983</v>
      </c>
      <c r="D68" s="2">
        <f>C68-C24</f>
        <v/>
      </c>
      <c r="E68" s="20" t="n">
        <v>1.182</v>
      </c>
      <c r="F68" s="2" t="n">
        <v>1983</v>
      </c>
    </row>
    <row r="69">
      <c r="A69" s="2" t="inlineStr">
        <is>
          <t>og70s</t>
        </is>
      </c>
      <c r="B69" s="2" t="inlineStr">
        <is>
          <t>O&amp;G (1970-80s)</t>
        </is>
      </c>
      <c r="C69" s="2" t="n">
        <v>1983.25</v>
      </c>
      <c r="D69" s="2">
        <f>C69-C24</f>
        <v/>
      </c>
      <c r="E69" s="20" t="n">
        <v>1.182</v>
      </c>
      <c r="F69" s="2" t="n">
        <v>1983</v>
      </c>
    </row>
    <row r="70">
      <c r="A70" s="2" t="inlineStr">
        <is>
          <t>og70s</t>
        </is>
      </c>
      <c r="B70" s="2" t="inlineStr">
        <is>
          <t>O&amp;G (1970-80s)</t>
        </is>
      </c>
      <c r="C70" s="2" t="n">
        <v>1983.5</v>
      </c>
      <c r="D70" s="2">
        <f>C70-C24</f>
        <v/>
      </c>
      <c r="E70" s="20" t="n">
        <v>1.093</v>
      </c>
      <c r="F70" s="2" t="n">
        <v>1984</v>
      </c>
    </row>
    <row r="71">
      <c r="A71" s="2" t="inlineStr">
        <is>
          <t>og70s</t>
        </is>
      </c>
      <c r="B71" s="2" t="inlineStr">
        <is>
          <t>O&amp;G (1970-80s)</t>
        </is>
      </c>
      <c r="C71" s="2" t="n">
        <v>1983.75</v>
      </c>
      <c r="D71" s="2">
        <f>C71-C24</f>
        <v/>
      </c>
      <c r="E71" s="20" t="n">
        <v>1.093</v>
      </c>
      <c r="F71" s="2" t="n">
        <v>1984</v>
      </c>
    </row>
    <row r="72">
      <c r="A72" s="2" t="inlineStr">
        <is>
          <t>og70s</t>
        </is>
      </c>
      <c r="B72" s="2" t="inlineStr">
        <is>
          <t>O&amp;G (1970-80s)</t>
        </is>
      </c>
      <c r="C72" s="2" t="n">
        <v>1984</v>
      </c>
      <c r="D72" s="2">
        <f>C72-C24</f>
        <v/>
      </c>
      <c r="E72" s="20" t="n">
        <v>1.093</v>
      </c>
      <c r="F72" s="2" t="n">
        <v>1984</v>
      </c>
    </row>
    <row r="73">
      <c r="A73" s="2" t="inlineStr">
        <is>
          <t>og70s</t>
        </is>
      </c>
      <c r="B73" s="2" t="inlineStr">
        <is>
          <t>O&amp;G (1970-80s)</t>
        </is>
      </c>
      <c r="C73" s="2" t="n">
        <v>1984.25</v>
      </c>
      <c r="D73" s="2">
        <f>C73-C24</f>
        <v/>
      </c>
      <c r="E73" s="20" t="n">
        <v>1.093</v>
      </c>
      <c r="F73" s="2" t="n">
        <v>1984</v>
      </c>
    </row>
    <row r="74">
      <c r="A74" s="2" t="inlineStr">
        <is>
          <t>og70s</t>
        </is>
      </c>
      <c r="B74" s="2" t="inlineStr">
        <is>
          <t>O&amp;G (1970-80s)</t>
        </is>
      </c>
      <c r="C74" s="2" t="n">
        <v>1984.5</v>
      </c>
      <c r="D74" s="2">
        <f>C74-C24</f>
        <v/>
      </c>
      <c r="E74" s="20" t="n">
        <v>0.925</v>
      </c>
      <c r="F74" s="2" t="n">
        <v>1985</v>
      </c>
    </row>
    <row r="75">
      <c r="A75" s="2" t="inlineStr">
        <is>
          <t>og70s</t>
        </is>
      </c>
      <c r="B75" s="2" t="inlineStr">
        <is>
          <t>O&amp;G (1970-80s)</t>
        </is>
      </c>
      <c r="C75" s="2" t="n">
        <v>1984.75</v>
      </c>
      <c r="D75" s="2">
        <f>C75-C24</f>
        <v/>
      </c>
      <c r="E75" s="20" t="n">
        <v>0.925</v>
      </c>
      <c r="F75" s="2" t="n">
        <v>1985</v>
      </c>
    </row>
    <row r="76">
      <c r="A76" s="2" t="inlineStr">
        <is>
          <t>og70s</t>
        </is>
      </c>
      <c r="B76" s="2" t="inlineStr">
        <is>
          <t>O&amp;G (1970-80s)</t>
        </is>
      </c>
      <c r="C76" s="2" t="n">
        <v>1985</v>
      </c>
      <c r="D76" s="2">
        <f>C76-C24</f>
        <v/>
      </c>
      <c r="E76" s="20" t="n">
        <v>0.925</v>
      </c>
      <c r="F76" s="2" t="n">
        <v>1985</v>
      </c>
    </row>
    <row r="77">
      <c r="A77" s="2" t="inlineStr">
        <is>
          <t>og70s</t>
        </is>
      </c>
      <c r="B77" s="2" t="inlineStr">
        <is>
          <t>O&amp;G (1970-80s)</t>
        </is>
      </c>
      <c r="C77" s="2" t="n">
        <v>1985.25</v>
      </c>
      <c r="D77" s="2">
        <f>C77-C24</f>
        <v/>
      </c>
      <c r="E77" s="20" t="n">
        <v>0.925</v>
      </c>
      <c r="F77" s="2" t="n">
        <v>1985</v>
      </c>
    </row>
    <row r="78">
      <c r="A78" s="2" t="inlineStr">
        <is>
          <t>og70s</t>
        </is>
      </c>
      <c r="B78" s="2" t="inlineStr">
        <is>
          <t>O&amp;G (1970-80s)</t>
        </is>
      </c>
      <c r="C78" s="2" t="n">
        <v>1985.5</v>
      </c>
      <c r="D78" s="2">
        <f>C78-C24</f>
        <v/>
      </c>
      <c r="E78" s="20" t="n">
        <v>0.516</v>
      </c>
      <c r="F78" s="2" t="n">
        <v>1986</v>
      </c>
    </row>
    <row r="79">
      <c r="A79" s="2" t="inlineStr">
        <is>
          <t>og70s</t>
        </is>
      </c>
      <c r="B79" s="2" t="inlineStr">
        <is>
          <t>O&amp;G (1970-80s)</t>
        </is>
      </c>
      <c r="C79" s="2" t="n">
        <v>1985.75</v>
      </c>
      <c r="D79" s="2">
        <f>C79-C24</f>
        <v/>
      </c>
      <c r="E79" s="20" t="n">
        <v>0.516</v>
      </c>
      <c r="F79" s="2" t="n">
        <v>1986</v>
      </c>
    </row>
    <row r="80">
      <c r="A80" s="2" t="inlineStr">
        <is>
          <t>og70s</t>
        </is>
      </c>
      <c r="B80" s="2" t="inlineStr">
        <is>
          <t>O&amp;G (1970-80s)</t>
        </is>
      </c>
      <c r="C80" s="2" t="n">
        <v>1986</v>
      </c>
      <c r="D80" s="2">
        <f>C80-C24</f>
        <v/>
      </c>
      <c r="E80" s="20" t="n">
        <v>0.516</v>
      </c>
      <c r="F80" s="2" t="n">
        <v>1986</v>
      </c>
    </row>
    <row r="81">
      <c r="A81" s="2" t="inlineStr">
        <is>
          <t>telecom</t>
        </is>
      </c>
      <c r="B81" s="2" t="inlineStr">
        <is>
          <t>Telecoms (1990s)</t>
        </is>
      </c>
      <c r="C81" s="2" t="n">
        <v>1995</v>
      </c>
      <c r="D81" s="2">
        <f>C81-C81</f>
        <v/>
      </c>
      <c r="E81" s="20" t="n">
        <v>1.054</v>
      </c>
      <c r="F81" s="2" t="n">
        <v>1995</v>
      </c>
    </row>
    <row r="82">
      <c r="A82" s="2" t="inlineStr">
        <is>
          <t>telecom</t>
        </is>
      </c>
      <c r="B82" s="2" t="inlineStr">
        <is>
          <t>Telecoms (1990s)</t>
        </is>
      </c>
      <c r="C82" s="2" t="n">
        <v>1995.25</v>
      </c>
      <c r="D82" s="2">
        <f>C82-C81</f>
        <v/>
      </c>
      <c r="E82" s="20" t="n">
        <v>1.054</v>
      </c>
      <c r="F82" s="2" t="n">
        <v>1995</v>
      </c>
    </row>
    <row r="83">
      <c r="A83" s="2" t="inlineStr">
        <is>
          <t>telecom</t>
        </is>
      </c>
      <c r="B83" s="2" t="inlineStr">
        <is>
          <t>Telecoms (1990s)</t>
        </is>
      </c>
      <c r="C83" s="2" t="n">
        <v>1995.5</v>
      </c>
      <c r="D83" s="2">
        <f>C83-C81</f>
        <v/>
      </c>
      <c r="E83" s="20" t="n">
        <v>1.083</v>
      </c>
      <c r="F83" s="2" t="n">
        <v>1996</v>
      </c>
    </row>
    <row r="84">
      <c r="A84" s="2" t="inlineStr">
        <is>
          <t>telecom</t>
        </is>
      </c>
      <c r="B84" s="2" t="inlineStr">
        <is>
          <t>Telecoms (1990s)</t>
        </is>
      </c>
      <c r="C84" s="2" t="n">
        <v>1995.75</v>
      </c>
      <c r="D84" s="2">
        <f>C84-C81</f>
        <v/>
      </c>
      <c r="E84" s="20" t="n">
        <v>1.083</v>
      </c>
      <c r="F84" s="2" t="n">
        <v>1996</v>
      </c>
    </row>
    <row r="85">
      <c r="A85" s="2" t="inlineStr">
        <is>
          <t>telecom</t>
        </is>
      </c>
      <c r="B85" s="2" t="inlineStr">
        <is>
          <t>Telecoms (1990s)</t>
        </is>
      </c>
      <c r="C85" s="2" t="n">
        <v>1996</v>
      </c>
      <c r="D85" s="2">
        <f>C85-C81</f>
        <v/>
      </c>
      <c r="E85" s="20" t="n">
        <v>1.083</v>
      </c>
      <c r="F85" s="2" t="n">
        <v>1996</v>
      </c>
    </row>
    <row r="86">
      <c r="A86" s="2" t="inlineStr">
        <is>
          <t>telecom</t>
        </is>
      </c>
      <c r="B86" s="2" t="inlineStr">
        <is>
          <t>Telecoms (1990s)</t>
        </is>
      </c>
      <c r="C86" s="2" t="n">
        <v>1996.25</v>
      </c>
      <c r="D86" s="2">
        <f>C86-C81</f>
        <v/>
      </c>
      <c r="E86" s="20" t="n">
        <v>1.083</v>
      </c>
      <c r="F86" s="2" t="n">
        <v>1996</v>
      </c>
    </row>
    <row r="87">
      <c r="A87" s="2" t="inlineStr">
        <is>
          <t>telecom</t>
        </is>
      </c>
      <c r="B87" s="2" t="inlineStr">
        <is>
          <t>Telecoms (1990s)</t>
        </is>
      </c>
      <c r="C87" s="2" t="n">
        <v>1996.5</v>
      </c>
      <c r="D87" s="2">
        <f>C87-C81</f>
        <v/>
      </c>
      <c r="E87" s="20" t="n">
        <v>1.098</v>
      </c>
      <c r="F87" s="2" t="n">
        <v>1997</v>
      </c>
    </row>
    <row r="88">
      <c r="A88" s="2" t="inlineStr">
        <is>
          <t>telecom</t>
        </is>
      </c>
      <c r="B88" s="2" t="inlineStr">
        <is>
          <t>Telecoms (1990s)</t>
        </is>
      </c>
      <c r="C88" s="2" t="n">
        <v>1996.75</v>
      </c>
      <c r="D88" s="2">
        <f>C88-C81</f>
        <v/>
      </c>
      <c r="E88" s="20" t="n">
        <v>1.098</v>
      </c>
      <c r="F88" s="2" t="n">
        <v>1997</v>
      </c>
    </row>
    <row r="89">
      <c r="A89" s="2" t="inlineStr">
        <is>
          <t>telecom</t>
        </is>
      </c>
      <c r="B89" s="2" t="inlineStr">
        <is>
          <t>Telecoms (1990s)</t>
        </is>
      </c>
      <c r="C89" s="2" t="n">
        <v>1997</v>
      </c>
      <c r="D89" s="2">
        <f>C89-C81</f>
        <v/>
      </c>
      <c r="E89" s="20" t="n">
        <v>1.098</v>
      </c>
      <c r="F89" s="2" t="n">
        <v>1997</v>
      </c>
    </row>
    <row r="90">
      <c r="A90" s="2" t="inlineStr">
        <is>
          <t>telecom</t>
        </is>
      </c>
      <c r="B90" s="2" t="inlineStr">
        <is>
          <t>Telecoms (1990s)</t>
        </is>
      </c>
      <c r="C90" s="2" t="n">
        <v>1997.25</v>
      </c>
      <c r="D90" s="2">
        <f>C90-C81</f>
        <v/>
      </c>
      <c r="E90" s="20" t="n">
        <v>1.098</v>
      </c>
      <c r="F90" s="2" t="n">
        <v>1997</v>
      </c>
    </row>
    <row r="91">
      <c r="A91" s="2" t="inlineStr">
        <is>
          <t>telecom</t>
        </is>
      </c>
      <c r="B91" s="2" t="inlineStr">
        <is>
          <t>Telecoms (1990s)</t>
        </is>
      </c>
      <c r="C91" s="2" t="n">
        <v>1997.5</v>
      </c>
      <c r="D91" s="2">
        <f>C91-C81</f>
        <v/>
      </c>
      <c r="E91" s="20" t="n">
        <v>1.135</v>
      </c>
      <c r="F91" s="2" t="n">
        <v>1998</v>
      </c>
    </row>
    <row r="92">
      <c r="A92" s="2" t="inlineStr">
        <is>
          <t>telecom</t>
        </is>
      </c>
      <c r="B92" s="2" t="inlineStr">
        <is>
          <t>Telecoms (1990s)</t>
        </is>
      </c>
      <c r="C92" s="2" t="n">
        <v>1997.75</v>
      </c>
      <c r="D92" s="2">
        <f>C92-C81</f>
        <v/>
      </c>
      <c r="E92" s="20" t="n">
        <v>1.135</v>
      </c>
      <c r="F92" s="2" t="n">
        <v>1998</v>
      </c>
    </row>
    <row r="93">
      <c r="A93" s="2" t="inlineStr">
        <is>
          <t>telecom</t>
        </is>
      </c>
      <c r="B93" s="2" t="inlineStr">
        <is>
          <t>Telecoms (1990s)</t>
        </is>
      </c>
      <c r="C93" s="2" t="n">
        <v>1998</v>
      </c>
      <c r="D93" s="2">
        <f>C93-C81</f>
        <v/>
      </c>
      <c r="E93" s="20" t="n">
        <v>1.135</v>
      </c>
      <c r="F93" s="2" t="n">
        <v>1998</v>
      </c>
    </row>
    <row r="94">
      <c r="A94" s="2" t="inlineStr">
        <is>
          <t>telecom</t>
        </is>
      </c>
      <c r="B94" s="2" t="inlineStr">
        <is>
          <t>Telecoms (1990s)</t>
        </is>
      </c>
      <c r="C94" s="2" t="n">
        <v>1998.25</v>
      </c>
      <c r="D94" s="2">
        <f>C94-C81</f>
        <v/>
      </c>
      <c r="E94" s="20" t="n">
        <v>1.135</v>
      </c>
      <c r="F94" s="2" t="n">
        <v>1998</v>
      </c>
    </row>
    <row r="95">
      <c r="A95" s="2" t="inlineStr">
        <is>
          <t>telecom</t>
        </is>
      </c>
      <c r="B95" s="2" t="inlineStr">
        <is>
          <t>Telecoms (1990s)</t>
        </is>
      </c>
      <c r="C95" s="2" t="n">
        <v>1998.5</v>
      </c>
      <c r="D95" s="2">
        <f>C95-C81</f>
        <v/>
      </c>
      <c r="E95" s="20" t="n">
        <v>1.285</v>
      </c>
      <c r="F95" s="2" t="n">
        <v>1999</v>
      </c>
    </row>
    <row r="96">
      <c r="A96" s="2" t="inlineStr">
        <is>
          <t>telecom</t>
        </is>
      </c>
      <c r="B96" s="2" t="inlineStr">
        <is>
          <t>Telecoms (1990s)</t>
        </is>
      </c>
      <c r="C96" s="2" t="n">
        <v>1998.75</v>
      </c>
      <c r="D96" s="2">
        <f>C96-C81</f>
        <v/>
      </c>
      <c r="E96" s="20" t="n">
        <v>1.285</v>
      </c>
      <c r="F96" s="2" t="n">
        <v>1999</v>
      </c>
    </row>
    <row r="97">
      <c r="A97" s="2" t="inlineStr">
        <is>
          <t>telecom</t>
        </is>
      </c>
      <c r="B97" s="2" t="inlineStr">
        <is>
          <t>Telecoms (1990s)</t>
        </is>
      </c>
      <c r="C97" s="2" t="n">
        <v>1999</v>
      </c>
      <c r="D97" s="2">
        <f>C97-C81</f>
        <v/>
      </c>
      <c r="E97" s="20" t="n">
        <v>1.285</v>
      </c>
      <c r="F97" s="2" t="n">
        <v>1999</v>
      </c>
    </row>
    <row r="98">
      <c r="A98" s="2" t="inlineStr">
        <is>
          <t>telecom</t>
        </is>
      </c>
      <c r="B98" s="2" t="inlineStr">
        <is>
          <t>Telecoms (1990s)</t>
        </is>
      </c>
      <c r="C98" s="2" t="n">
        <v>1999.25</v>
      </c>
      <c r="D98" s="2">
        <f>C98-C81</f>
        <v/>
      </c>
      <c r="E98" s="20" t="n">
        <v>1.285</v>
      </c>
      <c r="F98" s="2" t="n">
        <v>1999</v>
      </c>
    </row>
    <row r="99">
      <c r="A99" s="2" t="inlineStr">
        <is>
          <t>telecom</t>
        </is>
      </c>
      <c r="B99" s="2" t="inlineStr">
        <is>
          <t>Telecoms (1990s)</t>
        </is>
      </c>
      <c r="C99" s="2" t="n">
        <v>1999.5</v>
      </c>
      <c r="D99" s="2">
        <f>C99-C81</f>
        <v/>
      </c>
      <c r="E99" s="20" t="n">
        <v>1.54</v>
      </c>
      <c r="F99" s="2" t="n">
        <v>2000</v>
      </c>
    </row>
    <row r="100">
      <c r="A100" s="2" t="inlineStr">
        <is>
          <t>telecom</t>
        </is>
      </c>
      <c r="B100" s="2" t="inlineStr">
        <is>
          <t>Telecoms (1990s)</t>
        </is>
      </c>
      <c r="C100" s="2" t="n">
        <v>1999.75</v>
      </c>
      <c r="D100" s="2">
        <f>C100-C81</f>
        <v/>
      </c>
      <c r="E100" s="20" t="n">
        <v>1.54</v>
      </c>
      <c r="F100" s="2" t="n">
        <v>2000</v>
      </c>
    </row>
    <row r="101">
      <c r="A101" s="2" t="inlineStr">
        <is>
          <t>telecom</t>
        </is>
      </c>
      <c r="B101" s="2" t="inlineStr">
        <is>
          <t>Telecoms (1990s)</t>
        </is>
      </c>
      <c r="C101" s="2" t="n">
        <v>2000</v>
      </c>
      <c r="D101" s="2">
        <f>C101-C81</f>
        <v/>
      </c>
      <c r="E101" s="20" t="n">
        <v>1.54</v>
      </c>
      <c r="F101" s="2" t="n">
        <v>2000</v>
      </c>
    </row>
    <row r="102">
      <c r="A102" s="2" t="inlineStr">
        <is>
          <t>telecom</t>
        </is>
      </c>
      <c r="B102" s="2" t="inlineStr">
        <is>
          <t>Telecoms (1990s)</t>
        </is>
      </c>
      <c r="C102" s="2" t="n">
        <v>2000.25</v>
      </c>
      <c r="D102" s="2">
        <f>C102-C81</f>
        <v/>
      </c>
      <c r="E102" s="20" t="n">
        <v>1.54</v>
      </c>
      <c r="F102" s="2" t="n">
        <v>2000</v>
      </c>
    </row>
    <row r="103">
      <c r="A103" s="2" t="inlineStr">
        <is>
          <t>telecom</t>
        </is>
      </c>
      <c r="B103" s="2" t="inlineStr">
        <is>
          <t>Telecoms (1990s)</t>
        </is>
      </c>
      <c r="C103" s="2" t="n">
        <v>2000.5</v>
      </c>
      <c r="D103" s="2">
        <f>C103-C81</f>
        <v/>
      </c>
      <c r="E103" s="20" t="n">
        <v>1.337</v>
      </c>
      <c r="F103" s="2" t="n">
        <v>2001</v>
      </c>
    </row>
    <row r="104">
      <c r="A104" s="2" t="inlineStr">
        <is>
          <t>telecom</t>
        </is>
      </c>
      <c r="B104" s="2" t="inlineStr">
        <is>
          <t>Telecoms (1990s)</t>
        </is>
      </c>
      <c r="C104" s="2" t="n">
        <v>2000.75</v>
      </c>
      <c r="D104" s="2">
        <f>C104-C81</f>
        <v/>
      </c>
      <c r="E104" s="20" t="n">
        <v>1.337</v>
      </c>
      <c r="F104" s="2" t="n">
        <v>2001</v>
      </c>
    </row>
    <row r="105">
      <c r="A105" s="2" t="inlineStr">
        <is>
          <t>telecom</t>
        </is>
      </c>
      <c r="B105" s="2" t="inlineStr">
        <is>
          <t>Telecoms (1990s)</t>
        </is>
      </c>
      <c r="C105" s="2" t="n">
        <v>2001</v>
      </c>
      <c r="D105" s="2">
        <f>C105-C81</f>
        <v/>
      </c>
      <c r="E105" s="20" t="n">
        <v>1.337</v>
      </c>
      <c r="F105" s="2" t="n">
        <v>2001</v>
      </c>
    </row>
    <row r="106">
      <c r="A106" s="2" t="inlineStr">
        <is>
          <t>telecom</t>
        </is>
      </c>
      <c r="B106" s="2" t="inlineStr">
        <is>
          <t>Telecoms (1990s)</t>
        </is>
      </c>
      <c r="C106" s="2" t="n">
        <v>2001.25</v>
      </c>
      <c r="D106" s="2">
        <f>C106-C81</f>
        <v/>
      </c>
      <c r="E106" s="20" t="n">
        <v>1.337</v>
      </c>
      <c r="F106" s="2" t="n">
        <v>2001</v>
      </c>
    </row>
    <row r="107">
      <c r="A107" s="2" t="inlineStr">
        <is>
          <t>telecom</t>
        </is>
      </c>
      <c r="B107" s="2" t="inlineStr">
        <is>
          <t>Telecoms (1990s)</t>
        </is>
      </c>
      <c r="C107" s="2" t="n">
        <v>2001.5</v>
      </c>
      <c r="D107" s="2">
        <f>C107-C81</f>
        <v/>
      </c>
      <c r="E107" s="20" t="n">
        <v>0.91</v>
      </c>
      <c r="F107" s="2" t="n">
        <v>2002</v>
      </c>
    </row>
    <row r="108">
      <c r="A108" s="2" t="inlineStr">
        <is>
          <t>telecom</t>
        </is>
      </c>
      <c r="B108" s="2" t="inlineStr">
        <is>
          <t>Telecoms (1990s)</t>
        </is>
      </c>
      <c r="C108" s="2" t="n">
        <v>2001.75</v>
      </c>
      <c r="D108" s="2">
        <f>C108-C81</f>
        <v/>
      </c>
      <c r="E108" s="20" t="n">
        <v>0.91</v>
      </c>
      <c r="F108" s="2" t="n">
        <v>2002</v>
      </c>
    </row>
    <row r="109">
      <c r="A109" s="2" t="inlineStr">
        <is>
          <t>telecom</t>
        </is>
      </c>
      <c r="B109" s="2" t="inlineStr">
        <is>
          <t>Telecoms (1990s)</t>
        </is>
      </c>
      <c r="C109" s="2" t="n">
        <v>2002</v>
      </c>
      <c r="D109" s="2">
        <f>C109-C81</f>
        <v/>
      </c>
      <c r="E109" s="20" t="n">
        <v>0.91</v>
      </c>
      <c r="F109" s="2" t="n">
        <v>2002</v>
      </c>
    </row>
    <row r="110">
      <c r="A110" s="2" t="inlineStr">
        <is>
          <t>telecom</t>
        </is>
      </c>
      <c r="B110" s="2" t="inlineStr">
        <is>
          <t>Telecoms (1990s)</t>
        </is>
      </c>
      <c r="C110" s="2" t="n">
        <v>2002.25</v>
      </c>
      <c r="D110" s="2">
        <f>C110-C81</f>
        <v/>
      </c>
      <c r="E110" s="20" t="n">
        <v>0.91</v>
      </c>
      <c r="F110" s="2" t="n">
        <v>2002</v>
      </c>
    </row>
    <row r="111">
      <c r="A111" s="2" t="inlineStr">
        <is>
          <t>telecom</t>
        </is>
      </c>
      <c r="B111" s="2" t="inlineStr">
        <is>
          <t>Telecoms (1990s)</t>
        </is>
      </c>
      <c r="C111" s="2" t="n">
        <v>2002.5</v>
      </c>
      <c r="D111" s="2">
        <f>C111-C81</f>
        <v/>
      </c>
      <c r="E111" s="20" t="n">
        <v>0.789</v>
      </c>
      <c r="F111" s="2" t="n">
        <v>2003</v>
      </c>
    </row>
    <row r="112">
      <c r="A112" s="2" t="inlineStr">
        <is>
          <t>shale</t>
        </is>
      </c>
      <c r="B112" s="2" t="inlineStr">
        <is>
          <t>O&amp;G (Shale)</t>
        </is>
      </c>
      <c r="C112" s="2" t="n">
        <v>2002.25</v>
      </c>
      <c r="D112" s="2">
        <f>C112-C112</f>
        <v/>
      </c>
      <c r="E112" s="20" t="n">
        <v>0.395</v>
      </c>
      <c r="F112" s="2" t="n">
        <v>2002</v>
      </c>
    </row>
    <row r="113">
      <c r="A113" s="2" t="inlineStr">
        <is>
          <t>shale</t>
        </is>
      </c>
      <c r="B113" s="2" t="inlineStr">
        <is>
          <t>O&amp;G (Shale)</t>
        </is>
      </c>
      <c r="C113" s="2" t="n">
        <v>2002.5</v>
      </c>
      <c r="D113" s="2">
        <f>C113-C112</f>
        <v/>
      </c>
      <c r="E113" s="20" t="n">
        <v>0.468</v>
      </c>
      <c r="F113" s="2" t="n">
        <v>2003</v>
      </c>
    </row>
    <row r="114">
      <c r="A114" s="2" t="inlineStr">
        <is>
          <t>shale</t>
        </is>
      </c>
      <c r="B114" s="2" t="inlineStr">
        <is>
          <t>O&amp;G (Shale)</t>
        </is>
      </c>
      <c r="C114" s="2" t="n">
        <v>2002.75</v>
      </c>
      <c r="D114" s="2">
        <f>C114-C112</f>
        <v/>
      </c>
      <c r="E114" s="20" t="n">
        <v>0.468</v>
      </c>
      <c r="F114" s="2" t="n">
        <v>2003</v>
      </c>
    </row>
    <row r="115">
      <c r="A115" s="2" t="inlineStr">
        <is>
          <t>shale</t>
        </is>
      </c>
      <c r="B115" s="2" t="inlineStr">
        <is>
          <t>O&amp;G (Shale)</t>
        </is>
      </c>
      <c r="C115" s="2" t="n">
        <v>2003</v>
      </c>
      <c r="D115" s="2">
        <f>C115-C112</f>
        <v/>
      </c>
      <c r="E115" s="20" t="n">
        <v>0.468</v>
      </c>
      <c r="F115" s="2" t="n">
        <v>2003</v>
      </c>
    </row>
    <row r="116">
      <c r="A116" s="2" t="inlineStr">
        <is>
          <t>shale</t>
        </is>
      </c>
      <c r="B116" s="2" t="inlineStr">
        <is>
          <t>O&amp;G (Shale)</t>
        </is>
      </c>
      <c r="C116" s="2" t="n">
        <v>2003.25</v>
      </c>
      <c r="D116" s="2">
        <f>C116-C112</f>
        <v/>
      </c>
      <c r="E116" s="20" t="n">
        <v>0.468</v>
      </c>
      <c r="F116" s="2" t="n">
        <v>2003</v>
      </c>
    </row>
    <row r="117">
      <c r="A117" s="2" t="inlineStr">
        <is>
          <t>shale</t>
        </is>
      </c>
      <c r="B117" s="2" t="inlineStr">
        <is>
          <t>O&amp;G (Shale)</t>
        </is>
      </c>
      <c r="C117" s="2" t="n">
        <v>2003.5</v>
      </c>
      <c r="D117" s="2">
        <f>C117-C112</f>
        <v/>
      </c>
      <c r="E117" s="20" t="n">
        <v>0.505</v>
      </c>
      <c r="F117" s="2" t="n">
        <v>2004</v>
      </c>
    </row>
    <row r="118">
      <c r="A118" s="2" t="inlineStr">
        <is>
          <t>shale</t>
        </is>
      </c>
      <c r="B118" s="2" t="inlineStr">
        <is>
          <t>O&amp;G (Shale)</t>
        </is>
      </c>
      <c r="C118" s="2" t="n">
        <v>2003.75</v>
      </c>
      <c r="D118" s="2">
        <f>C118-C112</f>
        <v/>
      </c>
      <c r="E118" s="20" t="n">
        <v>0.505</v>
      </c>
      <c r="F118" s="2" t="n">
        <v>2004</v>
      </c>
    </row>
    <row r="119">
      <c r="A119" s="2" t="inlineStr">
        <is>
          <t>shale</t>
        </is>
      </c>
      <c r="B119" s="2" t="inlineStr">
        <is>
          <t>O&amp;G (Shale)</t>
        </is>
      </c>
      <c r="C119" s="2" t="n">
        <v>2004</v>
      </c>
      <c r="D119" s="2">
        <f>C119-C112</f>
        <v/>
      </c>
      <c r="E119" s="20" t="n">
        <v>0.505</v>
      </c>
      <c r="F119" s="2" t="n">
        <v>2004</v>
      </c>
    </row>
    <row r="120">
      <c r="A120" s="2" t="inlineStr">
        <is>
          <t>shale</t>
        </is>
      </c>
      <c r="B120" s="2" t="inlineStr">
        <is>
          <t>O&amp;G (Shale)</t>
        </is>
      </c>
      <c r="C120" s="2" t="n">
        <v>2004.25</v>
      </c>
      <c r="D120" s="2">
        <f>C120-C112</f>
        <v/>
      </c>
      <c r="E120" s="20" t="n">
        <v>0.505</v>
      </c>
      <c r="F120" s="2" t="n">
        <v>2004</v>
      </c>
    </row>
    <row r="121">
      <c r="A121" s="2" t="inlineStr">
        <is>
          <t>shale</t>
        </is>
      </c>
      <c r="B121" s="2" t="inlineStr">
        <is>
          <t>O&amp;G (Shale)</t>
        </is>
      </c>
      <c r="C121" s="2" t="n">
        <v>2004.5</v>
      </c>
      <c r="D121" s="2">
        <f>C121-C112</f>
        <v/>
      </c>
      <c r="E121" s="20" t="n">
        <v>0.653</v>
      </c>
      <c r="F121" s="2" t="n">
        <v>2005</v>
      </c>
    </row>
    <row r="122">
      <c r="A122" s="2" t="inlineStr">
        <is>
          <t>shale</t>
        </is>
      </c>
      <c r="B122" s="2" t="inlineStr">
        <is>
          <t>O&amp;G (Shale)</t>
        </is>
      </c>
      <c r="C122" s="2" t="n">
        <v>2004.75</v>
      </c>
      <c r="D122" s="2">
        <f>C122-C112</f>
        <v/>
      </c>
      <c r="E122" s="20" t="n">
        <v>0.653</v>
      </c>
      <c r="F122" s="2" t="n">
        <v>2005</v>
      </c>
    </row>
    <row r="123">
      <c r="A123" s="2" t="inlineStr">
        <is>
          <t>shale</t>
        </is>
      </c>
      <c r="B123" s="2" t="inlineStr">
        <is>
          <t>O&amp;G (Shale)</t>
        </is>
      </c>
      <c r="C123" s="2" t="n">
        <v>2005</v>
      </c>
      <c r="D123" s="2">
        <f>C123-C112</f>
        <v/>
      </c>
      <c r="E123" s="20" t="n">
        <v>0.653</v>
      </c>
      <c r="F123" s="2" t="n">
        <v>2005</v>
      </c>
    </row>
    <row r="124">
      <c r="A124" s="2" t="inlineStr">
        <is>
          <t>shale</t>
        </is>
      </c>
      <c r="B124" s="2" t="inlineStr">
        <is>
          <t>O&amp;G (Shale)</t>
        </is>
      </c>
      <c r="C124" s="2" t="n">
        <v>2005.25</v>
      </c>
      <c r="D124" s="2">
        <f>C124-C112</f>
        <v/>
      </c>
      <c r="E124" s="20" t="n">
        <v>0.653</v>
      </c>
      <c r="F124" s="2" t="n">
        <v>2005</v>
      </c>
    </row>
    <row r="125">
      <c r="A125" s="2" t="inlineStr">
        <is>
          <t>shale</t>
        </is>
      </c>
      <c r="B125" s="2" t="inlineStr">
        <is>
          <t>O&amp;G (Shale)</t>
        </is>
      </c>
      <c r="C125" s="2" t="n">
        <v>2005.5</v>
      </c>
      <c r="D125" s="2">
        <f>C125-C112</f>
        <v/>
      </c>
      <c r="E125" s="20" t="n">
        <v>0.866</v>
      </c>
      <c r="F125" s="2" t="n">
        <v>2006</v>
      </c>
    </row>
    <row r="126">
      <c r="A126" s="2" t="inlineStr">
        <is>
          <t>shale</t>
        </is>
      </c>
      <c r="B126" s="2" t="inlineStr">
        <is>
          <t>O&amp;G (Shale)</t>
        </is>
      </c>
      <c r="C126" s="2" t="n">
        <v>2005.75</v>
      </c>
      <c r="D126" s="2">
        <f>C126-C112</f>
        <v/>
      </c>
      <c r="E126" s="20" t="n">
        <v>0.866</v>
      </c>
      <c r="F126" s="2" t="n">
        <v>2006</v>
      </c>
    </row>
    <row r="127">
      <c r="A127" s="2" t="inlineStr">
        <is>
          <t>shale</t>
        </is>
      </c>
      <c r="B127" s="2" t="inlineStr">
        <is>
          <t>O&amp;G (Shale)</t>
        </is>
      </c>
      <c r="C127" s="2" t="n">
        <v>2006</v>
      </c>
      <c r="D127" s="2">
        <f>C127-C112</f>
        <v/>
      </c>
      <c r="E127" s="20" t="n">
        <v>0.866</v>
      </c>
      <c r="F127" s="2" t="n">
        <v>2006</v>
      </c>
    </row>
    <row r="128">
      <c r="A128" s="2" t="inlineStr">
        <is>
          <t>shale</t>
        </is>
      </c>
      <c r="B128" s="2" t="inlineStr">
        <is>
          <t>O&amp;G (Shale)</t>
        </is>
      </c>
      <c r="C128" s="2" t="n">
        <v>2006.25</v>
      </c>
      <c r="D128" s="2">
        <f>C128-C112</f>
        <v/>
      </c>
      <c r="E128" s="20" t="n">
        <v>0.866</v>
      </c>
      <c r="F128" s="2" t="n">
        <v>2006</v>
      </c>
    </row>
    <row r="129">
      <c r="A129" s="2" t="inlineStr">
        <is>
          <t>shale</t>
        </is>
      </c>
      <c r="B129" s="2" t="inlineStr">
        <is>
          <t>O&amp;G (Shale)</t>
        </is>
      </c>
      <c r="C129" s="2" t="n">
        <v>2006.5</v>
      </c>
      <c r="D129" s="2">
        <f>C129-C112</f>
        <v/>
      </c>
      <c r="E129" s="20" t="n">
        <v>0.95</v>
      </c>
      <c r="F129" s="2" t="n">
        <v>2007</v>
      </c>
    </row>
    <row r="130">
      <c r="A130" s="2" t="inlineStr">
        <is>
          <t>shale</t>
        </is>
      </c>
      <c r="B130" s="2" t="inlineStr">
        <is>
          <t>O&amp;G (Shale)</t>
        </is>
      </c>
      <c r="C130" s="2" t="n">
        <v>2006.75</v>
      </c>
      <c r="D130" s="2">
        <f>C130-C112</f>
        <v/>
      </c>
      <c r="E130" s="20" t="n">
        <v>0.95</v>
      </c>
      <c r="F130" s="2" t="n">
        <v>2007</v>
      </c>
    </row>
    <row r="131">
      <c r="A131" s="2" t="inlineStr">
        <is>
          <t>shale</t>
        </is>
      </c>
      <c r="B131" s="2" t="inlineStr">
        <is>
          <t>O&amp;G (Shale)</t>
        </is>
      </c>
      <c r="C131" s="2" t="n">
        <v>2007</v>
      </c>
      <c r="D131" s="2">
        <f>C131-C112</f>
        <v/>
      </c>
      <c r="E131" s="20" t="n">
        <v>0.95</v>
      </c>
      <c r="F131" s="2" t="n">
        <v>2007</v>
      </c>
    </row>
    <row r="132">
      <c r="A132" s="2" t="inlineStr">
        <is>
          <t>shale</t>
        </is>
      </c>
      <c r="B132" s="2" t="inlineStr">
        <is>
          <t>O&amp;G (Shale)</t>
        </is>
      </c>
      <c r="C132" s="2" t="n">
        <v>2007.25</v>
      </c>
      <c r="D132" s="2">
        <f>C132-C112</f>
        <v/>
      </c>
      <c r="E132" s="20" t="n">
        <v>0.95</v>
      </c>
      <c r="F132" s="2" t="n">
        <v>2007</v>
      </c>
    </row>
    <row r="133">
      <c r="A133" s="2" t="inlineStr">
        <is>
          <t>shale</t>
        </is>
      </c>
      <c r="B133" s="2" t="inlineStr">
        <is>
          <t>O&amp;G (Shale)</t>
        </is>
      </c>
      <c r="C133" s="2" t="n">
        <v>2007.5</v>
      </c>
      <c r="D133" s="2">
        <f>C133-C112</f>
        <v/>
      </c>
      <c r="E133" s="20" t="n">
        <v>1.114</v>
      </c>
      <c r="F133" s="2" t="n">
        <v>2008</v>
      </c>
    </row>
    <row r="134">
      <c r="A134" s="2" t="inlineStr">
        <is>
          <t>shale</t>
        </is>
      </c>
      <c r="B134" s="2" t="inlineStr">
        <is>
          <t>O&amp;G (Shale)</t>
        </is>
      </c>
      <c r="C134" s="2" t="n">
        <v>2007.75</v>
      </c>
      <c r="D134" s="2">
        <f>C134-C112</f>
        <v/>
      </c>
      <c r="E134" s="20" t="n">
        <v>1.114</v>
      </c>
      <c r="F134" s="2" t="n">
        <v>2008</v>
      </c>
    </row>
    <row r="135">
      <c r="A135" s="2" t="inlineStr">
        <is>
          <t>shale</t>
        </is>
      </c>
      <c r="B135" s="2" t="inlineStr">
        <is>
          <t>O&amp;G (Shale)</t>
        </is>
      </c>
      <c r="C135" s="2" t="n">
        <v>2008</v>
      </c>
      <c r="D135" s="2">
        <f>C135-C112</f>
        <v/>
      </c>
      <c r="E135" s="20" t="n">
        <v>1.114</v>
      </c>
      <c r="F135" s="2" t="n">
        <v>2008</v>
      </c>
    </row>
    <row r="136">
      <c r="A136" s="2" t="inlineStr">
        <is>
          <t>shale</t>
        </is>
      </c>
      <c r="B136" s="2" t="inlineStr">
        <is>
          <t>O&amp;G (Shale)</t>
        </is>
      </c>
      <c r="C136" s="2" t="n">
        <v>2008.25</v>
      </c>
      <c r="D136" s="2">
        <f>C136-C112</f>
        <v/>
      </c>
      <c r="E136" s="20" t="n">
        <v>1.114</v>
      </c>
      <c r="F136" s="2" t="n">
        <v>2008</v>
      </c>
    </row>
    <row r="137">
      <c r="A137" s="2" t="inlineStr">
        <is>
          <t>shale</t>
        </is>
      </c>
      <c r="B137" s="2" t="inlineStr">
        <is>
          <t>O&amp;G (Shale)</t>
        </is>
      </c>
      <c r="C137" s="2" t="n">
        <v>2008.5</v>
      </c>
      <c r="D137" s="2">
        <f>C137-C112</f>
        <v/>
      </c>
      <c r="E137" s="20" t="n">
        <v>0.775</v>
      </c>
      <c r="F137" s="2" t="n">
        <v>2009</v>
      </c>
    </row>
    <row r="138">
      <c r="A138" s="2" t="inlineStr">
        <is>
          <t>shale</t>
        </is>
      </c>
      <c r="B138" s="2" t="inlineStr">
        <is>
          <t>O&amp;G (Shale)</t>
        </is>
      </c>
      <c r="C138" s="2" t="n">
        <v>2008.75</v>
      </c>
      <c r="D138" s="2">
        <f>C138-C112</f>
        <v/>
      </c>
      <c r="E138" s="20" t="n">
        <v>0.775</v>
      </c>
      <c r="F138" s="2" t="n">
        <v>2009</v>
      </c>
    </row>
    <row r="139">
      <c r="A139" s="2" t="inlineStr">
        <is>
          <t>shale</t>
        </is>
      </c>
      <c r="B139" s="2" t="inlineStr">
        <is>
          <t>O&amp;G (Shale)</t>
        </is>
      </c>
      <c r="C139" s="2" t="n">
        <v>2009</v>
      </c>
      <c r="D139" s="2">
        <f>C139-C112</f>
        <v/>
      </c>
      <c r="E139" s="20" t="n">
        <v>0.775</v>
      </c>
      <c r="F139" s="2" t="n">
        <v>2009</v>
      </c>
    </row>
    <row r="140">
      <c r="A140" s="2" t="inlineStr">
        <is>
          <t>shale</t>
        </is>
      </c>
      <c r="B140" s="2" t="inlineStr">
        <is>
          <t>O&amp;G (Shale)</t>
        </is>
      </c>
      <c r="C140" s="2" t="n">
        <v>2009.25</v>
      </c>
      <c r="D140" s="2">
        <f>C140-C112</f>
        <v/>
      </c>
      <c r="E140" s="20" t="n">
        <v>0.775</v>
      </c>
      <c r="F140" s="2" t="n">
        <v>2009</v>
      </c>
    </row>
    <row r="141">
      <c r="A141" s="2" t="inlineStr">
        <is>
          <t>shale</t>
        </is>
      </c>
      <c r="B141" s="2" t="inlineStr">
        <is>
          <t>O&amp;G (Shale)</t>
        </is>
      </c>
      <c r="C141" s="2" t="n">
        <v>2009.5</v>
      </c>
      <c r="D141" s="2">
        <f>C141-C112</f>
        <v/>
      </c>
      <c r="E141" s="20" t="n">
        <v>0.852</v>
      </c>
      <c r="F141" s="2" t="n">
        <v>2010</v>
      </c>
    </row>
    <row r="142">
      <c r="A142" s="2" t="inlineStr">
        <is>
          <t>shale</t>
        </is>
      </c>
      <c r="B142" s="2" t="inlineStr">
        <is>
          <t>O&amp;G (Shale)</t>
        </is>
      </c>
      <c r="C142" s="2" t="n">
        <v>2009.75</v>
      </c>
      <c r="D142" s="2">
        <f>C142-C112</f>
        <v/>
      </c>
      <c r="E142" s="20" t="n">
        <v>0.852</v>
      </c>
      <c r="F142" s="2" t="n">
        <v>2010</v>
      </c>
    </row>
    <row r="143">
      <c r="A143" s="2" t="inlineStr">
        <is>
          <t>shale</t>
        </is>
      </c>
      <c r="B143" s="2" t="inlineStr">
        <is>
          <t>O&amp;G (Shale)</t>
        </is>
      </c>
      <c r="C143" s="2" t="n">
        <v>2010</v>
      </c>
      <c r="D143" s="2">
        <f>C143-C112</f>
        <v/>
      </c>
      <c r="E143" s="20" t="n">
        <v>0.852</v>
      </c>
      <c r="F143" s="2" t="n">
        <v>2010</v>
      </c>
    </row>
    <row r="144">
      <c r="A144" s="2" t="inlineStr">
        <is>
          <t>shale</t>
        </is>
      </c>
      <c r="B144" s="2" t="inlineStr">
        <is>
          <t>O&amp;G (Shale)</t>
        </is>
      </c>
      <c r="C144" s="2" t="n">
        <v>2010.25</v>
      </c>
      <c r="D144" s="2">
        <f>C144-C112</f>
        <v/>
      </c>
      <c r="E144" s="20" t="n">
        <v>0.852</v>
      </c>
      <c r="F144" s="2" t="n">
        <v>2010</v>
      </c>
    </row>
    <row r="145">
      <c r="A145" s="2" t="inlineStr">
        <is>
          <t>shale</t>
        </is>
      </c>
      <c r="B145" s="2" t="inlineStr">
        <is>
          <t>O&amp;G (Shale)</t>
        </is>
      </c>
      <c r="C145" s="2" t="n">
        <v>2010.5</v>
      </c>
      <c r="D145" s="2">
        <f>C145-C112</f>
        <v/>
      </c>
      <c r="E145" s="20" t="n">
        <v>1.034</v>
      </c>
      <c r="F145" s="2" t="n">
        <v>2011</v>
      </c>
    </row>
    <row r="146">
      <c r="A146" s="2" t="inlineStr">
        <is>
          <t>shale</t>
        </is>
      </c>
      <c r="B146" s="2" t="inlineStr">
        <is>
          <t>O&amp;G (Shale)</t>
        </is>
      </c>
      <c r="C146" s="2" t="n">
        <v>2010.75</v>
      </c>
      <c r="D146" s="2">
        <f>C146-C112</f>
        <v/>
      </c>
      <c r="E146" s="20" t="n">
        <v>1.034</v>
      </c>
      <c r="F146" s="2" t="n">
        <v>2011</v>
      </c>
    </row>
    <row r="147">
      <c r="A147" s="2" t="inlineStr">
        <is>
          <t>shale</t>
        </is>
      </c>
      <c r="B147" s="2" t="inlineStr">
        <is>
          <t>O&amp;G (Shale)</t>
        </is>
      </c>
      <c r="C147" s="2" t="n">
        <v>2011</v>
      </c>
      <c r="D147" s="2">
        <f>C147-C112</f>
        <v/>
      </c>
      <c r="E147" s="20" t="n">
        <v>1.034</v>
      </c>
      <c r="F147" s="2" t="n">
        <v>2011</v>
      </c>
    </row>
    <row r="148">
      <c r="A148" s="2" t="inlineStr">
        <is>
          <t>shale</t>
        </is>
      </c>
      <c r="B148" s="2" t="inlineStr">
        <is>
          <t>O&amp;G (Shale)</t>
        </is>
      </c>
      <c r="C148" s="2" t="n">
        <v>2011.25</v>
      </c>
      <c r="D148" s="2">
        <f>C148-C112</f>
        <v/>
      </c>
      <c r="E148" s="20" t="n">
        <v>1.034</v>
      </c>
      <c r="F148" s="2" t="n">
        <v>2011</v>
      </c>
    </row>
    <row r="149">
      <c r="A149" s="2" t="inlineStr">
        <is>
          <t>shale</t>
        </is>
      </c>
      <c r="B149" s="2" t="inlineStr">
        <is>
          <t>O&amp;G (Shale)</t>
        </is>
      </c>
      <c r="C149" s="2" t="n">
        <v>2011.5</v>
      </c>
      <c r="D149" s="2">
        <f>C149-C112</f>
        <v/>
      </c>
      <c r="E149" s="20" t="n">
        <v>1.259</v>
      </c>
      <c r="F149" s="2" t="n">
        <v>2012</v>
      </c>
    </row>
    <row r="150">
      <c r="A150" s="2" t="inlineStr">
        <is>
          <t>shale</t>
        </is>
      </c>
      <c r="B150" s="2" t="inlineStr">
        <is>
          <t>O&amp;G (Shale)</t>
        </is>
      </c>
      <c r="C150" s="2" t="n">
        <v>2011.75</v>
      </c>
      <c r="D150" s="2">
        <f>C150-C112</f>
        <v/>
      </c>
      <c r="E150" s="20" t="n">
        <v>1.259</v>
      </c>
      <c r="F150" s="2" t="n">
        <v>2012</v>
      </c>
    </row>
    <row r="151">
      <c r="A151" s="2" t="inlineStr">
        <is>
          <t>shale</t>
        </is>
      </c>
      <c r="B151" s="2" t="inlineStr">
        <is>
          <t>O&amp;G (Shale)</t>
        </is>
      </c>
      <c r="C151" s="2" t="n">
        <v>2012</v>
      </c>
      <c r="D151" s="2">
        <f>C151-C112</f>
        <v/>
      </c>
      <c r="E151" s="20" t="n">
        <v>1.259</v>
      </c>
      <c r="F151" s="2" t="n">
        <v>2012</v>
      </c>
    </row>
    <row r="152">
      <c r="A152" s="2" t="inlineStr">
        <is>
          <t>shale</t>
        </is>
      </c>
      <c r="B152" s="2" t="inlineStr">
        <is>
          <t>O&amp;G (Shale)</t>
        </is>
      </c>
      <c r="C152" s="2" t="n">
        <v>2012.25</v>
      </c>
      <c r="D152" s="2">
        <f>C152-C112</f>
        <v/>
      </c>
      <c r="E152" s="20" t="n">
        <v>1.259</v>
      </c>
      <c r="F152" s="2" t="n">
        <v>2012</v>
      </c>
    </row>
    <row r="153">
      <c r="A153" s="2" t="inlineStr">
        <is>
          <t>shale</t>
        </is>
      </c>
      <c r="B153" s="2" t="inlineStr">
        <is>
          <t>O&amp;G (Shale)</t>
        </is>
      </c>
      <c r="C153" s="2" t="n">
        <v>2012.5</v>
      </c>
      <c r="D153" s="2">
        <f>C153-C112</f>
        <v/>
      </c>
      <c r="E153" s="20" t="n">
        <v>1.249</v>
      </c>
      <c r="F153" s="2" t="n">
        <v>2013</v>
      </c>
    </row>
    <row r="154">
      <c r="A154" s="2" t="inlineStr">
        <is>
          <t>shale</t>
        </is>
      </c>
      <c r="B154" s="2" t="inlineStr">
        <is>
          <t>O&amp;G (Shale)</t>
        </is>
      </c>
      <c r="C154" s="2" t="n">
        <v>2012.75</v>
      </c>
      <c r="D154" s="2">
        <f>C154-C112</f>
        <v/>
      </c>
      <c r="E154" s="20" t="n">
        <v>1.249</v>
      </c>
      <c r="F154" s="2" t="n">
        <v>2013</v>
      </c>
    </row>
    <row r="155">
      <c r="A155" s="2" t="inlineStr">
        <is>
          <t>shale</t>
        </is>
      </c>
      <c r="B155" s="2" t="inlineStr">
        <is>
          <t>O&amp;G (Shale)</t>
        </is>
      </c>
      <c r="C155" s="2" t="n">
        <v>2013</v>
      </c>
      <c r="D155" s="2">
        <f>C155-C112</f>
        <v/>
      </c>
      <c r="E155" s="20" t="n">
        <v>1.249</v>
      </c>
      <c r="F155" s="2" t="n">
        <v>2013</v>
      </c>
    </row>
    <row r="156">
      <c r="A156" s="2" t="inlineStr">
        <is>
          <t>shale</t>
        </is>
      </c>
      <c r="B156" s="2" t="inlineStr">
        <is>
          <t>O&amp;G (Shale)</t>
        </is>
      </c>
      <c r="C156" s="2" t="n">
        <v>2013.25</v>
      </c>
      <c r="D156" s="2">
        <f>C156-C112</f>
        <v/>
      </c>
      <c r="E156" s="20" t="n">
        <v>1.249</v>
      </c>
      <c r="F156" s="2" t="n">
        <v>2013</v>
      </c>
    </row>
    <row r="157">
      <c r="A157" s="2" t="inlineStr">
        <is>
          <t>shale</t>
        </is>
      </c>
      <c r="B157" s="2" t="inlineStr">
        <is>
          <t>O&amp;G (Shale)</t>
        </is>
      </c>
      <c r="C157" s="2" t="n">
        <v>2013.5</v>
      </c>
      <c r="D157" s="2">
        <f>C157-C112</f>
        <v/>
      </c>
      <c r="E157" s="20" t="n">
        <v>1.415</v>
      </c>
      <c r="F157" s="2" t="n">
        <v>2014</v>
      </c>
    </row>
    <row r="158">
      <c r="A158" s="2" t="inlineStr">
        <is>
          <t>shale</t>
        </is>
      </c>
      <c r="B158" s="2" t="inlineStr">
        <is>
          <t>O&amp;G (Shale)</t>
        </is>
      </c>
      <c r="C158" s="2" t="n">
        <v>2013.75</v>
      </c>
      <c r="D158" s="2">
        <f>C158-C112</f>
        <v/>
      </c>
      <c r="E158" s="20" t="n">
        <v>1.415</v>
      </c>
      <c r="F158" s="2" t="n">
        <v>2014</v>
      </c>
    </row>
    <row r="159">
      <c r="A159" s="2" t="inlineStr">
        <is>
          <t>shale</t>
        </is>
      </c>
      <c r="B159" s="2" t="inlineStr">
        <is>
          <t>O&amp;G (Shale)</t>
        </is>
      </c>
      <c r="C159" s="2" t="n">
        <v>2014</v>
      </c>
      <c r="D159" s="2">
        <f>C159-C112</f>
        <v/>
      </c>
      <c r="E159" s="20" t="n">
        <v>1.415</v>
      </c>
      <c r="F159" s="2" t="n">
        <v>2014</v>
      </c>
    </row>
    <row r="160">
      <c r="A160" s="2" t="inlineStr">
        <is>
          <t>shale</t>
        </is>
      </c>
      <c r="B160" s="2" t="inlineStr">
        <is>
          <t>O&amp;G (Shale)</t>
        </is>
      </c>
      <c r="C160" s="2" t="n">
        <v>2014.25</v>
      </c>
      <c r="D160" s="2">
        <f>C160-C112</f>
        <v/>
      </c>
      <c r="E160" s="20" t="n">
        <v>1.415</v>
      </c>
      <c r="F160" s="2" t="n">
        <v>2014</v>
      </c>
    </row>
    <row r="161">
      <c r="A161" s="2" t="inlineStr">
        <is>
          <t>shale</t>
        </is>
      </c>
      <c r="B161" s="2" t="inlineStr">
        <is>
          <t>O&amp;G (Shale)</t>
        </is>
      </c>
      <c r="C161" s="2" t="n">
        <v>2014.5</v>
      </c>
      <c r="D161" s="2">
        <f>C161-C112</f>
        <v/>
      </c>
      <c r="E161" s="20" t="n">
        <v>0.979</v>
      </c>
      <c r="F161" s="2" t="n">
        <v>2015</v>
      </c>
    </row>
    <row r="162">
      <c r="A162" s="2" t="inlineStr">
        <is>
          <t>shale</t>
        </is>
      </c>
      <c r="B162" s="2" t="inlineStr">
        <is>
          <t>O&amp;G (Shale)</t>
        </is>
      </c>
      <c r="C162" s="2" t="n">
        <v>2014.75</v>
      </c>
      <c r="D162" s="2">
        <f>C162-C112</f>
        <v/>
      </c>
      <c r="E162" s="20" t="n">
        <v>0.979</v>
      </c>
      <c r="F162" s="2" t="n">
        <v>2015</v>
      </c>
    </row>
    <row r="163">
      <c r="A163" s="2" t="inlineStr">
        <is>
          <t>shale</t>
        </is>
      </c>
      <c r="B163" s="2" t="inlineStr">
        <is>
          <t>O&amp;G (Shale)</t>
        </is>
      </c>
      <c r="C163" s="2" t="n">
        <v>2015</v>
      </c>
      <c r="D163" s="2">
        <f>C163-C112</f>
        <v/>
      </c>
      <c r="E163" s="20" t="n">
        <v>0.979</v>
      </c>
      <c r="F163" s="2" t="n">
        <v>2015</v>
      </c>
    </row>
    <row r="164">
      <c r="A164" s="2" t="inlineStr">
        <is>
          <t>shale</t>
        </is>
      </c>
      <c r="B164" s="2" t="inlineStr">
        <is>
          <t>O&amp;G (Shale)</t>
        </is>
      </c>
      <c r="C164" s="2" t="n">
        <v>2015.25</v>
      </c>
      <c r="D164" s="2">
        <f>C164-C112</f>
        <v/>
      </c>
      <c r="E164" s="20" t="n">
        <v>0.979</v>
      </c>
      <c r="F164" s="2" t="n">
        <v>2015</v>
      </c>
    </row>
    <row r="165">
      <c r="A165" s="2" t="inlineStr">
        <is>
          <t>shale</t>
        </is>
      </c>
      <c r="B165" s="2" t="inlineStr">
        <is>
          <t>O&amp;G (Shale)</t>
        </is>
      </c>
      <c r="C165" s="2" t="n">
        <v>2015.5</v>
      </c>
      <c r="D165" s="2">
        <f>C165-C112</f>
        <v/>
      </c>
      <c r="E165" s="20" t="n">
        <v>0.5600000000000001</v>
      </c>
      <c r="F165" s="2" t="n">
        <v>2016</v>
      </c>
    </row>
    <row r="166">
      <c r="A166" s="2" t="inlineStr">
        <is>
          <t>shale</t>
        </is>
      </c>
      <c r="B166" s="2" t="inlineStr">
        <is>
          <t>O&amp;G (Shale)</t>
        </is>
      </c>
      <c r="C166" s="2" t="n">
        <v>2015.75</v>
      </c>
      <c r="D166" s="2">
        <f>C166-C112</f>
        <v/>
      </c>
      <c r="E166" s="20" t="n">
        <v>0.5600000000000001</v>
      </c>
      <c r="F166" s="2" t="n">
        <v>2016</v>
      </c>
    </row>
    <row r="167">
      <c r="A167" s="2" t="inlineStr">
        <is>
          <t>shale</t>
        </is>
      </c>
      <c r="B167" s="2" t="inlineStr">
        <is>
          <t>O&amp;G (Shale)</t>
        </is>
      </c>
      <c r="C167" s="2" t="n">
        <v>2016</v>
      </c>
      <c r="D167" s="2">
        <f>C167-C112</f>
        <v/>
      </c>
      <c r="E167" s="20" t="n">
        <v>0.5600000000000001</v>
      </c>
      <c r="F167" s="2" t="n">
        <v>2016</v>
      </c>
    </row>
    <row r="168">
      <c r="A168" s="2" t="inlineStr">
        <is>
          <t>shale</t>
        </is>
      </c>
      <c r="B168" s="2" t="inlineStr">
        <is>
          <t>O&amp;G (Shale)</t>
        </is>
      </c>
      <c r="C168" s="2" t="n">
        <v>2016.25</v>
      </c>
      <c r="D168" s="2">
        <f>C168-C112</f>
        <v/>
      </c>
      <c r="E168" s="20" t="n">
        <v>0.5600000000000001</v>
      </c>
      <c r="F168" s="2" t="n">
        <v>2016</v>
      </c>
    </row>
    <row r="169">
      <c r="A169" s="2" t="inlineStr">
        <is>
          <t>hyperLA</t>
        </is>
      </c>
      <c r="B169" s="2" t="inlineStr">
        <is>
          <t>Hyperscalers (lease adjusted)</t>
        </is>
      </c>
      <c r="C169" s="2" t="n">
        <v>2021.5</v>
      </c>
      <c r="D169" s="2">
        <f>C169-C169</f>
        <v/>
      </c>
      <c r="E169" s="20" t="n">
        <v>0.616</v>
      </c>
    </row>
    <row r="170">
      <c r="A170" s="2" t="inlineStr">
        <is>
          <t>hyperLA</t>
        </is>
      </c>
      <c r="B170" s="2" t="inlineStr">
        <is>
          <t>Hyperscalers (lease adjusted)</t>
        </is>
      </c>
      <c r="C170" s="2" t="n">
        <v>2021.75</v>
      </c>
      <c r="D170" s="2">
        <f>C170-C169</f>
        <v/>
      </c>
      <c r="E170" s="20" t="n">
        <v>0.637</v>
      </c>
    </row>
    <row r="171">
      <c r="A171" s="2" t="inlineStr">
        <is>
          <t>hyperLA</t>
        </is>
      </c>
      <c r="B171" s="2" t="inlineStr">
        <is>
          <t>Hyperscalers (lease adjusted)</t>
        </is>
      </c>
      <c r="C171" s="2" t="n">
        <v>2022</v>
      </c>
      <c r="D171" s="2">
        <f>C171-C169</f>
        <v/>
      </c>
      <c r="E171" s="20" t="n">
        <v>0.64</v>
      </c>
    </row>
    <row r="172">
      <c r="A172" s="2" t="inlineStr">
        <is>
          <t>hyperLA</t>
        </is>
      </c>
      <c r="B172" s="2" t="inlineStr">
        <is>
          <t>Hyperscalers (lease adjusted)</t>
        </is>
      </c>
      <c r="C172" s="2" t="n">
        <v>2022.25</v>
      </c>
      <c r="D172" s="2">
        <f>C172-C169</f>
        <v/>
      </c>
      <c r="E172" s="20" t="n">
        <v>0.655</v>
      </c>
    </row>
    <row r="173">
      <c r="A173" s="2" t="inlineStr">
        <is>
          <t>hyperLA</t>
        </is>
      </c>
      <c r="B173" s="2" t="inlineStr">
        <is>
          <t>Hyperscalers (lease adjusted)</t>
        </is>
      </c>
      <c r="C173" s="2" t="n">
        <v>2022.5</v>
      </c>
      <c r="D173" s="2">
        <f>C173-C169</f>
        <v/>
      </c>
      <c r="E173" s="20" t="n">
        <v>0.627</v>
      </c>
    </row>
    <row r="174">
      <c r="A174" s="2" t="inlineStr">
        <is>
          <t>hyperLA</t>
        </is>
      </c>
      <c r="B174" s="2" t="inlineStr">
        <is>
          <t>Hyperscalers (lease adjusted)</t>
        </is>
      </c>
      <c r="C174" s="2" t="n">
        <v>2022.75</v>
      </c>
      <c r="D174" s="2">
        <f>C174-C169</f>
        <v/>
      </c>
      <c r="E174" s="20" t="n">
        <v>0.614</v>
      </c>
    </row>
    <row r="175">
      <c r="A175" s="2" t="inlineStr">
        <is>
          <t>hyperLA</t>
        </is>
      </c>
      <c r="B175" s="2" t="inlineStr">
        <is>
          <t>Hyperscalers (lease adjusted)</t>
        </is>
      </c>
      <c r="C175" s="2" t="n">
        <v>2023</v>
      </c>
      <c r="D175" s="2">
        <f>C175-C169</f>
        <v/>
      </c>
      <c r="E175" s="20" t="n">
        <v>0.592</v>
      </c>
    </row>
    <row r="176">
      <c r="A176" s="2" t="inlineStr">
        <is>
          <t>hyperLA</t>
        </is>
      </c>
      <c r="B176" s="2" t="inlineStr">
        <is>
          <t>Hyperscalers (lease adjusted)</t>
        </is>
      </c>
      <c r="C176" s="2" t="n">
        <v>2023.25</v>
      </c>
      <c r="D176" s="2">
        <f>C176-C169</f>
        <v/>
      </c>
      <c r="E176" s="20" t="n">
        <v>0.595</v>
      </c>
    </row>
    <row r="177">
      <c r="A177" s="2" t="inlineStr">
        <is>
          <t>hyperLA</t>
        </is>
      </c>
      <c r="B177" s="2" t="inlineStr">
        <is>
          <t>Hyperscalers (lease adjusted)</t>
        </is>
      </c>
      <c r="C177" s="2" t="n">
        <v>2023.5</v>
      </c>
      <c r="D177" s="2">
        <f>C177-C169</f>
        <v/>
      </c>
      <c r="E177" s="20" t="n">
        <v>0.596</v>
      </c>
    </row>
    <row r="178">
      <c r="A178" s="2" t="inlineStr">
        <is>
          <t>hyperLA</t>
        </is>
      </c>
      <c r="B178" s="2" t="inlineStr">
        <is>
          <t>Hyperscalers (lease adjusted)</t>
        </is>
      </c>
      <c r="C178" s="2" t="n">
        <v>2023.75</v>
      </c>
      <c r="D178" s="2">
        <f>C178-C169</f>
        <v/>
      </c>
      <c r="E178" s="20" t="n">
        <v>0.6860000000000001</v>
      </c>
    </row>
    <row r="179">
      <c r="A179" s="2" t="inlineStr">
        <is>
          <t>hyperLA</t>
        </is>
      </c>
      <c r="B179" s="2" t="inlineStr">
        <is>
          <t>Hyperscalers (lease adjusted)</t>
        </is>
      </c>
      <c r="C179" s="2" t="n">
        <v>2024</v>
      </c>
      <c r="D179" s="2">
        <f>C179-C169</f>
        <v/>
      </c>
      <c r="E179" s="20" t="n">
        <v>0.78</v>
      </c>
    </row>
    <row r="180">
      <c r="A180" s="2" t="inlineStr">
        <is>
          <t>hyperLA</t>
        </is>
      </c>
      <c r="B180" s="2" t="inlineStr">
        <is>
          <t>Hyperscalers (lease adjusted)</t>
        </is>
      </c>
      <c r="C180" s="2" t="n">
        <v>2024.25</v>
      </c>
      <c r="D180" s="2">
        <f>C180-C169</f>
        <v/>
      </c>
      <c r="E180" s="20" t="n">
        <v>0.896</v>
      </c>
    </row>
    <row r="181">
      <c r="A181" s="2" t="inlineStr">
        <is>
          <t>hyperLA</t>
        </is>
      </c>
      <c r="B181" s="2" t="inlineStr">
        <is>
          <t>Hyperscalers (lease adjusted)</t>
        </is>
      </c>
      <c r="C181" s="2" t="n">
        <v>2024.5</v>
      </c>
      <c r="D181" s="2">
        <f>C181-C169</f>
        <v/>
      </c>
      <c r="E181" s="20" t="n">
        <v>1.013</v>
      </c>
    </row>
    <row r="182">
      <c r="A182" s="2" t="inlineStr">
        <is>
          <t>hyperLA</t>
        </is>
      </c>
      <c r="B182" s="2" t="inlineStr">
        <is>
          <t>Hyperscalers (lease adjusted)</t>
        </is>
      </c>
      <c r="C182" s="2" t="n">
        <v>2024.75</v>
      </c>
      <c r="D182" s="2">
        <f>C182-C169</f>
        <v/>
      </c>
      <c r="E182" s="20" t="n">
        <v>1.147</v>
      </c>
    </row>
    <row r="183">
      <c r="A183" s="2" t="inlineStr">
        <is>
          <t>hyperLA</t>
        </is>
      </c>
      <c r="B183" s="2" t="inlineStr">
        <is>
          <t>Hyperscalers (lease adjusted)</t>
        </is>
      </c>
      <c r="C183" s="2" t="n">
        <v>2025</v>
      </c>
      <c r="D183" s="2">
        <f>C183-C169</f>
        <v/>
      </c>
      <c r="E183" s="20" t="n">
        <v>1.334</v>
      </c>
    </row>
    <row r="184">
      <c r="A184" s="2" t="inlineStr">
        <is>
          <t>hyperLA</t>
        </is>
      </c>
      <c r="B184" s="2" t="inlineStr">
        <is>
          <t>Hyperscalers (lease adjusted)</t>
        </is>
      </c>
      <c r="C184" s="2" t="n">
        <v>2025.25</v>
      </c>
      <c r="D184" s="2">
        <f>C184-C169</f>
        <v/>
      </c>
      <c r="E184" s="20" t="n">
        <v>1.558</v>
      </c>
    </row>
    <row r="185">
      <c r="A185" s="2" t="inlineStr">
        <is>
          <t>hyperLA</t>
        </is>
      </c>
      <c r="B185" s="2" t="inlineStr">
        <is>
          <t>Hyperscalers (lease adjusted)</t>
        </is>
      </c>
      <c r="C185" s="2" t="n">
        <v>2025.5</v>
      </c>
      <c r="D185" s="2">
        <f>C185-C169</f>
        <v/>
      </c>
      <c r="E185" s="20" t="n">
        <v>1.702</v>
      </c>
    </row>
    <row r="186">
      <c r="A186" s="2" t="inlineStr">
        <is>
          <t>hyper</t>
        </is>
      </c>
      <c r="B186" s="2" t="inlineStr">
        <is>
          <t>Hyperscalers</t>
        </is>
      </c>
      <c r="C186" s="2" t="n">
        <v>2021.5</v>
      </c>
      <c r="D186" s="2">
        <f>C186-C186</f>
        <v/>
      </c>
      <c r="E186" s="20" t="n">
        <v>0.537</v>
      </c>
    </row>
    <row r="187">
      <c r="A187" s="2" t="inlineStr">
        <is>
          <t>hyper</t>
        </is>
      </c>
      <c r="B187" s="2" t="inlineStr">
        <is>
          <t>Hyperscalers</t>
        </is>
      </c>
      <c r="C187" s="2" t="n">
        <v>2021.75</v>
      </c>
      <c r="D187" s="2">
        <f>C187-C186</f>
        <v/>
      </c>
      <c r="E187" s="20" t="n">
        <v>0.5639999999999999</v>
      </c>
    </row>
    <row r="188">
      <c r="A188" s="2" t="inlineStr">
        <is>
          <t>hyper</t>
        </is>
      </c>
      <c r="B188" s="2" t="inlineStr">
        <is>
          <t>Hyperscalers</t>
        </is>
      </c>
      <c r="C188" s="2" t="n">
        <v>2022</v>
      </c>
      <c r="D188" s="2">
        <f>C188-C186</f>
        <v/>
      </c>
      <c r="E188" s="20" t="n">
        <v>0.595</v>
      </c>
    </row>
    <row r="189">
      <c r="A189" s="2" t="inlineStr">
        <is>
          <t>hyper</t>
        </is>
      </c>
      <c r="B189" s="2" t="inlineStr">
        <is>
          <t>Hyperscalers</t>
        </is>
      </c>
      <c r="C189" s="2" t="n">
        <v>2022.25</v>
      </c>
      <c r="D189" s="2">
        <f>C189-C186</f>
        <v/>
      </c>
      <c r="E189" s="20" t="n">
        <v>0.611</v>
      </c>
    </row>
    <row r="190">
      <c r="A190" s="2" t="inlineStr">
        <is>
          <t>hyper</t>
        </is>
      </c>
      <c r="B190" s="2" t="inlineStr">
        <is>
          <t>Hyperscalers</t>
        </is>
      </c>
      <c r="C190" s="2" t="n">
        <v>2022.5</v>
      </c>
      <c r="D190" s="2">
        <f>C190-C186</f>
        <v/>
      </c>
      <c r="E190" s="20" t="n">
        <v>0.569</v>
      </c>
    </row>
    <row r="191">
      <c r="A191" s="2" t="inlineStr">
        <is>
          <t>hyper</t>
        </is>
      </c>
      <c r="B191" s="2" t="inlineStr">
        <is>
          <t>Hyperscalers</t>
        </is>
      </c>
      <c r="C191" s="2" t="n">
        <v>2022.75</v>
      </c>
      <c r="D191" s="2">
        <f>C191-C186</f>
        <v/>
      </c>
      <c r="E191" s="20" t="n">
        <v>0.555</v>
      </c>
    </row>
    <row r="192">
      <c r="A192" s="2" t="inlineStr">
        <is>
          <t>hyper</t>
        </is>
      </c>
      <c r="B192" s="2" t="inlineStr">
        <is>
          <t>Hyperscalers</t>
        </is>
      </c>
      <c r="C192" s="2" t="n">
        <v>2023</v>
      </c>
      <c r="D192" s="2">
        <f>C192-C186</f>
        <v/>
      </c>
      <c r="E192" s="20" t="n">
        <v>0.542</v>
      </c>
    </row>
    <row r="193">
      <c r="A193" s="2" t="inlineStr">
        <is>
          <t>hyper</t>
        </is>
      </c>
      <c r="B193" s="2" t="inlineStr">
        <is>
          <t>Hyperscalers</t>
        </is>
      </c>
      <c r="C193" s="2" t="n">
        <v>2023.25</v>
      </c>
      <c r="D193" s="2">
        <f>C193-C186</f>
        <v/>
      </c>
      <c r="E193" s="20" t="n">
        <v>0.551</v>
      </c>
    </row>
    <row r="194">
      <c r="A194" s="2" t="inlineStr">
        <is>
          <t>hyper</t>
        </is>
      </c>
      <c r="B194" s="2" t="inlineStr">
        <is>
          <t>Hyperscalers</t>
        </is>
      </c>
      <c r="C194" s="2" t="n">
        <v>2023.5</v>
      </c>
      <c r="D194" s="2">
        <f>C194-C186</f>
        <v/>
      </c>
      <c r="E194" s="20" t="n">
        <v>0.5620000000000001</v>
      </c>
    </row>
    <row r="195">
      <c r="A195" s="2" t="inlineStr">
        <is>
          <t>hyper</t>
        </is>
      </c>
      <c r="B195" s="2" t="inlineStr">
        <is>
          <t>Hyperscalers</t>
        </is>
      </c>
      <c r="C195" s="2" t="n">
        <v>2023.75</v>
      </c>
      <c r="D195" s="2">
        <f>C195-C186</f>
        <v/>
      </c>
      <c r="E195" s="20" t="n">
        <v>0.63</v>
      </c>
    </row>
    <row r="196">
      <c r="A196" s="2" t="inlineStr">
        <is>
          <t>hyper</t>
        </is>
      </c>
      <c r="B196" s="2" t="inlineStr">
        <is>
          <t>Hyperscalers</t>
        </is>
      </c>
      <c r="C196" s="2" t="n">
        <v>2024</v>
      </c>
      <c r="D196" s="2">
        <f>C196-C186</f>
        <v/>
      </c>
      <c r="E196" s="20" t="n">
        <v>0.715</v>
      </c>
    </row>
    <row r="197">
      <c r="A197" s="2" t="inlineStr">
        <is>
          <t>hyper</t>
        </is>
      </c>
      <c r="B197" s="2" t="inlineStr">
        <is>
          <t>Hyperscalers</t>
        </is>
      </c>
      <c r="C197" s="2" t="n">
        <v>2024.25</v>
      </c>
      <c r="D197" s="2">
        <f>C197-C186</f>
        <v/>
      </c>
      <c r="E197" s="20" t="n">
        <v>0.829</v>
      </c>
    </row>
    <row r="198">
      <c r="A198" s="2" t="inlineStr">
        <is>
          <t>hyper</t>
        </is>
      </c>
      <c r="B198" s="2" t="inlineStr">
        <is>
          <t>Hyperscalers</t>
        </is>
      </c>
      <c r="C198" s="2" t="n">
        <v>2024.5</v>
      </c>
      <c r="D198" s="2">
        <f>C198-C186</f>
        <v/>
      </c>
      <c r="E198" s="20" t="n">
        <v>0.901</v>
      </c>
    </row>
    <row r="199">
      <c r="A199" s="2" t="inlineStr">
        <is>
          <t>hyper</t>
        </is>
      </c>
      <c r="B199" s="2" t="inlineStr">
        <is>
          <t>Hyperscalers</t>
        </is>
      </c>
      <c r="C199" s="2" t="n">
        <v>2024.75</v>
      </c>
      <c r="D199" s="2">
        <f>C199-C186</f>
        <v/>
      </c>
      <c r="E199" s="20" t="n">
        <v>1.036</v>
      </c>
    </row>
    <row r="200">
      <c r="A200" s="2" t="inlineStr">
        <is>
          <t>hyper</t>
        </is>
      </c>
      <c r="B200" s="2" t="inlineStr">
        <is>
          <t>Hyperscalers</t>
        </is>
      </c>
      <c r="C200" s="2" t="n">
        <v>2025</v>
      </c>
      <c r="D200" s="2">
        <f>C200-C186</f>
        <v/>
      </c>
      <c r="E200" s="20" t="n">
        <v>1.187</v>
      </c>
    </row>
    <row r="201">
      <c r="A201" s="2" t="inlineStr">
        <is>
          <t>hyper</t>
        </is>
      </c>
      <c r="B201" s="2" t="inlineStr">
        <is>
          <t>Hyperscalers</t>
        </is>
      </c>
      <c r="C201" s="2" t="n">
        <v>2025.25</v>
      </c>
      <c r="D201" s="2">
        <f>C201-C186</f>
        <v/>
      </c>
      <c r="E201" s="20" t="n">
        <v>1.379</v>
      </c>
    </row>
    <row r="202">
      <c r="A202" s="2" t="inlineStr">
        <is>
          <t>hyper</t>
        </is>
      </c>
      <c r="B202" s="2" t="inlineStr">
        <is>
          <t>Hyperscalers</t>
        </is>
      </c>
      <c r="C202" s="2" t="n">
        <v>2025.5</v>
      </c>
      <c r="D202" s="2">
        <f>C202-C186</f>
        <v/>
      </c>
      <c r="E202" s="20" t="n">
        <v>1.536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Year</t>
        </is>
      </c>
      <c r="B1" s="4" t="inlineStr">
        <is>
          <t>US railroads (1900 onwards)</t>
        </is>
      </c>
      <c r="C1" s="4" t="inlineStr">
        <is>
          <t>O&amp;G (1970-80s)</t>
        </is>
      </c>
      <c r="D1" s="4" t="inlineStr">
        <is>
          <t>Telecoms (1990s)</t>
        </is>
      </c>
      <c r="E1" s="4" t="inlineStr">
        <is>
          <t>O&amp;G (Shale)</t>
        </is>
      </c>
    </row>
    <row r="2">
      <c r="A2" s="2" t="n">
        <v>1899</v>
      </c>
      <c r="B2" s="20" t="n">
        <v>1.169</v>
      </c>
    </row>
    <row r="3">
      <c r="A3" s="2" t="n">
        <v>1900</v>
      </c>
      <c r="B3" s="20" t="n">
        <v>1.247</v>
      </c>
    </row>
    <row r="4">
      <c r="A4" s="2" t="n">
        <v>1901</v>
      </c>
      <c r="B4" s="20" t="n">
        <v>1.047</v>
      </c>
    </row>
    <row r="5">
      <c r="A5" s="2" t="n">
        <v>1902</v>
      </c>
      <c r="B5" s="20" t="n">
        <v>1.068</v>
      </c>
    </row>
    <row r="6">
      <c r="A6" s="2" t="n">
        <v>1903</v>
      </c>
      <c r="B6" s="20" t="n">
        <v>1.068</v>
      </c>
    </row>
    <row r="7">
      <c r="A7" s="2" t="n">
        <v>1904</v>
      </c>
      <c r="B7" s="20" t="n">
        <v>1.252</v>
      </c>
    </row>
    <row r="8">
      <c r="A8" s="2" t="n">
        <v>1905</v>
      </c>
      <c r="B8" s="20" t="n">
        <v>1.49</v>
      </c>
    </row>
    <row r="9">
      <c r="A9" s="2" t="n">
        <v>1906</v>
      </c>
      <c r="B9" s="20" t="n">
        <v>1.798</v>
      </c>
    </row>
    <row r="10">
      <c r="A10" s="2" t="n">
        <v>1907</v>
      </c>
      <c r="B10" s="20" t="n">
        <v>2.026</v>
      </c>
    </row>
    <row r="11">
      <c r="A11" s="2" t="n">
        <v>1908</v>
      </c>
      <c r="B11" s="20" t="n">
        <v>2.221</v>
      </c>
    </row>
    <row r="12">
      <c r="A12" s="2" t="n">
        <v>1909</v>
      </c>
      <c r="B12" s="20" t="n">
        <v>2.115</v>
      </c>
    </row>
    <row r="13">
      <c r="A13" s="2" t="n">
        <v>1910</v>
      </c>
      <c r="B13" s="20" t="n">
        <v>2.303</v>
      </c>
    </row>
    <row r="14">
      <c r="A14" s="2" t="n">
        <v>1911</v>
      </c>
      <c r="B14" s="20" t="n">
        <v>2.117</v>
      </c>
    </row>
    <row r="15">
      <c r="A15" s="2" t="n">
        <v>1912</v>
      </c>
      <c r="B15" s="20" t="n">
        <v>1.998</v>
      </c>
    </row>
    <row r="16">
      <c r="A16" s="2" t="n">
        <v>1913</v>
      </c>
      <c r="B16" s="20" t="n">
        <v>1.979</v>
      </c>
    </row>
    <row r="17">
      <c r="A17" s="2" t="n">
        <v>1914</v>
      </c>
      <c r="B17" s="20" t="n">
        <v>1.418</v>
      </c>
    </row>
    <row r="18">
      <c r="A18" s="2" t="n">
        <v>1915</v>
      </c>
      <c r="B18" s="20" t="n">
        <v>0.79</v>
      </c>
    </row>
    <row r="19">
      <c r="A19" s="2" t="n">
        <v>1916</v>
      </c>
      <c r="B19" s="20" t="n">
        <v>0.8159999999999999</v>
      </c>
    </row>
    <row r="20">
      <c r="A20" s="2" t="n">
        <v>1917</v>
      </c>
      <c r="B20" s="20" t="n">
        <v>1.013</v>
      </c>
    </row>
    <row r="21">
      <c r="A21" s="2" t="n">
        <v>1918</v>
      </c>
      <c r="B21" s="20" t="n">
        <v>0.78</v>
      </c>
    </row>
    <row r="22">
      <c r="A22" s="2" t="n">
        <v>1919</v>
      </c>
      <c r="B22" s="20" t="n">
        <v>0.508</v>
      </c>
    </row>
    <row r="23">
      <c r="A23" s="2" t="n">
        <v>1920</v>
      </c>
      <c r="B23" s="20" t="n">
        <v>0.726</v>
      </c>
    </row>
    <row r="24">
      <c r="A24" s="2" t="n">
        <v>1972</v>
      </c>
      <c r="C24" s="20" t="n">
        <v>0.379</v>
      </c>
    </row>
    <row r="25">
      <c r="A25" s="2" t="n">
        <v>1973</v>
      </c>
      <c r="C25" s="20" t="n">
        <v>0.391</v>
      </c>
    </row>
    <row r="26">
      <c r="A26" s="2" t="n">
        <v>1974</v>
      </c>
      <c r="C26" s="20" t="n">
        <v>0.495</v>
      </c>
    </row>
    <row r="27">
      <c r="A27" s="2" t="n">
        <v>1975</v>
      </c>
      <c r="C27" s="20" t="n">
        <v>0.665</v>
      </c>
    </row>
    <row r="28">
      <c r="A28" s="2" t="n">
        <v>1976</v>
      </c>
      <c r="C28" s="20" t="n">
        <v>0.7</v>
      </c>
    </row>
    <row r="29">
      <c r="A29" s="2" t="n">
        <v>1977</v>
      </c>
      <c r="C29" s="20" t="n">
        <v>0.722</v>
      </c>
    </row>
    <row r="30">
      <c r="A30" s="2" t="n">
        <v>1978</v>
      </c>
      <c r="C30" s="20" t="n">
        <v>0.909</v>
      </c>
    </row>
    <row r="31">
      <c r="A31" s="2" t="n">
        <v>1979</v>
      </c>
      <c r="C31" s="20" t="n">
        <v>1.064</v>
      </c>
    </row>
    <row r="32">
      <c r="A32" s="2" t="n">
        <v>1980</v>
      </c>
      <c r="C32" s="20" t="n">
        <v>1.425</v>
      </c>
    </row>
    <row r="33">
      <c r="A33" s="2" t="n">
        <v>1981</v>
      </c>
      <c r="C33" s="20" t="n">
        <v>1.972</v>
      </c>
    </row>
    <row r="34">
      <c r="A34" s="2" t="n">
        <v>1982</v>
      </c>
      <c r="C34" s="20" t="n">
        <v>1.891</v>
      </c>
    </row>
    <row r="35">
      <c r="A35" s="2" t="n">
        <v>1983</v>
      </c>
      <c r="C35" s="20" t="n">
        <v>1.182</v>
      </c>
    </row>
    <row r="36">
      <c r="A36" s="2" t="n">
        <v>1984</v>
      </c>
      <c r="C36" s="20" t="n">
        <v>1.093</v>
      </c>
    </row>
    <row r="37">
      <c r="A37" s="2" t="n">
        <v>1985</v>
      </c>
      <c r="C37" s="20" t="n">
        <v>0.925</v>
      </c>
    </row>
    <row r="38">
      <c r="A38" s="2" t="n">
        <v>1986</v>
      </c>
      <c r="C38" s="20" t="n">
        <v>0.516</v>
      </c>
    </row>
    <row r="39">
      <c r="A39" s="2" t="n">
        <v>1995</v>
      </c>
      <c r="D39" s="20" t="n">
        <v>1.054</v>
      </c>
    </row>
    <row r="40">
      <c r="A40" s="2" t="n">
        <v>1996</v>
      </c>
      <c r="D40" s="20" t="n">
        <v>1.083</v>
      </c>
    </row>
    <row r="41">
      <c r="A41" s="2" t="n">
        <v>1997</v>
      </c>
      <c r="D41" s="20" t="n">
        <v>1.098</v>
      </c>
    </row>
    <row r="42">
      <c r="A42" s="2" t="n">
        <v>1998</v>
      </c>
      <c r="D42" s="20" t="n">
        <v>1.135</v>
      </c>
    </row>
    <row r="43">
      <c r="A43" s="2" t="n">
        <v>1999</v>
      </c>
      <c r="D43" s="20" t="n">
        <v>1.285</v>
      </c>
    </row>
    <row r="44">
      <c r="A44" s="2" t="n">
        <v>2000</v>
      </c>
      <c r="D44" s="20" t="n">
        <v>1.54</v>
      </c>
    </row>
    <row r="45">
      <c r="A45" s="2" t="n">
        <v>2001</v>
      </c>
      <c r="D45" s="20" t="n">
        <v>1.337</v>
      </c>
    </row>
    <row r="46">
      <c r="A46" s="2" t="n">
        <v>2002</v>
      </c>
      <c r="D46" s="20" t="n">
        <v>0.91</v>
      </c>
      <c r="E46" s="20" t="n">
        <v>0.395</v>
      </c>
    </row>
    <row r="47">
      <c r="A47" s="2" t="n">
        <v>2003</v>
      </c>
      <c r="D47" s="20" t="n">
        <v>0.789</v>
      </c>
      <c r="E47" s="20" t="n">
        <v>0.468</v>
      </c>
    </row>
    <row r="48">
      <c r="A48" s="2" t="n">
        <v>2004</v>
      </c>
      <c r="E48" s="20" t="n">
        <v>0.505</v>
      </c>
    </row>
    <row r="49">
      <c r="A49" s="2" t="n">
        <v>2005</v>
      </c>
      <c r="E49" s="20" t="n">
        <v>0.653</v>
      </c>
    </row>
    <row r="50">
      <c r="A50" s="2" t="n">
        <v>2006</v>
      </c>
      <c r="E50" s="20" t="n">
        <v>0.866</v>
      </c>
    </row>
    <row r="51">
      <c r="A51" s="2" t="n">
        <v>2007</v>
      </c>
      <c r="E51" s="20" t="n">
        <v>0.95</v>
      </c>
    </row>
    <row r="52">
      <c r="A52" s="2" t="n">
        <v>2008</v>
      </c>
      <c r="E52" s="20" t="n">
        <v>1.114</v>
      </c>
    </row>
    <row r="53">
      <c r="A53" s="2" t="n">
        <v>2009</v>
      </c>
      <c r="E53" s="20" t="n">
        <v>0.775</v>
      </c>
    </row>
    <row r="54">
      <c r="A54" s="2" t="n">
        <v>2010</v>
      </c>
      <c r="E54" s="20" t="n">
        <v>0.852</v>
      </c>
    </row>
    <row r="55">
      <c r="A55" s="2" t="n">
        <v>2011</v>
      </c>
      <c r="E55" s="20" t="n">
        <v>1.034</v>
      </c>
    </row>
    <row r="56">
      <c r="A56" s="2" t="n">
        <v>2012</v>
      </c>
      <c r="E56" s="20" t="n">
        <v>1.259</v>
      </c>
    </row>
    <row r="57">
      <c r="A57" s="2" t="n">
        <v>2013</v>
      </c>
      <c r="E57" s="20" t="n">
        <v>1.249</v>
      </c>
    </row>
    <row r="58">
      <c r="A58" s="2" t="n">
        <v>2014</v>
      </c>
      <c r="E58" s="20" t="n">
        <v>1.415</v>
      </c>
    </row>
    <row r="59">
      <c r="A59" s="2" t="n">
        <v>2015</v>
      </c>
      <c r="E59" s="20" t="n">
        <v>0.979</v>
      </c>
    </row>
    <row r="60">
      <c r="A60" s="2" t="n">
        <v>2016</v>
      </c>
      <c r="E60" s="20" t="n">
        <v>0.5600000000000001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4" customWidth="1" min="5" max="5"/>
  </cols>
  <sheetData>
    <row r="1">
      <c r="A1" s="3" t="inlineStr">
        <is>
          <t>Trailing 4 quarters to</t>
        </is>
      </c>
      <c r="B1" s="4" t="inlineStr">
        <is>
          <t>Position (year)</t>
        </is>
      </c>
      <c r="C1" s="4" t="inlineStr">
        <is>
          <t>Hyperscalers</t>
        </is>
      </c>
      <c r="D1" s="4" t="inlineStr">
        <is>
          <t>Hyperscalers (lease adjusted)</t>
        </is>
      </c>
      <c r="E1" s="4" t="inlineStr">
        <is>
          <t>Lease adjustment (pp)</t>
        </is>
      </c>
    </row>
    <row r="2">
      <c r="A2" s="2" t="inlineStr">
        <is>
          <t>TTM to 2022Q1</t>
        </is>
      </c>
      <c r="B2" s="2" t="n">
        <v>2021.5</v>
      </c>
      <c r="C2" s="20" t="n">
        <v>0.537</v>
      </c>
      <c r="D2" s="20" t="n">
        <v>0.616</v>
      </c>
      <c r="E2" s="5">
        <f>D2-C2</f>
        <v/>
      </c>
    </row>
    <row r="3">
      <c r="A3" s="2" t="inlineStr">
        <is>
          <t>TTM to 2022Q2</t>
        </is>
      </c>
      <c r="B3" s="2" t="n">
        <v>2021.75</v>
      </c>
      <c r="C3" s="20" t="n">
        <v>0.5639999999999999</v>
      </c>
      <c r="D3" s="20" t="n">
        <v>0.637</v>
      </c>
      <c r="E3" s="5">
        <f>D3-C3</f>
        <v/>
      </c>
    </row>
    <row r="4">
      <c r="A4" s="2" t="inlineStr">
        <is>
          <t>TTM to 2022Q3</t>
        </is>
      </c>
      <c r="B4" s="2" t="n">
        <v>2022</v>
      </c>
      <c r="C4" s="20" t="n">
        <v>0.595</v>
      </c>
      <c r="D4" s="20" t="n">
        <v>0.64</v>
      </c>
      <c r="E4" s="5">
        <f>D4-C4</f>
        <v/>
      </c>
    </row>
    <row r="5">
      <c r="A5" s="2" t="inlineStr">
        <is>
          <t>TTM to 2022Q4</t>
        </is>
      </c>
      <c r="B5" s="2" t="n">
        <v>2022.25</v>
      </c>
      <c r="C5" s="20" t="n">
        <v>0.611</v>
      </c>
      <c r="D5" s="20" t="n">
        <v>0.655</v>
      </c>
      <c r="E5" s="5">
        <f>D5-C5</f>
        <v/>
      </c>
    </row>
    <row r="6">
      <c r="A6" s="2" t="inlineStr">
        <is>
          <t>TTM to 2023Q1</t>
        </is>
      </c>
      <c r="B6" s="2" t="n">
        <v>2022.5</v>
      </c>
      <c r="C6" s="20" t="n">
        <v>0.569</v>
      </c>
      <c r="D6" s="20" t="n">
        <v>0.627</v>
      </c>
      <c r="E6" s="5">
        <f>D6-C6</f>
        <v/>
      </c>
    </row>
    <row r="7">
      <c r="A7" s="2" t="inlineStr">
        <is>
          <t>TTM to 2023Q2</t>
        </is>
      </c>
      <c r="B7" s="2" t="n">
        <v>2022.75</v>
      </c>
      <c r="C7" s="20" t="n">
        <v>0.555</v>
      </c>
      <c r="D7" s="20" t="n">
        <v>0.614</v>
      </c>
      <c r="E7" s="5">
        <f>D7-C7</f>
        <v/>
      </c>
    </row>
    <row r="8">
      <c r="A8" s="2" t="inlineStr">
        <is>
          <t>TTM to 2023Q3</t>
        </is>
      </c>
      <c r="B8" s="2" t="n">
        <v>2023</v>
      </c>
      <c r="C8" s="20" t="n">
        <v>0.542</v>
      </c>
      <c r="D8" s="20" t="n">
        <v>0.592</v>
      </c>
      <c r="E8" s="5">
        <f>D8-C8</f>
        <v/>
      </c>
    </row>
    <row r="9">
      <c r="A9" s="2" t="inlineStr">
        <is>
          <t>TTM to 2023Q4</t>
        </is>
      </c>
      <c r="B9" s="2" t="n">
        <v>2023.25</v>
      </c>
      <c r="C9" s="20" t="n">
        <v>0.551</v>
      </c>
      <c r="D9" s="20" t="n">
        <v>0.595</v>
      </c>
      <c r="E9" s="5">
        <f>D9-C9</f>
        <v/>
      </c>
    </row>
    <row r="10">
      <c r="A10" s="2" t="inlineStr">
        <is>
          <t>TTM to 2024Q1</t>
        </is>
      </c>
      <c r="B10" s="2" t="n">
        <v>2023.5</v>
      </c>
      <c r="C10" s="20" t="n">
        <v>0.5620000000000001</v>
      </c>
      <c r="D10" s="20" t="n">
        <v>0.596</v>
      </c>
      <c r="E10" s="5">
        <f>D10-C10</f>
        <v/>
      </c>
    </row>
    <row r="11">
      <c r="A11" s="2" t="inlineStr">
        <is>
          <t>TTM to 2024Q2</t>
        </is>
      </c>
      <c r="B11" s="2" t="n">
        <v>2023.75</v>
      </c>
      <c r="C11" s="20" t="n">
        <v>0.63</v>
      </c>
      <c r="D11" s="20" t="n">
        <v>0.6860000000000001</v>
      </c>
      <c r="E11" s="5">
        <f>D11-C11</f>
        <v/>
      </c>
    </row>
    <row r="12">
      <c r="A12" s="2" t="inlineStr">
        <is>
          <t>TTM to 2024Q3</t>
        </is>
      </c>
      <c r="B12" s="2" t="n">
        <v>2024</v>
      </c>
      <c r="C12" s="20" t="n">
        <v>0.715</v>
      </c>
      <c r="D12" s="20" t="n">
        <v>0.78</v>
      </c>
      <c r="E12" s="5">
        <f>D12-C12</f>
        <v/>
      </c>
    </row>
    <row r="13">
      <c r="A13" s="2" t="inlineStr">
        <is>
          <t>TTM to 2024Q4</t>
        </is>
      </c>
      <c r="B13" s="2" t="n">
        <v>2024.25</v>
      </c>
      <c r="C13" s="20" t="n">
        <v>0.829</v>
      </c>
      <c r="D13" s="20" t="n">
        <v>0.896</v>
      </c>
      <c r="E13" s="5">
        <f>D13-C13</f>
        <v/>
      </c>
    </row>
    <row r="14">
      <c r="A14" s="2" t="inlineStr">
        <is>
          <t>TTM to 2025Q1</t>
        </is>
      </c>
      <c r="B14" s="2" t="n">
        <v>2024.5</v>
      </c>
      <c r="C14" s="20" t="n">
        <v>0.901</v>
      </c>
      <c r="D14" s="20" t="n">
        <v>1.013</v>
      </c>
      <c r="E14" s="5">
        <f>D14-C14</f>
        <v/>
      </c>
    </row>
    <row r="15">
      <c r="A15" s="2" t="inlineStr">
        <is>
          <t>TTM to 2025Q2</t>
        </is>
      </c>
      <c r="B15" s="2" t="n">
        <v>2024.75</v>
      </c>
      <c r="C15" s="20" t="n">
        <v>1.036</v>
      </c>
      <c r="D15" s="20" t="n">
        <v>1.147</v>
      </c>
      <c r="E15" s="5">
        <f>D15-C15</f>
        <v/>
      </c>
    </row>
    <row r="16">
      <c r="A16" s="2" t="inlineStr">
        <is>
          <t>TTM to 2025Q3</t>
        </is>
      </c>
      <c r="B16" s="2" t="n">
        <v>2025</v>
      </c>
      <c r="C16" s="20" t="n">
        <v>1.187</v>
      </c>
      <c r="D16" s="20" t="n">
        <v>1.334</v>
      </c>
      <c r="E16" s="5">
        <f>D16-C16</f>
        <v/>
      </c>
    </row>
    <row r="17">
      <c r="A17" s="2" t="inlineStr">
        <is>
          <t>TTM to 2025Q4</t>
        </is>
      </c>
      <c r="B17" s="2" t="n">
        <v>2025.25</v>
      </c>
      <c r="C17" s="20" t="n">
        <v>1.379</v>
      </c>
      <c r="D17" s="20" t="n">
        <v>1.558</v>
      </c>
      <c r="E17" s="5">
        <f>D17-C17</f>
        <v/>
      </c>
    </row>
    <row r="18">
      <c r="A18" s="2" t="inlineStr">
        <is>
          <t>TTM to 2026Q1</t>
        </is>
      </c>
      <c r="B18" s="2" t="n">
        <v>2025.5</v>
      </c>
      <c r="C18" s="20" t="n">
        <v>1.536</v>
      </c>
      <c r="D18" s="20" t="n">
        <v>1.702</v>
      </c>
      <c r="E18" s="5">
        <f>D18-C18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</cols>
  <sheetData>
    <row r="1">
      <c r="A1" s="3" t="inlineStr">
        <is>
          <t>Fiscal quarter ends</t>
        </is>
      </c>
      <c r="B1" s="4" t="inlineStr">
        <is>
          <t>Oracle capex ($bn)</t>
        </is>
      </c>
      <c r="C1" s="4" t="inlineStr">
        <is>
          <t>Months covered</t>
        </is>
      </c>
    </row>
    <row r="2">
      <c r="A2" s="2" t="inlineStr">
        <is>
          <t>2019-11-30</t>
        </is>
      </c>
      <c r="B2" s="20" t="n">
        <v>0.349</v>
      </c>
      <c r="C2" s="2" t="inlineStr">
        <is>
          <t>Sep 2019 - Nov 2019</t>
        </is>
      </c>
    </row>
    <row r="3">
      <c r="A3" s="2" t="inlineStr">
        <is>
          <t>2020-02-29</t>
        </is>
      </c>
      <c r="B3" s="20" t="n">
        <v>0.396</v>
      </c>
      <c r="C3" s="2" t="inlineStr">
        <is>
          <t>Dec 2019 - Feb 2020</t>
        </is>
      </c>
    </row>
    <row r="4">
      <c r="A4" s="2" t="inlineStr">
        <is>
          <t>2020-05-31</t>
        </is>
      </c>
      <c r="B4" s="20" t="n">
        <v>0.433</v>
      </c>
      <c r="C4" s="2" t="inlineStr">
        <is>
          <t>Mar 2020 - May 2020</t>
        </is>
      </c>
    </row>
    <row r="5">
      <c r="A5" s="2" t="inlineStr">
        <is>
          <t>2020-08-31</t>
        </is>
      </c>
      <c r="B5" s="20" t="n">
        <v>0.436</v>
      </c>
      <c r="C5" s="2" t="inlineStr">
        <is>
          <t>Jun 2020 - Aug 2020</t>
        </is>
      </c>
    </row>
    <row r="6">
      <c r="A6" s="2" t="inlineStr">
        <is>
          <t>2020-11-30</t>
        </is>
      </c>
      <c r="B6" s="20" t="n">
        <v>0.5679999999999999</v>
      </c>
      <c r="C6" s="2" t="inlineStr">
        <is>
          <t>Sep 2020 - Nov 2020</t>
        </is>
      </c>
    </row>
    <row r="7">
      <c r="A7" s="2" t="inlineStr">
        <is>
          <t>2021-02-28</t>
        </is>
      </c>
      <c r="B7" s="20" t="n">
        <v>0.414</v>
      </c>
      <c r="C7" s="2" t="inlineStr">
        <is>
          <t>Dec 2020 - Feb 2021</t>
        </is>
      </c>
    </row>
    <row r="8">
      <c r="A8" s="2" t="inlineStr">
        <is>
          <t>2021-05-31</t>
        </is>
      </c>
      <c r="B8" s="20" t="n">
        <v>0.717</v>
      </c>
      <c r="C8" s="2" t="inlineStr">
        <is>
          <t>Mar 2021 - May 2021</t>
        </is>
      </c>
    </row>
    <row r="9">
      <c r="A9" s="2" t="inlineStr">
        <is>
          <t>2021-08-31</t>
        </is>
      </c>
      <c r="B9" s="20" t="n">
        <v>1.062</v>
      </c>
      <c r="C9" s="2" t="inlineStr">
        <is>
          <t>Jun 2021 - Aug 2021</t>
        </is>
      </c>
    </row>
    <row r="10">
      <c r="A10" s="2" t="inlineStr">
        <is>
          <t>2021-11-30</t>
        </is>
      </c>
      <c r="B10" s="20" t="n">
        <v>0.925</v>
      </c>
      <c r="C10" s="2" t="inlineStr">
        <is>
          <t>Sep 2021 - Nov 2021</t>
        </is>
      </c>
    </row>
    <row r="11">
      <c r="A11" s="2" t="inlineStr">
        <is>
          <t>2022-02-28</t>
        </is>
      </c>
      <c r="B11" s="20" t="n">
        <v>1.101</v>
      </c>
      <c r="C11" s="2" t="inlineStr">
        <is>
          <t>Dec 2021 - Feb 2022</t>
        </is>
      </c>
    </row>
    <row r="12">
      <c r="A12" s="2" t="inlineStr">
        <is>
          <t>2022-05-31</t>
        </is>
      </c>
      <c r="B12" s="20" t="n">
        <v>1.423</v>
      </c>
      <c r="C12" s="2" t="inlineStr">
        <is>
          <t>Mar 2022 - May 2022</t>
        </is>
      </c>
    </row>
    <row r="13">
      <c r="A13" s="2" t="inlineStr">
        <is>
          <t>2022-08-31</t>
        </is>
      </c>
      <c r="B13" s="20" t="n">
        <v>1.719</v>
      </c>
      <c r="C13" s="2" t="inlineStr">
        <is>
          <t>Jun 2022 - Aug 2022</t>
        </is>
      </c>
    </row>
    <row r="14">
      <c r="A14" s="2" t="inlineStr">
        <is>
          <t>2022-11-30</t>
        </is>
      </c>
      <c r="B14" s="20" t="n">
        <v>2.435</v>
      </c>
      <c r="C14" s="2" t="inlineStr">
        <is>
          <t>Sep 2022 - Nov 2022</t>
        </is>
      </c>
    </row>
    <row r="15">
      <c r="A15" s="2" t="inlineStr">
        <is>
          <t>2023-02-28</t>
        </is>
      </c>
      <c r="B15" s="20" t="n">
        <v>2.628</v>
      </c>
      <c r="C15" s="2" t="inlineStr">
        <is>
          <t>Dec 2022 - Feb 2023</t>
        </is>
      </c>
    </row>
    <row r="16">
      <c r="A16" s="2" t="inlineStr">
        <is>
          <t>2023-05-31</t>
        </is>
      </c>
      <c r="B16" s="20" t="n">
        <v>1.913</v>
      </c>
      <c r="C16" s="2" t="inlineStr">
        <is>
          <t>Mar 2023 - May 2023</t>
        </is>
      </c>
    </row>
    <row r="17">
      <c r="A17" s="2" t="inlineStr">
        <is>
          <t>2023-08-31</t>
        </is>
      </c>
      <c r="B17" s="20" t="n">
        <v>1.314</v>
      </c>
      <c r="C17" s="2" t="inlineStr">
        <is>
          <t>Jun 2023 - Aug 2023</t>
        </is>
      </c>
    </row>
    <row r="18">
      <c r="A18" s="2" t="inlineStr">
        <is>
          <t>2023-11-30</t>
        </is>
      </c>
      <c r="B18" s="20" t="n">
        <v>1.08</v>
      </c>
      <c r="C18" s="2" t="inlineStr">
        <is>
          <t>Sep 2023 - Nov 2023</t>
        </is>
      </c>
    </row>
    <row r="19">
      <c r="A19" s="2" t="inlineStr">
        <is>
          <t>2024-02-29</t>
        </is>
      </c>
      <c r="B19" s="20" t="n">
        <v>1.674</v>
      </c>
      <c r="C19" s="2" t="inlineStr">
        <is>
          <t>Dec 2023 - Feb 2024</t>
        </is>
      </c>
    </row>
    <row r="20">
      <c r="A20" s="2" t="inlineStr">
        <is>
          <t>2024-05-31</t>
        </is>
      </c>
      <c r="B20" s="20" t="n">
        <v>2.798</v>
      </c>
      <c r="C20" s="2" t="inlineStr">
        <is>
          <t>Mar 2024 - May 2024</t>
        </is>
      </c>
    </row>
    <row r="21">
      <c r="A21" s="2" t="inlineStr">
        <is>
          <t>2024-08-31</t>
        </is>
      </c>
      <c r="B21" s="20" t="n">
        <v>2.303</v>
      </c>
      <c r="C21" s="2" t="inlineStr">
        <is>
          <t>Jun 2024 - Aug 2024</t>
        </is>
      </c>
    </row>
    <row r="22">
      <c r="A22" s="2" t="inlineStr">
        <is>
          <t>2024-11-30</t>
        </is>
      </c>
      <c r="B22" s="20" t="n">
        <v>3.97</v>
      </c>
      <c r="C22" s="2" t="inlineStr">
        <is>
          <t>Sep 2024 - Nov 2024</t>
        </is>
      </c>
    </row>
    <row r="23">
      <c r="A23" s="2" t="inlineStr">
        <is>
          <t>2025-02-28</t>
        </is>
      </c>
      <c r="B23" s="20" t="n">
        <v>5.862</v>
      </c>
      <c r="C23" s="2" t="inlineStr">
        <is>
          <t>Dec 2024 - Feb 2025</t>
        </is>
      </c>
    </row>
    <row r="24">
      <c r="A24" s="2" t="inlineStr">
        <is>
          <t>2025-05-31</t>
        </is>
      </c>
      <c r="B24" s="20" t="n">
        <v>9.08</v>
      </c>
      <c r="C24" s="2" t="inlineStr">
        <is>
          <t>Mar 2025 - May 2025</t>
        </is>
      </c>
    </row>
    <row r="25">
      <c r="A25" s="2" t="inlineStr">
        <is>
          <t>2025-08-31</t>
        </is>
      </c>
      <c r="B25" s="20" t="n">
        <v>8.502000000000001</v>
      </c>
      <c r="C25" s="2" t="inlineStr">
        <is>
          <t>Jun 2025 - Aug 2025</t>
        </is>
      </c>
    </row>
    <row r="26">
      <c r="A26" s="2" t="inlineStr">
        <is>
          <t>2025-11-30</t>
        </is>
      </c>
      <c r="B26" s="20" t="n">
        <v>12.033</v>
      </c>
      <c r="C26" s="2" t="inlineStr">
        <is>
          <t>Sep 2025 - Nov 2025</t>
        </is>
      </c>
    </row>
    <row r="27">
      <c r="A27" s="2" t="inlineStr">
        <is>
          <t>2026-02-28</t>
        </is>
      </c>
      <c r="B27" s="20" t="n">
        <v>18.635</v>
      </c>
      <c r="C27" s="2" t="inlineStr">
        <is>
          <t>Dec 2025 - Feb 2026</t>
        </is>
      </c>
    </row>
    <row r="28">
      <c r="A28" s="2" t="inlineStr">
        <is>
          <t>2026-05-31</t>
        </is>
      </c>
      <c r="B28" s="20" t="n">
        <v>16.493</v>
      </c>
      <c r="C28" s="2" t="inlineStr">
        <is>
          <t>Mar 2026 - May 2026</t>
        </is>
      </c>
    </row>
    <row r="29">
      <c r="A29" s="2" t="inlineStr">
        <is>
          <t>2026-08-31</t>
        </is>
      </c>
      <c r="B29" s="20" t="n">
        <v>28.499</v>
      </c>
      <c r="C29" s="2" t="inlineStr">
        <is>
          <t>Jun 2026 - Aug 2026</t>
        </is>
      </c>
    </row>
    <row r="30"/>
    <row r="31">
      <c r="A31" s="2" t="inlineStr">
        <is>
          <t>Discrete quarters from Oracle's 10-Q year-to-date cash flows (Q4 = fiscal year minus 9 months), SEC XBRL PaymentsToAcquirePropertyPlantAndEquipment. Fiscal year ends 31 May.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2" customWidth="1" min="11" max="11"/>
    <col width="12" customWidth="1" min="12" max="12"/>
    <col width="13" customWidth="1" min="13" max="13"/>
    <col width="11" customWidth="1" min="14" max="14"/>
    <col width="10" customWidth="1" min="15" max="15"/>
    <col width="12" customWidth="1" min="16" max="16"/>
    <col width="26" customWidth="1" min="17" max="17"/>
    <col width="12" customWidth="1" min="18" max="18"/>
    <col width="12" customWidth="1" min="19" max="19"/>
  </cols>
  <sheetData>
    <row r="1">
      <c r="A1" s="3" t="inlineStr">
        <is>
          <t>Calendar quarter</t>
        </is>
      </c>
      <c r="B1" s="4" t="inlineStr">
        <is>
          <t>MSFT</t>
        </is>
      </c>
      <c r="C1" s="4" t="inlineStr">
        <is>
          <t>GOOGL</t>
        </is>
      </c>
      <c r="D1" s="4" t="inlineStr">
        <is>
          <t>AMZN</t>
        </is>
      </c>
      <c r="E1" s="4" t="inlineStr">
        <is>
          <t>META</t>
        </is>
      </c>
      <c r="F1" s="4" t="inlineStr">
        <is>
          <t>ORCL (calendarised)</t>
        </is>
      </c>
      <c r="G1" s="4" t="inlineStr">
        <is>
          <t>Capex, 5 names</t>
        </is>
      </c>
      <c r="H1" s="4" t="inlineStr">
        <is>
          <t>BEA GDP, SAAR</t>
        </is>
      </c>
      <c r="I1" s="4" t="inlineStr">
        <is>
          <t>TTM capex</t>
        </is>
      </c>
      <c r="J1" s="4" t="inlineStr">
        <is>
          <t>TTM GDP</t>
        </is>
      </c>
      <c r="K1" s="4" t="inlineStr">
        <is>
          <t>TTM capex % of GDP</t>
        </is>
      </c>
      <c r="L1" s="4" t="inlineStr">
        <is>
          <t>BofA chart (PDF)</t>
        </is>
      </c>
      <c r="M1" s="4" t="inlineStr">
        <is>
          <t>BofA - first-hand (pp)</t>
        </is>
      </c>
      <c r="N1" s="4" t="inlineStr">
        <is>
          <t>CoreWeave</t>
        </is>
      </c>
      <c r="O1" s="4" t="inlineStr">
        <is>
          <t>Nebius</t>
        </is>
      </c>
      <c r="P1" s="4" t="inlineStr">
        <is>
          <t>SpaceX AI segment</t>
        </is>
      </c>
      <c r="Q1" s="4" t="inlineStr">
        <is>
          <t>Reported period (if not one quarter)</t>
        </is>
      </c>
      <c r="R1" s="4" t="inlineStr">
        <is>
          <t>TTM capex, 8 names</t>
        </is>
      </c>
      <c r="S1" s="4" t="inlineStr">
        <is>
          <t>TTM 8 names % of GDP</t>
        </is>
      </c>
      <c r="U1" s="2" t="inlineStr">
        <is>
          <t>All $bn. Blue = inputs as filed (SEC 10-Q/10-K/20-F/6-K, SpaceX IPO prospectus, BEA NIPA A191RC); black = formulas. Columns B-M = BofA's five-name definition; N-S add CoreWeave, Nebius and SpaceX's AI segment (xAI).</t>
        </is>
      </c>
    </row>
    <row r="2">
      <c r="A2" s="2" t="inlineStr">
        <is>
          <t>2020Q1</t>
        </is>
      </c>
      <c r="B2" s="20" t="n">
        <v>3.767</v>
      </c>
      <c r="C2" s="20" t="n">
        <v>6.005</v>
      </c>
      <c r="D2" s="20" t="n">
        <v>6.795</v>
      </c>
      <c r="E2" s="20" t="n">
        <v>3.558</v>
      </c>
      <c r="F2" s="5">
        <f>2/3*'Oracle fiscal quarters'!B3+1/3*'Oracle fiscal quarters'!B4</f>
        <v/>
      </c>
      <c r="G2" s="8">
        <f>SUM(B2:F2)</f>
        <v/>
      </c>
      <c r="H2" s="21" t="n">
        <v>21751.238</v>
      </c>
    </row>
    <row r="3">
      <c r="A3" s="2" t="inlineStr">
        <is>
          <t>2020Q2</t>
        </is>
      </c>
      <c r="B3" s="20" t="n">
        <v>4.744</v>
      </c>
      <c r="C3" s="20" t="n">
        <v>5.391</v>
      </c>
      <c r="D3" s="20" t="n">
        <v>7.459</v>
      </c>
      <c r="E3" s="20" t="n">
        <v>3.255</v>
      </c>
      <c r="F3" s="5">
        <f>2/3*'Oracle fiscal quarters'!B4+1/3*'Oracle fiscal quarters'!B5</f>
        <v/>
      </c>
      <c r="G3" s="8">
        <f>SUM(B3:F3)</f>
        <v/>
      </c>
      <c r="H3" s="21" t="n">
        <v>19958.291</v>
      </c>
    </row>
    <row r="4">
      <c r="A4" s="2" t="inlineStr">
        <is>
          <t>2020Q3</t>
        </is>
      </c>
      <c r="B4" s="20" t="n">
        <v>4.907</v>
      </c>
      <c r="C4" s="20" t="n">
        <v>5.406</v>
      </c>
      <c r="D4" s="20" t="n">
        <v>11.063</v>
      </c>
      <c r="E4" s="20" t="n">
        <v>3.689</v>
      </c>
      <c r="F4" s="5">
        <f>2/3*'Oracle fiscal quarters'!B5+1/3*'Oracle fiscal quarters'!B6</f>
        <v/>
      </c>
      <c r="G4" s="8">
        <f>SUM(B4:F4)</f>
        <v/>
      </c>
      <c r="H4" s="21" t="n">
        <v>21704.437</v>
      </c>
    </row>
    <row r="5">
      <c r="A5" s="2" t="inlineStr">
        <is>
          <t>2020Q4</t>
        </is>
      </c>
      <c r="B5" s="20" t="n">
        <v>4.174</v>
      </c>
      <c r="C5" s="20" t="n">
        <v>5.479</v>
      </c>
      <c r="D5" s="20" t="n">
        <v>14.823</v>
      </c>
      <c r="E5" s="20" t="n">
        <v>4.661</v>
      </c>
      <c r="F5" s="5">
        <f>2/3*'Oracle fiscal quarters'!B6+1/3*'Oracle fiscal quarters'!B7</f>
        <v/>
      </c>
      <c r="G5" s="8">
        <f>SUM(B5:F5)</f>
        <v/>
      </c>
      <c r="H5" s="21" t="n">
        <v>22087.16</v>
      </c>
      <c r="I5" s="8">
        <f>SUM(G2:G5)</f>
        <v/>
      </c>
      <c r="J5" s="22">
        <f>AVERAGE(H2:H5)</f>
        <v/>
      </c>
      <c r="K5" s="5">
        <f>I5/J5*100</f>
        <v/>
      </c>
    </row>
    <row r="6">
      <c r="A6" s="2" t="inlineStr">
        <is>
          <t>2021Q1</t>
        </is>
      </c>
      <c r="B6" s="20" t="n">
        <v>5.089</v>
      </c>
      <c r="C6" s="20" t="n">
        <v>5.942</v>
      </c>
      <c r="D6" s="20" t="n">
        <v>12.082</v>
      </c>
      <c r="E6" s="20" t="n">
        <v>4.303</v>
      </c>
      <c r="F6" s="5">
        <f>2/3*'Oracle fiscal quarters'!B7+1/3*'Oracle fiscal quarters'!B8</f>
        <v/>
      </c>
      <c r="G6" s="8">
        <f>SUM(B6:F6)</f>
        <v/>
      </c>
      <c r="H6" s="21" t="n">
        <v>22704.65</v>
      </c>
      <c r="I6" s="8">
        <f>SUM(G3:G6)</f>
        <v/>
      </c>
      <c r="J6" s="22">
        <f>AVERAGE(H3:H6)</f>
        <v/>
      </c>
      <c r="K6" s="5">
        <f>I6/J6*100</f>
        <v/>
      </c>
    </row>
    <row r="7">
      <c r="A7" s="2" t="inlineStr">
        <is>
          <t>2021Q2</t>
        </is>
      </c>
      <c r="B7" s="20" t="n">
        <v>6.452</v>
      </c>
      <c r="C7" s="20" t="n">
        <v>5.496</v>
      </c>
      <c r="D7" s="20" t="n">
        <v>14.288</v>
      </c>
      <c r="E7" s="20" t="n">
        <v>4.641</v>
      </c>
      <c r="F7" s="5">
        <f>2/3*'Oracle fiscal quarters'!B8+1/3*'Oracle fiscal quarters'!B9</f>
        <v/>
      </c>
      <c r="G7" s="8">
        <f>SUM(B7:F7)</f>
        <v/>
      </c>
      <c r="H7" s="21" t="n">
        <v>23456.708</v>
      </c>
      <c r="I7" s="8">
        <f>SUM(G4:G7)</f>
        <v/>
      </c>
      <c r="J7" s="22">
        <f>AVERAGE(H4:H7)</f>
        <v/>
      </c>
      <c r="K7" s="5">
        <f>I7/J7*100</f>
        <v/>
      </c>
    </row>
    <row r="8">
      <c r="A8" s="2" t="inlineStr">
        <is>
          <t>2021Q3</t>
        </is>
      </c>
      <c r="B8" s="20" t="n">
        <v>5.81</v>
      </c>
      <c r="C8" s="20" t="n">
        <v>6.819</v>
      </c>
      <c r="D8" s="20" t="n">
        <v>15.748</v>
      </c>
      <c r="E8" s="20" t="n">
        <v>4.346</v>
      </c>
      <c r="F8" s="5">
        <f>2/3*'Oracle fiscal quarters'!B9+1/3*'Oracle fiscal quarters'!B10</f>
        <v/>
      </c>
      <c r="G8" s="8">
        <f>SUM(B8:F8)</f>
        <v/>
      </c>
      <c r="H8" s="21" t="n">
        <v>23998.844</v>
      </c>
      <c r="I8" s="8">
        <f>SUM(G5:G8)</f>
        <v/>
      </c>
      <c r="J8" s="22">
        <f>AVERAGE(H5:H8)</f>
        <v/>
      </c>
      <c r="K8" s="5">
        <f>I8/J8*100</f>
        <v/>
      </c>
    </row>
    <row r="9">
      <c r="A9" s="2" t="inlineStr">
        <is>
          <t>2021Q4</t>
        </is>
      </c>
      <c r="B9" s="20" t="n">
        <v>5.865</v>
      </c>
      <c r="C9" s="20" t="n">
        <v>6.383</v>
      </c>
      <c r="D9" s="20" t="n">
        <v>18.935</v>
      </c>
      <c r="E9" s="20" t="n">
        <v>5.4</v>
      </c>
      <c r="F9" s="5">
        <f>2/3*'Oracle fiscal quarters'!B10+1/3*'Oracle fiscal quarters'!B11</f>
        <v/>
      </c>
      <c r="G9" s="8">
        <f>SUM(B9:F9)</f>
        <v/>
      </c>
      <c r="H9" s="21" t="n">
        <v>24823.19</v>
      </c>
      <c r="I9" s="8">
        <f>SUM(G6:G9)</f>
        <v/>
      </c>
      <c r="J9" s="22">
        <f>AVERAGE(H6:H9)</f>
        <v/>
      </c>
      <c r="K9" s="5">
        <f>I9/J9*100</f>
        <v/>
      </c>
    </row>
    <row r="10">
      <c r="A10" s="2" t="inlineStr">
        <is>
          <t>2022Q1</t>
        </is>
      </c>
      <c r="B10" s="20" t="n">
        <v>5.34</v>
      </c>
      <c r="C10" s="20" t="n">
        <v>9.786</v>
      </c>
      <c r="D10" s="20" t="n">
        <v>14.951</v>
      </c>
      <c r="E10" s="20" t="n">
        <v>5.441</v>
      </c>
      <c r="F10" s="5">
        <f>2/3*'Oracle fiscal quarters'!B11+1/3*'Oracle fiscal quarters'!B12</f>
        <v/>
      </c>
      <c r="G10" s="8">
        <f>SUM(B10:F10)</f>
        <v/>
      </c>
      <c r="H10" s="21" t="n">
        <v>25259.992</v>
      </c>
      <c r="I10" s="8">
        <f>SUM(G7:G10)</f>
        <v/>
      </c>
      <c r="J10" s="22">
        <f>AVERAGE(H7:H10)</f>
        <v/>
      </c>
      <c r="K10" s="5">
        <f>I10/J10*100</f>
        <v/>
      </c>
      <c r="L10" s="20" t="n">
        <v>0.537</v>
      </c>
      <c r="M10" s="18">
        <f>L10-K10</f>
        <v/>
      </c>
    </row>
    <row r="11">
      <c r="A11" s="2" t="inlineStr">
        <is>
          <t>2022Q2</t>
        </is>
      </c>
      <c r="B11" s="20" t="n">
        <v>6.871</v>
      </c>
      <c r="C11" s="20" t="n">
        <v>6.828</v>
      </c>
      <c r="D11" s="20" t="n">
        <v>15.724</v>
      </c>
      <c r="E11" s="20" t="n">
        <v>7.572</v>
      </c>
      <c r="F11" s="5">
        <f>2/3*'Oracle fiscal quarters'!B12+1/3*'Oracle fiscal quarters'!B13</f>
        <v/>
      </c>
      <c r="G11" s="8">
        <f>SUM(B11:F11)</f>
        <v/>
      </c>
      <c r="H11" s="21" t="n">
        <v>25869.353</v>
      </c>
      <c r="I11" s="8">
        <f>SUM(G8:G11)</f>
        <v/>
      </c>
      <c r="J11" s="22">
        <f>AVERAGE(H8:H11)</f>
        <v/>
      </c>
      <c r="K11" s="5">
        <f>I11/J11*100</f>
        <v/>
      </c>
      <c r="L11" s="20" t="n">
        <v>0.5639999999999999</v>
      </c>
      <c r="M11" s="18">
        <f>L11-K11</f>
        <v/>
      </c>
    </row>
    <row r="12">
      <c r="A12" s="2" t="inlineStr">
        <is>
          <t>2022Q3</t>
        </is>
      </c>
      <c r="B12" s="20" t="n">
        <v>6.283</v>
      </c>
      <c r="C12" s="20" t="n">
        <v>7.276</v>
      </c>
      <c r="D12" s="20" t="n">
        <v>16.378</v>
      </c>
      <c r="E12" s="20" t="n">
        <v>9.375</v>
      </c>
      <c r="F12" s="5">
        <f>2/3*'Oracle fiscal quarters'!B13+1/3*'Oracle fiscal quarters'!B14</f>
        <v/>
      </c>
      <c r="G12" s="8">
        <f>SUM(B12:F12)</f>
        <v/>
      </c>
      <c r="H12" s="21" t="n">
        <v>26335.374</v>
      </c>
      <c r="I12" s="8">
        <f>SUM(G9:G12)</f>
        <v/>
      </c>
      <c r="J12" s="22">
        <f>AVERAGE(H9:H12)</f>
        <v/>
      </c>
      <c r="K12" s="5">
        <f>I12/J12*100</f>
        <v/>
      </c>
      <c r="L12" s="20" t="n">
        <v>0.595</v>
      </c>
      <c r="M12" s="18">
        <f>L12-K12</f>
        <v/>
      </c>
    </row>
    <row r="13">
      <c r="A13" s="2" t="inlineStr">
        <is>
          <t>2022Q4</t>
        </is>
      </c>
      <c r="B13" s="20" t="n">
        <v>6.274</v>
      </c>
      <c r="C13" s="20" t="n">
        <v>7.595</v>
      </c>
      <c r="D13" s="20" t="n">
        <v>16.592</v>
      </c>
      <c r="E13" s="20" t="n">
        <v>8.798</v>
      </c>
      <c r="F13" s="5">
        <f>2/3*'Oracle fiscal quarters'!B14+1/3*'Oracle fiscal quarters'!B15</f>
        <v/>
      </c>
      <c r="G13" s="8">
        <f>SUM(B13:F13)</f>
        <v/>
      </c>
      <c r="H13" s="21" t="n">
        <v>26774.117</v>
      </c>
      <c r="I13" s="8">
        <f>SUM(G10:G13)</f>
        <v/>
      </c>
      <c r="J13" s="22">
        <f>AVERAGE(H10:H13)</f>
        <v/>
      </c>
      <c r="K13" s="5">
        <f>I13/J13*100</f>
        <v/>
      </c>
      <c r="L13" s="20" t="n">
        <v>0.611</v>
      </c>
      <c r="M13" s="18">
        <f>L13-K13</f>
        <v/>
      </c>
    </row>
    <row r="14">
      <c r="A14" s="2" t="inlineStr">
        <is>
          <t>2023Q1</t>
        </is>
      </c>
      <c r="B14" s="20" t="n">
        <v>6.607</v>
      </c>
      <c r="C14" s="20" t="n">
        <v>6.289</v>
      </c>
      <c r="D14" s="20" t="n">
        <v>14.207</v>
      </c>
      <c r="E14" s="20" t="n">
        <v>6.823</v>
      </c>
      <c r="F14" s="5">
        <f>2/3*'Oracle fiscal quarters'!B15+1/3*'Oracle fiscal quarters'!B16</f>
        <v/>
      </c>
      <c r="G14" s="8">
        <f>SUM(B14:F14)</f>
        <v/>
      </c>
      <c r="H14" s="21" t="n">
        <v>27241.282</v>
      </c>
      <c r="I14" s="8">
        <f>SUM(G11:G14)</f>
        <v/>
      </c>
      <c r="J14" s="22">
        <f>AVERAGE(H11:H14)</f>
        <v/>
      </c>
      <c r="K14" s="5">
        <f>I14/J14*100</f>
        <v/>
      </c>
      <c r="L14" s="20" t="n">
        <v>0.569</v>
      </c>
      <c r="M14" s="18">
        <f>L14-K14</f>
        <v/>
      </c>
    </row>
    <row r="15">
      <c r="A15" s="2" t="inlineStr">
        <is>
          <t>2023Q2</t>
        </is>
      </c>
      <c r="B15" s="20" t="n">
        <v>8.943</v>
      </c>
      <c r="C15" s="20" t="n">
        <v>6.888</v>
      </c>
      <c r="D15" s="20" t="n">
        <v>11.455</v>
      </c>
      <c r="E15" s="20" t="n">
        <v>6.134</v>
      </c>
      <c r="F15" s="5">
        <f>2/3*'Oracle fiscal quarters'!B16+1/3*'Oracle fiscal quarters'!B17</f>
        <v/>
      </c>
      <c r="G15" s="8">
        <f>SUM(B15:F15)</f>
        <v/>
      </c>
      <c r="H15" s="21" t="n">
        <v>27533.925</v>
      </c>
      <c r="I15" s="8">
        <f>SUM(G12:G15)</f>
        <v/>
      </c>
      <c r="J15" s="22">
        <f>AVERAGE(H12:H15)</f>
        <v/>
      </c>
      <c r="K15" s="5">
        <f>I15/J15*100</f>
        <v/>
      </c>
      <c r="L15" s="20" t="n">
        <v>0.555</v>
      </c>
      <c r="M15" s="18">
        <f>L15-K15</f>
        <v/>
      </c>
    </row>
    <row r="16">
      <c r="A16" s="2" t="inlineStr">
        <is>
          <t>2023Q3</t>
        </is>
      </c>
      <c r="B16" s="20" t="n">
        <v>9.917</v>
      </c>
      <c r="C16" s="20" t="n">
        <v>8.055</v>
      </c>
      <c r="D16" s="20" t="n">
        <v>12.479</v>
      </c>
      <c r="E16" s="20" t="n">
        <v>6.496</v>
      </c>
      <c r="F16" s="5">
        <f>2/3*'Oracle fiscal quarters'!B17+1/3*'Oracle fiscal quarters'!B18</f>
        <v/>
      </c>
      <c r="G16" s="8">
        <f>SUM(B16:F16)</f>
        <v/>
      </c>
      <c r="H16" s="21" t="n">
        <v>28064.032</v>
      </c>
      <c r="I16" s="8">
        <f>SUM(G13:G16)</f>
        <v/>
      </c>
      <c r="J16" s="22">
        <f>AVERAGE(H13:H16)</f>
        <v/>
      </c>
      <c r="K16" s="5">
        <f>I16/J16*100</f>
        <v/>
      </c>
      <c r="L16" s="20" t="n">
        <v>0.542</v>
      </c>
      <c r="M16" s="18">
        <f>L16-K16</f>
        <v/>
      </c>
    </row>
    <row r="17">
      <c r="A17" s="2" t="inlineStr">
        <is>
          <t>2023Q4</t>
        </is>
      </c>
      <c r="B17" s="20" t="n">
        <v>9.734999999999999</v>
      </c>
      <c r="C17" s="20" t="n">
        <v>11.019</v>
      </c>
      <c r="D17" s="20" t="n">
        <v>14.588</v>
      </c>
      <c r="E17" s="20" t="n">
        <v>7.592</v>
      </c>
      <c r="F17" s="5">
        <f>2/3*'Oracle fiscal quarters'!B18+1/3*'Oracle fiscal quarters'!B19</f>
        <v/>
      </c>
      <c r="G17" s="8">
        <f>SUM(B17:F17)</f>
        <v/>
      </c>
      <c r="H17" s="21" t="n">
        <v>28464.306</v>
      </c>
      <c r="I17" s="8">
        <f>SUM(G14:G17)</f>
        <v/>
      </c>
      <c r="J17" s="22">
        <f>AVERAGE(H14:H17)</f>
        <v/>
      </c>
      <c r="K17" s="5">
        <f>I17/J17*100</f>
        <v/>
      </c>
      <c r="L17" s="20" t="n">
        <v>0.551</v>
      </c>
      <c r="M17" s="18">
        <f>L17-K17</f>
        <v/>
      </c>
      <c r="N17" s="20" t="n">
        <v>2.943</v>
      </c>
      <c r="O17" s="20" t="n">
        <v>0.0829</v>
      </c>
      <c r="P17" s="20" t="n">
        <v>0.463</v>
      </c>
      <c r="Q17" s="2" t="inlineStr">
        <is>
          <t>CoreWeave: FY2023; Nebius: FY2023; SpaceX AI: FY2023</t>
        </is>
      </c>
      <c r="R17" s="8">
        <f>I17+SUM(N14:N17)+SUM(O14:O17)+SUM(P14:P17)</f>
        <v/>
      </c>
      <c r="S17" s="5">
        <f>R17/J17*100</f>
        <v/>
      </c>
    </row>
    <row r="18">
      <c r="A18" s="2" t="inlineStr">
        <is>
          <t>2024Q1</t>
        </is>
      </c>
      <c r="B18" s="20" t="n">
        <v>10.952</v>
      </c>
      <c r="C18" s="20" t="n">
        <v>12.012</v>
      </c>
      <c r="D18" s="20" t="n">
        <v>14.925</v>
      </c>
      <c r="E18" s="20" t="n">
        <v>6.4</v>
      </c>
      <c r="F18" s="5">
        <f>2/3*'Oracle fiscal quarters'!B19+1/3*'Oracle fiscal quarters'!B20</f>
        <v/>
      </c>
      <c r="G18" s="8">
        <f>SUM(B18:F18)</f>
        <v/>
      </c>
      <c r="H18" s="21" t="n">
        <v>28793.191</v>
      </c>
      <c r="I18" s="8">
        <f>SUM(G15:G18)</f>
        <v/>
      </c>
      <c r="J18" s="22">
        <f>AVERAGE(H15:H18)</f>
        <v/>
      </c>
      <c r="K18" s="5">
        <f>I18/J18*100</f>
        <v/>
      </c>
      <c r="L18" s="20" t="n">
        <v>0.5620000000000001</v>
      </c>
      <c r="M18" s="18">
        <f>L18-K18</f>
        <v/>
      </c>
      <c r="N18" s="20" t="n">
        <v>1.7419</v>
      </c>
    </row>
    <row r="19">
      <c r="A19" s="2" t="inlineStr">
        <is>
          <t>2024Q2</t>
        </is>
      </c>
      <c r="B19" s="20" t="n">
        <v>13.873</v>
      </c>
      <c r="C19" s="20" t="n">
        <v>13.186</v>
      </c>
      <c r="D19" s="20" t="n">
        <v>17.62</v>
      </c>
      <c r="E19" s="20" t="n">
        <v>8.173</v>
      </c>
      <c r="F19" s="5">
        <f>2/3*'Oracle fiscal quarters'!B20+1/3*'Oracle fiscal quarters'!B21</f>
        <v/>
      </c>
      <c r="G19" s="8">
        <f>SUM(B19:F19)</f>
        <v/>
      </c>
      <c r="H19" s="21" t="n">
        <v>29232.964</v>
      </c>
      <c r="I19" s="8">
        <f>SUM(G16:G19)</f>
        <v/>
      </c>
      <c r="J19" s="22">
        <f>AVERAGE(H16:H19)</f>
        <v/>
      </c>
      <c r="K19" s="5">
        <f>I19/J19*100</f>
        <v/>
      </c>
      <c r="L19" s="20" t="n">
        <v>0.63</v>
      </c>
      <c r="M19" s="18">
        <f>L19-K19</f>
        <v/>
      </c>
      <c r="N19" s="20" t="n">
        <v>2.2472</v>
      </c>
    </row>
    <row r="20">
      <c r="A20" s="2" t="inlineStr">
        <is>
          <t>2024Q3</t>
        </is>
      </c>
      <c r="B20" s="20" t="n">
        <v>14.923</v>
      </c>
      <c r="C20" s="20" t="n">
        <v>13.061</v>
      </c>
      <c r="D20" s="20" t="n">
        <v>22.62</v>
      </c>
      <c r="E20" s="20" t="n">
        <v>8.257999999999999</v>
      </c>
      <c r="F20" s="5">
        <f>2/3*'Oracle fiscal quarters'!B21+1/3*'Oracle fiscal quarters'!B22</f>
        <v/>
      </c>
      <c r="G20" s="8">
        <f>SUM(B20:F20)</f>
        <v/>
      </c>
      <c r="H20" s="21" t="n">
        <v>29568.256</v>
      </c>
      <c r="I20" s="8">
        <f>SUM(G17:G20)</f>
        <v/>
      </c>
      <c r="J20" s="22">
        <f>AVERAGE(H17:H20)</f>
        <v/>
      </c>
      <c r="K20" s="5">
        <f>I20/J20*100</f>
        <v/>
      </c>
      <c r="L20" s="20" t="n">
        <v>0.715</v>
      </c>
      <c r="M20" s="18">
        <f>L20-K20</f>
        <v/>
      </c>
      <c r="N20" s="20" t="n">
        <v>1.2152</v>
      </c>
      <c r="O20" s="20" t="n">
        <v>0.39</v>
      </c>
      <c r="Q20" s="2" t="inlineStr">
        <is>
          <t>Nebius: 2024Q1-2024Q3</t>
        </is>
      </c>
    </row>
    <row r="21">
      <c r="A21" s="2" t="inlineStr">
        <is>
          <t>2024Q4</t>
        </is>
      </c>
      <c r="B21" s="20" t="n">
        <v>15.804</v>
      </c>
      <c r="C21" s="20" t="n">
        <v>14.276</v>
      </c>
      <c r="D21" s="20" t="n">
        <v>27.834</v>
      </c>
      <c r="E21" s="20" t="n">
        <v>14.425</v>
      </c>
      <c r="F21" s="5">
        <f>2/3*'Oracle fiscal quarters'!B22+1/3*'Oracle fiscal quarters'!B23</f>
        <v/>
      </c>
      <c r="G21" s="8">
        <f>SUM(B21:F21)</f>
        <v/>
      </c>
      <c r="H21" s="21" t="n">
        <v>29929.552</v>
      </c>
      <c r="I21" s="8">
        <f>SUM(G18:G21)</f>
        <v/>
      </c>
      <c r="J21" s="22">
        <f>AVERAGE(H18:H21)</f>
        <v/>
      </c>
      <c r="K21" s="5">
        <f>I21/J21*100</f>
        <v/>
      </c>
      <c r="L21" s="20" t="n">
        <v>0.829</v>
      </c>
      <c r="M21" s="18">
        <f>L21-K21</f>
        <v/>
      </c>
      <c r="N21" s="20" t="n">
        <v>3.4977</v>
      </c>
      <c r="O21" s="20" t="n">
        <v>0.4175</v>
      </c>
      <c r="P21" s="20" t="n">
        <v>5.633</v>
      </c>
      <c r="Q21" s="2" t="inlineStr">
        <is>
          <t>SpaceX AI: FY2024</t>
        </is>
      </c>
      <c r="R21" s="8">
        <f>I21+SUM(N18:N21)+SUM(O18:O21)+SUM(P18:P21)</f>
        <v/>
      </c>
      <c r="S21" s="5">
        <f>R21/J21*100</f>
        <v/>
      </c>
    </row>
    <row r="22">
      <c r="A22" s="2" t="inlineStr">
        <is>
          <t>2025Q1</t>
        </is>
      </c>
      <c r="B22" s="20" t="n">
        <v>16.745</v>
      </c>
      <c r="C22" s="20" t="n">
        <v>17.197</v>
      </c>
      <c r="D22" s="20" t="n">
        <v>25.019</v>
      </c>
      <c r="E22" s="20" t="n">
        <v>12.941</v>
      </c>
      <c r="F22" s="5">
        <f>2/3*'Oracle fiscal quarters'!B23+1/3*'Oracle fiscal quarters'!B24</f>
        <v/>
      </c>
      <c r="G22" s="8">
        <f>SUM(B22:F22)</f>
        <v/>
      </c>
      <c r="H22" s="21" t="n">
        <v>30171.979</v>
      </c>
      <c r="I22" s="8">
        <f>SUM(G19:G22)</f>
        <v/>
      </c>
      <c r="J22" s="22">
        <f>AVERAGE(H19:H22)</f>
        <v/>
      </c>
      <c r="K22" s="5">
        <f>I22/J22*100</f>
        <v/>
      </c>
      <c r="L22" s="20" t="n">
        <v>0.901</v>
      </c>
      <c r="M22" s="18">
        <f>L22-K22</f>
        <v/>
      </c>
      <c r="N22" s="20" t="n">
        <v>1.407</v>
      </c>
      <c r="O22" s="20" t="n">
        <v>0.5439000000000001</v>
      </c>
      <c r="P22" s="20" t="n">
        <v>2.567</v>
      </c>
    </row>
    <row r="23">
      <c r="A23" s="2" t="inlineStr">
        <is>
          <t>2025Q2</t>
        </is>
      </c>
      <c r="B23" s="20" t="n">
        <v>17.079</v>
      </c>
      <c r="C23" s="20" t="n">
        <v>22.446</v>
      </c>
      <c r="D23" s="20" t="n">
        <v>32.183</v>
      </c>
      <c r="E23" s="20" t="n">
        <v>16.538</v>
      </c>
      <c r="F23" s="5">
        <f>2/3*'Oracle fiscal quarters'!B24+1/3*'Oracle fiscal quarters'!B25</f>
        <v/>
      </c>
      <c r="G23" s="8">
        <f>SUM(B23:F23)</f>
        <v/>
      </c>
      <c r="H23" s="21" t="n">
        <v>30630.174</v>
      </c>
      <c r="I23" s="8">
        <f>SUM(G20:G23)</f>
        <v/>
      </c>
      <c r="J23" s="22">
        <f>AVERAGE(H20:H23)</f>
        <v/>
      </c>
      <c r="K23" s="5">
        <f>I23/J23*100</f>
        <v/>
      </c>
      <c r="L23" s="20" t="n">
        <v>1.036</v>
      </c>
      <c r="M23" s="18">
        <f>L23-K23</f>
        <v/>
      </c>
      <c r="N23" s="20" t="n">
        <v>2.453</v>
      </c>
      <c r="O23" s="20" t="n">
        <v>0.5106000000000001</v>
      </c>
      <c r="P23" s="20" t="n">
        <v>0.749</v>
      </c>
    </row>
    <row r="24">
      <c r="A24" s="2" t="inlineStr">
        <is>
          <t>2025Q3</t>
        </is>
      </c>
      <c r="B24" s="20" t="n">
        <v>19.394</v>
      </c>
      <c r="C24" s="20" t="n">
        <v>23.953</v>
      </c>
      <c r="D24" s="20" t="n">
        <v>35.095</v>
      </c>
      <c r="E24" s="20" t="n">
        <v>18.829</v>
      </c>
      <c r="F24" s="5">
        <f>2/3*'Oracle fiscal quarters'!B25+1/3*'Oracle fiscal quarters'!B26</f>
        <v/>
      </c>
      <c r="G24" s="8">
        <f>SUM(B24:F24)</f>
        <v/>
      </c>
      <c r="H24" s="21" t="n">
        <v>31180.493</v>
      </c>
      <c r="I24" s="8">
        <f>SUM(G21:G24)</f>
        <v/>
      </c>
      <c r="J24" s="22">
        <f>AVERAGE(H21:H24)</f>
        <v/>
      </c>
      <c r="K24" s="5">
        <f>I24/J24*100</f>
        <v/>
      </c>
      <c r="L24" s="20" t="n">
        <v>1.187</v>
      </c>
      <c r="M24" s="18">
        <f>L24-K24</f>
        <v/>
      </c>
      <c r="N24" s="20" t="n">
        <v>2.3892</v>
      </c>
      <c r="O24" s="20" t="n">
        <v>0.9555</v>
      </c>
      <c r="P24" s="20" t="n">
        <v>4.76</v>
      </c>
    </row>
    <row r="25">
      <c r="A25" s="2" t="inlineStr">
        <is>
          <t>2025Q4</t>
        </is>
      </c>
      <c r="B25" s="20" t="n">
        <v>29.876</v>
      </c>
      <c r="C25" s="20" t="n">
        <v>27.851</v>
      </c>
      <c r="D25" s="20" t="n">
        <v>39.522</v>
      </c>
      <c r="E25" s="20" t="n">
        <v>21.383</v>
      </c>
      <c r="F25" s="5">
        <f>2/3*'Oracle fiscal quarters'!B26+1/3*'Oracle fiscal quarters'!B27</f>
        <v/>
      </c>
      <c r="G25" s="8">
        <f>SUM(B25:F25)</f>
        <v/>
      </c>
      <c r="H25" s="21" t="n">
        <v>31462.523</v>
      </c>
      <c r="I25" s="8">
        <f>SUM(G22:G25)</f>
        <v/>
      </c>
      <c r="J25" s="22">
        <f>AVERAGE(H22:H25)</f>
        <v/>
      </c>
      <c r="K25" s="5">
        <f>I25/J25*100</f>
        <v/>
      </c>
      <c r="L25" s="20" t="n">
        <v>1.379</v>
      </c>
      <c r="M25" s="18">
        <f>L25-K25</f>
        <v/>
      </c>
      <c r="N25" s="20" t="n">
        <v>4.0598</v>
      </c>
      <c r="O25" s="20" t="n">
        <v>2.056</v>
      </c>
      <c r="P25" s="20" t="n">
        <v>4.65</v>
      </c>
      <c r="R25" s="8">
        <f>I25+SUM(N22:N25)+SUM(O22:O25)+SUM(P22:P25)</f>
        <v/>
      </c>
      <c r="S25" s="5">
        <f>R25/J25*100</f>
        <v/>
      </c>
    </row>
    <row r="26">
      <c r="A26" s="2" t="inlineStr">
        <is>
          <t>2026Q1</t>
        </is>
      </c>
      <c r="B26" s="20" t="n">
        <v>30.876</v>
      </c>
      <c r="C26" s="20" t="n">
        <v>35.674</v>
      </c>
      <c r="D26" s="20" t="n">
        <v>44.203</v>
      </c>
      <c r="E26" s="20" t="n">
        <v>18.997</v>
      </c>
      <c r="F26" s="5">
        <f>2/3*'Oracle fiscal quarters'!B27+1/3*'Oracle fiscal quarters'!B28</f>
        <v/>
      </c>
      <c r="G26" s="8">
        <f>SUM(B26:F26)</f>
        <v/>
      </c>
      <c r="H26" s="21" t="n">
        <v>31906.274</v>
      </c>
      <c r="I26" s="8">
        <f>SUM(G23:G26)</f>
        <v/>
      </c>
      <c r="J26" s="22">
        <f>AVERAGE(H23:H26)</f>
        <v/>
      </c>
      <c r="K26" s="5">
        <f>I26/J26*100</f>
        <v/>
      </c>
      <c r="L26" s="20" t="n">
        <v>1.536</v>
      </c>
      <c r="M26" s="18">
        <f>L26-K26</f>
        <v/>
      </c>
      <c r="N26" s="20" t="n">
        <v>7.695</v>
      </c>
      <c r="O26" s="20" t="n">
        <v>2.4729</v>
      </c>
      <c r="P26" s="20" t="n">
        <v>7.723</v>
      </c>
      <c r="R26" s="8">
        <f>I26+SUM(N23:N26)+SUM(O23:O26)+SUM(P23:P26)</f>
        <v/>
      </c>
      <c r="S26" s="5">
        <f>R26/J26*100</f>
        <v/>
      </c>
    </row>
    <row r="27">
      <c r="A27" s="2" t="inlineStr">
        <is>
          <t>2026Q2</t>
        </is>
      </c>
      <c r="B27" s="20" t="n">
        <v>35.802</v>
      </c>
      <c r="C27" s="20" t="n">
        <v>44.924</v>
      </c>
      <c r="D27" s="20" t="n">
        <v>54.208</v>
      </c>
      <c r="E27" s="20" t="n">
        <v>30.116</v>
      </c>
      <c r="F27" s="5">
        <f>2/3*'Oracle fiscal quarters'!B28+1/3*'Oracle fiscal quarters'!B29</f>
        <v/>
      </c>
      <c r="G27" s="8">
        <f>SUM(B27:F27)</f>
        <v/>
      </c>
      <c r="H27" s="21" t="n">
        <v>32563.03</v>
      </c>
      <c r="I27" s="8">
        <f>SUM(G24:G27)</f>
        <v/>
      </c>
      <c r="J27" s="22">
        <f>AVERAGE(H24:H27)</f>
        <v/>
      </c>
      <c r="K27" s="5">
        <f>I27/J27*100</f>
        <v/>
      </c>
      <c r="N27" s="20" t="n">
        <v>6.422</v>
      </c>
      <c r="O27" s="20" t="n">
        <v>5.6574</v>
      </c>
      <c r="P27" s="20" t="n">
        <v>15.828</v>
      </c>
      <c r="R27" s="8">
        <f>I27+SUM(N24:N27)+SUM(O24:O27)+SUM(P24:P27)</f>
        <v/>
      </c>
      <c r="S27" s="5">
        <f>R27/J27*100</f>
        <v/>
      </c>
    </row>
    <row r="28"/>
    <row r="29">
      <c r="A29" s="2" t="inlineStr">
        <is>
          <t>Oracle's fiscal quarters end Feb/May/Aug/Nov; each calendar quarter = 2/3 x the Oracle quarter ending in its second month + 1/3 x the next Oracle quarter (Oracle fiscal quarters sheet). The others end on calendar quarter ends (Microsoft's June fiscal year included). Discrete quarters come from year-to-date cash flows (Q4 = year minus 9 months).</t>
        </is>
      </c>
    </row>
    <row r="30">
      <c r="A30" s="2" t="inlineStr">
        <is>
          <t>BofA's chart: each point is drawn three quarters before the end of its four-quarter window (half a year before the start of its final quarter); its last point (drawn at mid-2025) is the TTM to 2026Q1.</t>
        </is>
      </c>
    </row>
    <row r="31">
      <c r="A31" s="2" t="inlineStr">
        <is>
          <t>CoreWeave: SEC XBRL purchases of property &amp; equipment (quarterly from 2024, FY2023 annual). Nebius: 20-F XBRL fiscal years and 6-K interim statements / earnings releases (purchases of property and equipment and intangible assets; 9M 2024 is one period). SpaceX AI segment (xAI): segment capital expenditures, SpaceX IPO prospectus 424B4 (12 Jun 2026) for FY2023, FY2024, Q1 2025, FY2025 and Q1 2026, 10-Q XBRL (SegmentExpenditureAdditionToLongLivedAssets, AI segment) after. SpaceX never reported Q3 or Q4 2025 alone, so H2 2025 (= FY2025 - H1 2025) is one period in the 2025Q4 row; 7-name TTM is shown only where periods tile the window.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Year</t>
        </is>
      </c>
      <c r="B1" s="4" t="inlineStr">
        <is>
          <t>US railroads (1900 onwards)</t>
        </is>
      </c>
      <c r="C1" s="4" t="inlineStr">
        <is>
          <t>O&amp;G (1970-80s)</t>
        </is>
      </c>
      <c r="D1" s="4" t="inlineStr">
        <is>
          <t>Telecoms (1990s)</t>
        </is>
      </c>
      <c r="E1" s="4" t="inlineStr">
        <is>
          <t>O&amp;G (Shale)</t>
        </is>
      </c>
    </row>
    <row r="2">
      <c r="A2" s="2" t="n">
        <v>1899</v>
      </c>
      <c r="B2" s="5">
        <f>'First-hand detail'!H2</f>
        <v/>
      </c>
    </row>
    <row r="3">
      <c r="A3" s="2" t="n">
        <v>1900</v>
      </c>
      <c r="B3" s="5">
        <f>'First-hand detail'!H3</f>
        <v/>
      </c>
    </row>
    <row r="4">
      <c r="A4" s="2" t="n">
        <v>1901</v>
      </c>
      <c r="B4" s="5">
        <f>'First-hand detail'!H4</f>
        <v/>
      </c>
    </row>
    <row r="5">
      <c r="A5" s="2" t="n">
        <v>1902</v>
      </c>
      <c r="B5" s="5">
        <f>'First-hand detail'!H5</f>
        <v/>
      </c>
    </row>
    <row r="6">
      <c r="A6" s="2" t="n">
        <v>1903</v>
      </c>
      <c r="B6" s="5">
        <f>'First-hand detail'!H6</f>
        <v/>
      </c>
    </row>
    <row r="7">
      <c r="A7" s="2" t="n">
        <v>1904</v>
      </c>
      <c r="B7" s="5">
        <f>'First-hand detail'!H7</f>
        <v/>
      </c>
    </row>
    <row r="8">
      <c r="A8" s="2" t="n">
        <v>1905</v>
      </c>
      <c r="B8" s="5">
        <f>'First-hand detail'!H8</f>
        <v/>
      </c>
    </row>
    <row r="9">
      <c r="A9" s="2" t="n">
        <v>1906</v>
      </c>
      <c r="B9" s="5">
        <f>'First-hand detail'!H9</f>
        <v/>
      </c>
    </row>
    <row r="10">
      <c r="A10" s="2" t="n">
        <v>1907</v>
      </c>
      <c r="B10" s="5">
        <f>'First-hand detail'!H10</f>
        <v/>
      </c>
    </row>
    <row r="11">
      <c r="A11" s="2" t="n">
        <v>1908</v>
      </c>
      <c r="B11" s="5">
        <f>'First-hand detail'!H11</f>
        <v/>
      </c>
    </row>
    <row r="12">
      <c r="A12" s="2" t="n">
        <v>1909</v>
      </c>
      <c r="B12" s="5">
        <f>'First-hand detail'!H12</f>
        <v/>
      </c>
    </row>
    <row r="13">
      <c r="A13" s="2" t="n">
        <v>1910</v>
      </c>
      <c r="B13" s="5">
        <f>'First-hand detail'!H13</f>
        <v/>
      </c>
    </row>
    <row r="14">
      <c r="A14" s="2" t="n">
        <v>1911</v>
      </c>
      <c r="B14" s="5">
        <f>'First-hand detail'!H14</f>
        <v/>
      </c>
    </row>
    <row r="15">
      <c r="A15" s="2" t="n">
        <v>1912</v>
      </c>
      <c r="B15" s="5">
        <f>'First-hand detail'!H15</f>
        <v/>
      </c>
    </row>
    <row r="16">
      <c r="A16" s="2" t="n">
        <v>1913</v>
      </c>
      <c r="B16" s="5">
        <f>'First-hand detail'!H16</f>
        <v/>
      </c>
    </row>
    <row r="17">
      <c r="A17" s="2" t="n">
        <v>1914</v>
      </c>
      <c r="B17" s="5">
        <f>'First-hand detail'!H17</f>
        <v/>
      </c>
    </row>
    <row r="18">
      <c r="A18" s="2" t="n">
        <v>1915</v>
      </c>
      <c r="B18" s="5">
        <f>'First-hand detail'!H18</f>
        <v/>
      </c>
    </row>
    <row r="19">
      <c r="A19" s="2" t="n">
        <v>1916</v>
      </c>
      <c r="B19" s="5">
        <f>'First-hand detail'!H19</f>
        <v/>
      </c>
    </row>
    <row r="20">
      <c r="A20" s="2" t="n">
        <v>1917</v>
      </c>
      <c r="B20" s="5">
        <f>'First-hand detail'!H20</f>
        <v/>
      </c>
    </row>
    <row r="21">
      <c r="A21" s="2" t="n">
        <v>1918</v>
      </c>
      <c r="B21" s="5">
        <f>'First-hand detail'!H21</f>
        <v/>
      </c>
    </row>
    <row r="22">
      <c r="A22" s="2" t="n">
        <v>1919</v>
      </c>
      <c r="B22" s="5">
        <f>'First-hand detail'!H22</f>
        <v/>
      </c>
    </row>
    <row r="23">
      <c r="A23" s="2" t="n">
        <v>1920</v>
      </c>
      <c r="B23" s="5">
        <f>'First-hand detail'!H23</f>
        <v/>
      </c>
    </row>
    <row r="24">
      <c r="A24" s="2" t="n">
        <v>1972</v>
      </c>
      <c r="C24" s="5">
        <f>'First-hand detail'!H24</f>
        <v/>
      </c>
    </row>
    <row r="25">
      <c r="A25" s="2" t="n">
        <v>1973</v>
      </c>
      <c r="C25" s="5">
        <f>'First-hand detail'!H25</f>
        <v/>
      </c>
    </row>
    <row r="26">
      <c r="A26" s="2" t="n">
        <v>1974</v>
      </c>
      <c r="C26" s="5">
        <f>'First-hand detail'!H26</f>
        <v/>
      </c>
    </row>
    <row r="27">
      <c r="A27" s="2" t="n">
        <v>1975</v>
      </c>
      <c r="C27" s="5">
        <f>'First-hand detail'!H27</f>
        <v/>
      </c>
    </row>
    <row r="28">
      <c r="A28" s="2" t="n">
        <v>1976</v>
      </c>
      <c r="C28" s="5">
        <f>'First-hand detail'!H28</f>
        <v/>
      </c>
    </row>
    <row r="29">
      <c r="A29" s="2" t="n">
        <v>1977</v>
      </c>
      <c r="C29" s="5">
        <f>'First-hand detail'!H29</f>
        <v/>
      </c>
    </row>
    <row r="30">
      <c r="A30" s="2" t="n">
        <v>1978</v>
      </c>
      <c r="C30" s="5">
        <f>'First-hand detail'!H30</f>
        <v/>
      </c>
    </row>
    <row r="31">
      <c r="A31" s="2" t="n">
        <v>1979</v>
      </c>
      <c r="C31" s="5">
        <f>'First-hand detail'!H31</f>
        <v/>
      </c>
    </row>
    <row r="32">
      <c r="A32" s="2" t="n">
        <v>1980</v>
      </c>
      <c r="C32" s="5">
        <f>'First-hand detail'!H32</f>
        <v/>
      </c>
    </row>
    <row r="33">
      <c r="A33" s="2" t="n">
        <v>1981</v>
      </c>
      <c r="C33" s="5">
        <f>'First-hand detail'!H33</f>
        <v/>
      </c>
    </row>
    <row r="34">
      <c r="A34" s="2" t="n">
        <v>1982</v>
      </c>
      <c r="C34" s="5">
        <f>'First-hand detail'!H34</f>
        <v/>
      </c>
    </row>
    <row r="35">
      <c r="A35" s="2" t="n">
        <v>1983</v>
      </c>
      <c r="C35" s="5">
        <f>'First-hand detail'!H35</f>
        <v/>
      </c>
    </row>
    <row r="36">
      <c r="A36" s="2" t="n">
        <v>1984</v>
      </c>
      <c r="C36" s="5">
        <f>'First-hand detail'!H36</f>
        <v/>
      </c>
    </row>
    <row r="37">
      <c r="A37" s="2" t="n">
        <v>1985</v>
      </c>
      <c r="C37" s="5">
        <f>'First-hand detail'!H37</f>
        <v/>
      </c>
    </row>
    <row r="38">
      <c r="A38" s="2" t="n">
        <v>1986</v>
      </c>
      <c r="C38" s="5">
        <f>'First-hand detail'!H38</f>
        <v/>
      </c>
    </row>
    <row r="39">
      <c r="A39" s="2" t="n">
        <v>1995</v>
      </c>
      <c r="D39" s="5">
        <f>'First-hand detail'!H54</f>
        <v/>
      </c>
    </row>
    <row r="40">
      <c r="A40" s="2" t="n">
        <v>1996</v>
      </c>
      <c r="D40" s="5">
        <f>'First-hand detail'!H55</f>
        <v/>
      </c>
    </row>
    <row r="41">
      <c r="A41" s="2" t="n">
        <v>1997</v>
      </c>
      <c r="D41" s="5">
        <f>'First-hand detail'!H56</f>
        <v/>
      </c>
    </row>
    <row r="42">
      <c r="A42" s="2" t="n">
        <v>1998</v>
      </c>
      <c r="D42" s="5">
        <f>'First-hand detail'!H57</f>
        <v/>
      </c>
    </row>
    <row r="43">
      <c r="A43" s="2" t="n">
        <v>1999</v>
      </c>
      <c r="D43" s="5">
        <f>'First-hand detail'!H58</f>
        <v/>
      </c>
    </row>
    <row r="44">
      <c r="A44" s="2" t="n">
        <v>2000</v>
      </c>
      <c r="D44" s="5">
        <f>'First-hand detail'!H59</f>
        <v/>
      </c>
    </row>
    <row r="45">
      <c r="A45" s="2" t="n">
        <v>2001</v>
      </c>
      <c r="D45" s="5">
        <f>'First-hand detail'!H60</f>
        <v/>
      </c>
    </row>
    <row r="46">
      <c r="A46" s="2" t="n">
        <v>2002</v>
      </c>
      <c r="D46" s="5">
        <f>'First-hand detail'!H61</f>
        <v/>
      </c>
      <c r="E46" s="5">
        <f>'First-hand detail'!H39</f>
        <v/>
      </c>
    </row>
    <row r="47">
      <c r="A47" s="2" t="n">
        <v>2003</v>
      </c>
      <c r="D47" s="5">
        <f>'First-hand detail'!H62</f>
        <v/>
      </c>
      <c r="E47" s="5">
        <f>'First-hand detail'!H40</f>
        <v/>
      </c>
    </row>
    <row r="48">
      <c r="A48" s="2" t="n">
        <v>2004</v>
      </c>
      <c r="E48" s="5">
        <f>'First-hand detail'!H41</f>
        <v/>
      </c>
    </row>
    <row r="49">
      <c r="A49" s="2" t="n">
        <v>2005</v>
      </c>
      <c r="E49" s="5">
        <f>'First-hand detail'!H42</f>
        <v/>
      </c>
    </row>
    <row r="50">
      <c r="A50" s="2" t="n">
        <v>2006</v>
      </c>
      <c r="E50" s="5">
        <f>'First-hand detail'!H43</f>
        <v/>
      </c>
    </row>
    <row r="51">
      <c r="A51" s="2" t="n">
        <v>2007</v>
      </c>
      <c r="E51" s="5">
        <f>'First-hand detail'!H44</f>
        <v/>
      </c>
    </row>
    <row r="52">
      <c r="A52" s="2" t="n">
        <v>2008</v>
      </c>
      <c r="E52" s="5">
        <f>'First-hand detail'!H45</f>
        <v/>
      </c>
    </row>
    <row r="53">
      <c r="A53" s="2" t="n">
        <v>2009</v>
      </c>
      <c r="E53" s="5">
        <f>'First-hand detail'!H46</f>
        <v/>
      </c>
    </row>
    <row r="54">
      <c r="A54" s="2" t="n">
        <v>2010</v>
      </c>
      <c r="E54" s="5">
        <f>'First-hand detail'!H47</f>
        <v/>
      </c>
    </row>
    <row r="55">
      <c r="A55" s="2" t="n">
        <v>2011</v>
      </c>
      <c r="E55" s="5">
        <f>'First-hand detail'!H48</f>
        <v/>
      </c>
    </row>
    <row r="56">
      <c r="A56" s="2" t="n">
        <v>2012</v>
      </c>
      <c r="E56" s="5">
        <f>'First-hand detail'!H49</f>
        <v/>
      </c>
    </row>
    <row r="57">
      <c r="A57" s="2" t="n">
        <v>2013</v>
      </c>
      <c r="E57" s="5">
        <f>'First-hand detail'!H50</f>
        <v/>
      </c>
    </row>
    <row r="58">
      <c r="A58" s="2" t="n">
        <v>2014</v>
      </c>
      <c r="E58" s="5">
        <f>'First-hand detail'!H51</f>
        <v/>
      </c>
    </row>
    <row r="59">
      <c r="A59" s="2" t="n">
        <v>2015</v>
      </c>
      <c r="E59" s="5">
        <f>'First-hand detail'!H52</f>
        <v/>
      </c>
    </row>
    <row r="60">
      <c r="A60" s="2" t="n">
        <v>2016</v>
      </c>
      <c r="E60" s="5">
        <f>'First-hand detail'!H53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  <col width="12" customWidth="1" min="5" max="5"/>
  </cols>
  <sheetData>
    <row r="1">
      <c r="A1" s="3" t="inlineStr">
        <is>
          <t>Series</t>
        </is>
      </c>
      <c r="B1" s="4" t="inlineStr">
        <is>
          <t>Label</t>
        </is>
      </c>
      <c r="C1" s="4" t="inlineStr">
        <is>
          <t>Calendar position (year)</t>
        </is>
      </c>
      <c r="D1" s="4" t="inlineStr">
        <is>
          <t>Years since cycle start</t>
        </is>
      </c>
      <c r="E1" s="4" t="inlineStr">
        <is>
          <t>% of US GDP</t>
        </is>
      </c>
    </row>
    <row r="2">
      <c r="A2" s="2" t="inlineStr">
        <is>
          <t>rail</t>
        </is>
      </c>
      <c r="B2" s="2" t="inlineStr">
        <is>
          <t>US railroads (1900 onwards)</t>
        </is>
      </c>
      <c r="C2" s="2" t="n">
        <v>1899</v>
      </c>
      <c r="D2" s="2">
        <f>C2-C2</f>
        <v/>
      </c>
      <c r="E2" s="5">
        <f>'First-hand detail'!H2</f>
        <v/>
      </c>
    </row>
    <row r="3">
      <c r="A3" s="2" t="inlineStr">
        <is>
          <t>rail</t>
        </is>
      </c>
      <c r="B3" s="2" t="inlineStr">
        <is>
          <t>US railroads (1900 onwards)</t>
        </is>
      </c>
      <c r="C3" s="2" t="n">
        <v>1900</v>
      </c>
      <c r="D3" s="2">
        <f>C3-C2</f>
        <v/>
      </c>
      <c r="E3" s="5">
        <f>'First-hand detail'!H3</f>
        <v/>
      </c>
    </row>
    <row r="4">
      <c r="A4" s="2" t="inlineStr">
        <is>
          <t>rail</t>
        </is>
      </c>
      <c r="B4" s="2" t="inlineStr">
        <is>
          <t>US railroads (1900 onwards)</t>
        </is>
      </c>
      <c r="C4" s="2" t="n">
        <v>1901</v>
      </c>
      <c r="D4" s="2">
        <f>C4-C2</f>
        <v/>
      </c>
      <c r="E4" s="5">
        <f>'First-hand detail'!H4</f>
        <v/>
      </c>
    </row>
    <row r="5">
      <c r="A5" s="2" t="inlineStr">
        <is>
          <t>rail</t>
        </is>
      </c>
      <c r="B5" s="2" t="inlineStr">
        <is>
          <t>US railroads (1900 onwards)</t>
        </is>
      </c>
      <c r="C5" s="2" t="n">
        <v>1902</v>
      </c>
      <c r="D5" s="2">
        <f>C5-C2</f>
        <v/>
      </c>
      <c r="E5" s="5">
        <f>'First-hand detail'!H5</f>
        <v/>
      </c>
    </row>
    <row r="6">
      <c r="A6" s="2" t="inlineStr">
        <is>
          <t>rail</t>
        </is>
      </c>
      <c r="B6" s="2" t="inlineStr">
        <is>
          <t>US railroads (1900 onwards)</t>
        </is>
      </c>
      <c r="C6" s="2" t="n">
        <v>1903</v>
      </c>
      <c r="D6" s="2">
        <f>C6-C2</f>
        <v/>
      </c>
      <c r="E6" s="5">
        <f>'First-hand detail'!H6</f>
        <v/>
      </c>
    </row>
    <row r="7">
      <c r="A7" s="2" t="inlineStr">
        <is>
          <t>rail</t>
        </is>
      </c>
      <c r="B7" s="2" t="inlineStr">
        <is>
          <t>US railroads (1900 onwards)</t>
        </is>
      </c>
      <c r="C7" s="2" t="n">
        <v>1904</v>
      </c>
      <c r="D7" s="2">
        <f>C7-C2</f>
        <v/>
      </c>
      <c r="E7" s="5">
        <f>'First-hand detail'!H7</f>
        <v/>
      </c>
    </row>
    <row r="8">
      <c r="A8" s="2" t="inlineStr">
        <is>
          <t>rail</t>
        </is>
      </c>
      <c r="B8" s="2" t="inlineStr">
        <is>
          <t>US railroads (1900 onwards)</t>
        </is>
      </c>
      <c r="C8" s="2" t="n">
        <v>1905</v>
      </c>
      <c r="D8" s="2">
        <f>C8-C2</f>
        <v/>
      </c>
      <c r="E8" s="5">
        <f>'First-hand detail'!H8</f>
        <v/>
      </c>
    </row>
    <row r="9">
      <c r="A9" s="2" t="inlineStr">
        <is>
          <t>rail</t>
        </is>
      </c>
      <c r="B9" s="2" t="inlineStr">
        <is>
          <t>US railroads (1900 onwards)</t>
        </is>
      </c>
      <c r="C9" s="2" t="n">
        <v>1906</v>
      </c>
      <c r="D9" s="2">
        <f>C9-C2</f>
        <v/>
      </c>
      <c r="E9" s="5">
        <f>'First-hand detail'!H9</f>
        <v/>
      </c>
    </row>
    <row r="10">
      <c r="A10" s="2" t="inlineStr">
        <is>
          <t>rail</t>
        </is>
      </c>
      <c r="B10" s="2" t="inlineStr">
        <is>
          <t>US railroads (1900 onwards)</t>
        </is>
      </c>
      <c r="C10" s="2" t="n">
        <v>1907</v>
      </c>
      <c r="D10" s="2">
        <f>C10-C2</f>
        <v/>
      </c>
      <c r="E10" s="5">
        <f>'First-hand detail'!H10</f>
        <v/>
      </c>
    </row>
    <row r="11">
      <c r="A11" s="2" t="inlineStr">
        <is>
          <t>rail</t>
        </is>
      </c>
      <c r="B11" s="2" t="inlineStr">
        <is>
          <t>US railroads (1900 onwards)</t>
        </is>
      </c>
      <c r="C11" s="2" t="n">
        <v>1908</v>
      </c>
      <c r="D11" s="2">
        <f>C11-C2</f>
        <v/>
      </c>
      <c r="E11" s="5">
        <f>'First-hand detail'!H11</f>
        <v/>
      </c>
    </row>
    <row r="12">
      <c r="A12" s="2" t="inlineStr">
        <is>
          <t>rail</t>
        </is>
      </c>
      <c r="B12" s="2" t="inlineStr">
        <is>
          <t>US railroads (1900 onwards)</t>
        </is>
      </c>
      <c r="C12" s="2" t="n">
        <v>1909</v>
      </c>
      <c r="D12" s="2">
        <f>C12-C2</f>
        <v/>
      </c>
      <c r="E12" s="5">
        <f>'First-hand detail'!H12</f>
        <v/>
      </c>
    </row>
    <row r="13">
      <c r="A13" s="2" t="inlineStr">
        <is>
          <t>rail</t>
        </is>
      </c>
      <c r="B13" s="2" t="inlineStr">
        <is>
          <t>US railroads (1900 onwards)</t>
        </is>
      </c>
      <c r="C13" s="2" t="n">
        <v>1910</v>
      </c>
      <c r="D13" s="2">
        <f>C13-C2</f>
        <v/>
      </c>
      <c r="E13" s="5">
        <f>'First-hand detail'!H13</f>
        <v/>
      </c>
    </row>
    <row r="14">
      <c r="A14" s="2" t="inlineStr">
        <is>
          <t>rail</t>
        </is>
      </c>
      <c r="B14" s="2" t="inlineStr">
        <is>
          <t>US railroads (1900 onwards)</t>
        </is>
      </c>
      <c r="C14" s="2" t="n">
        <v>1911</v>
      </c>
      <c r="D14" s="2">
        <f>C14-C2</f>
        <v/>
      </c>
      <c r="E14" s="5">
        <f>'First-hand detail'!H14</f>
        <v/>
      </c>
    </row>
    <row r="15">
      <c r="A15" s="2" t="inlineStr">
        <is>
          <t>rail</t>
        </is>
      </c>
      <c r="B15" s="2" t="inlineStr">
        <is>
          <t>US railroads (1900 onwards)</t>
        </is>
      </c>
      <c r="C15" s="2" t="n">
        <v>1912</v>
      </c>
      <c r="D15" s="2">
        <f>C15-C2</f>
        <v/>
      </c>
      <c r="E15" s="5">
        <f>'First-hand detail'!H15</f>
        <v/>
      </c>
    </row>
    <row r="16">
      <c r="A16" s="2" t="inlineStr">
        <is>
          <t>rail</t>
        </is>
      </c>
      <c r="B16" s="2" t="inlineStr">
        <is>
          <t>US railroads (1900 onwards)</t>
        </is>
      </c>
      <c r="C16" s="2" t="n">
        <v>1913</v>
      </c>
      <c r="D16" s="2">
        <f>C16-C2</f>
        <v/>
      </c>
      <c r="E16" s="5">
        <f>'First-hand detail'!H16</f>
        <v/>
      </c>
    </row>
    <row r="17">
      <c r="A17" s="2" t="inlineStr">
        <is>
          <t>rail</t>
        </is>
      </c>
      <c r="B17" s="2" t="inlineStr">
        <is>
          <t>US railroads (1900 onwards)</t>
        </is>
      </c>
      <c r="C17" s="2" t="n">
        <v>1914</v>
      </c>
      <c r="D17" s="2">
        <f>C17-C2</f>
        <v/>
      </c>
      <c r="E17" s="5">
        <f>'First-hand detail'!H17</f>
        <v/>
      </c>
    </row>
    <row r="18">
      <c r="A18" s="2" t="inlineStr">
        <is>
          <t>rail</t>
        </is>
      </c>
      <c r="B18" s="2" t="inlineStr">
        <is>
          <t>US railroads (1900 onwards)</t>
        </is>
      </c>
      <c r="C18" s="2" t="n">
        <v>1915</v>
      </c>
      <c r="D18" s="2">
        <f>C18-C2</f>
        <v/>
      </c>
      <c r="E18" s="5">
        <f>'First-hand detail'!H18</f>
        <v/>
      </c>
    </row>
    <row r="19">
      <c r="A19" s="2" t="inlineStr">
        <is>
          <t>rail</t>
        </is>
      </c>
      <c r="B19" s="2" t="inlineStr">
        <is>
          <t>US railroads (1900 onwards)</t>
        </is>
      </c>
      <c r="C19" s="2" t="n">
        <v>1916</v>
      </c>
      <c r="D19" s="2">
        <f>C19-C2</f>
        <v/>
      </c>
      <c r="E19" s="5">
        <f>'First-hand detail'!H19</f>
        <v/>
      </c>
    </row>
    <row r="20">
      <c r="A20" s="2" t="inlineStr">
        <is>
          <t>rail</t>
        </is>
      </c>
      <c r="B20" s="2" t="inlineStr">
        <is>
          <t>US railroads (1900 onwards)</t>
        </is>
      </c>
      <c r="C20" s="2" t="n">
        <v>1917</v>
      </c>
      <c r="D20" s="2">
        <f>C20-C2</f>
        <v/>
      </c>
      <c r="E20" s="5">
        <f>'First-hand detail'!H20</f>
        <v/>
      </c>
    </row>
    <row r="21">
      <c r="A21" s="2" t="inlineStr">
        <is>
          <t>rail</t>
        </is>
      </c>
      <c r="B21" s="2" t="inlineStr">
        <is>
          <t>US railroads (1900 onwards)</t>
        </is>
      </c>
      <c r="C21" s="2" t="n">
        <v>1918</v>
      </c>
      <c r="D21" s="2">
        <f>C21-C2</f>
        <v/>
      </c>
      <c r="E21" s="5">
        <f>'First-hand detail'!H21</f>
        <v/>
      </c>
    </row>
    <row r="22">
      <c r="A22" s="2" t="inlineStr">
        <is>
          <t>rail</t>
        </is>
      </c>
      <c r="B22" s="2" t="inlineStr">
        <is>
          <t>US railroads (1900 onwards)</t>
        </is>
      </c>
      <c r="C22" s="2" t="n">
        <v>1919</v>
      </c>
      <c r="D22" s="2">
        <f>C22-C2</f>
        <v/>
      </c>
      <c r="E22" s="5">
        <f>'First-hand detail'!H22</f>
        <v/>
      </c>
    </row>
    <row r="23">
      <c r="A23" s="2" t="inlineStr">
        <is>
          <t>rail</t>
        </is>
      </c>
      <c r="B23" s="2" t="inlineStr">
        <is>
          <t>US railroads (1900 onwards)</t>
        </is>
      </c>
      <c r="C23" s="2" t="n">
        <v>1920</v>
      </c>
      <c r="D23" s="2">
        <f>C23-C2</f>
        <v/>
      </c>
      <c r="E23" s="5">
        <f>'First-hand detail'!H23</f>
        <v/>
      </c>
    </row>
    <row r="24">
      <c r="A24" s="2" t="inlineStr">
        <is>
          <t>og70s</t>
        </is>
      </c>
      <c r="B24" s="2" t="inlineStr">
        <is>
          <t>O&amp;G (1970-80s)</t>
        </is>
      </c>
      <c r="C24" s="2" t="n">
        <v>1972</v>
      </c>
      <c r="D24" s="2">
        <f>C24-C24</f>
        <v/>
      </c>
      <c r="E24" s="5">
        <f>'First-hand detail'!H24</f>
        <v/>
      </c>
    </row>
    <row r="25">
      <c r="A25" s="2" t="inlineStr">
        <is>
          <t>og70s</t>
        </is>
      </c>
      <c r="B25" s="2" t="inlineStr">
        <is>
          <t>O&amp;G (1970-80s)</t>
        </is>
      </c>
      <c r="C25" s="2" t="n">
        <v>1973</v>
      </c>
      <c r="D25" s="2">
        <f>C25-C24</f>
        <v/>
      </c>
      <c r="E25" s="5">
        <f>'First-hand detail'!H24</f>
        <v/>
      </c>
    </row>
    <row r="26">
      <c r="A26" s="2" t="inlineStr">
        <is>
          <t>og70s</t>
        </is>
      </c>
      <c r="B26" s="2" t="inlineStr">
        <is>
          <t>O&amp;G (1970-80s)</t>
        </is>
      </c>
      <c r="C26" s="2" t="n">
        <v>1973</v>
      </c>
      <c r="D26" s="2">
        <f>C26-C24</f>
        <v/>
      </c>
      <c r="E26" s="5">
        <f>'First-hand detail'!H25</f>
        <v/>
      </c>
    </row>
    <row r="27">
      <c r="A27" s="2" t="inlineStr">
        <is>
          <t>og70s</t>
        </is>
      </c>
      <c r="B27" s="2" t="inlineStr">
        <is>
          <t>O&amp;G (1970-80s)</t>
        </is>
      </c>
      <c r="C27" s="2" t="n">
        <v>1974</v>
      </c>
      <c r="D27" s="2">
        <f>C27-C24</f>
        <v/>
      </c>
      <c r="E27" s="5">
        <f>'First-hand detail'!H25</f>
        <v/>
      </c>
    </row>
    <row r="28">
      <c r="A28" s="2" t="inlineStr">
        <is>
          <t>og70s</t>
        </is>
      </c>
      <c r="B28" s="2" t="inlineStr">
        <is>
          <t>O&amp;G (1970-80s)</t>
        </is>
      </c>
      <c r="C28" s="2" t="n">
        <v>1974</v>
      </c>
      <c r="D28" s="2">
        <f>C28-C24</f>
        <v/>
      </c>
      <c r="E28" s="5">
        <f>'First-hand detail'!H26</f>
        <v/>
      </c>
    </row>
    <row r="29">
      <c r="A29" s="2" t="inlineStr">
        <is>
          <t>og70s</t>
        </is>
      </c>
      <c r="B29" s="2" t="inlineStr">
        <is>
          <t>O&amp;G (1970-80s)</t>
        </is>
      </c>
      <c r="C29" s="2" t="n">
        <v>1975</v>
      </c>
      <c r="D29" s="2">
        <f>C29-C24</f>
        <v/>
      </c>
      <c r="E29" s="5">
        <f>'First-hand detail'!H26</f>
        <v/>
      </c>
    </row>
    <row r="30">
      <c r="A30" s="2" t="inlineStr">
        <is>
          <t>og70s</t>
        </is>
      </c>
      <c r="B30" s="2" t="inlineStr">
        <is>
          <t>O&amp;G (1970-80s)</t>
        </is>
      </c>
      <c r="C30" s="2" t="n">
        <v>1975</v>
      </c>
      <c r="D30" s="2">
        <f>C30-C24</f>
        <v/>
      </c>
      <c r="E30" s="5">
        <f>'First-hand detail'!H27</f>
        <v/>
      </c>
    </row>
    <row r="31">
      <c r="A31" s="2" t="inlineStr">
        <is>
          <t>og70s</t>
        </is>
      </c>
      <c r="B31" s="2" t="inlineStr">
        <is>
          <t>O&amp;G (1970-80s)</t>
        </is>
      </c>
      <c r="C31" s="2" t="n">
        <v>1976</v>
      </c>
      <c r="D31" s="2">
        <f>C31-C24</f>
        <v/>
      </c>
      <c r="E31" s="5">
        <f>'First-hand detail'!H27</f>
        <v/>
      </c>
    </row>
    <row r="32">
      <c r="A32" s="2" t="inlineStr">
        <is>
          <t>og70s</t>
        </is>
      </c>
      <c r="B32" s="2" t="inlineStr">
        <is>
          <t>O&amp;G (1970-80s)</t>
        </is>
      </c>
      <c r="C32" s="2" t="n">
        <v>1976</v>
      </c>
      <c r="D32" s="2">
        <f>C32-C24</f>
        <v/>
      </c>
      <c r="E32" s="5">
        <f>'First-hand detail'!H28</f>
        <v/>
      </c>
    </row>
    <row r="33">
      <c r="A33" s="2" t="inlineStr">
        <is>
          <t>og70s</t>
        </is>
      </c>
      <c r="B33" s="2" t="inlineStr">
        <is>
          <t>O&amp;G (1970-80s)</t>
        </is>
      </c>
      <c r="C33" s="2" t="n">
        <v>1977</v>
      </c>
      <c r="D33" s="2">
        <f>C33-C24</f>
        <v/>
      </c>
      <c r="E33" s="5">
        <f>'First-hand detail'!H28</f>
        <v/>
      </c>
    </row>
    <row r="34">
      <c r="A34" s="2" t="inlineStr">
        <is>
          <t>og70s</t>
        </is>
      </c>
      <c r="B34" s="2" t="inlineStr">
        <is>
          <t>O&amp;G (1970-80s)</t>
        </is>
      </c>
      <c r="C34" s="2" t="n">
        <v>1977</v>
      </c>
      <c r="D34" s="2">
        <f>C34-C24</f>
        <v/>
      </c>
      <c r="E34" s="5">
        <f>'First-hand detail'!H29</f>
        <v/>
      </c>
    </row>
    <row r="35">
      <c r="A35" s="2" t="inlineStr">
        <is>
          <t>og70s</t>
        </is>
      </c>
      <c r="B35" s="2" t="inlineStr">
        <is>
          <t>O&amp;G (1970-80s)</t>
        </is>
      </c>
      <c r="C35" s="2" t="n">
        <v>1978</v>
      </c>
      <c r="D35" s="2">
        <f>C35-C24</f>
        <v/>
      </c>
      <c r="E35" s="5">
        <f>'First-hand detail'!H29</f>
        <v/>
      </c>
    </row>
    <row r="36">
      <c r="A36" s="2" t="inlineStr">
        <is>
          <t>og70s</t>
        </is>
      </c>
      <c r="B36" s="2" t="inlineStr">
        <is>
          <t>O&amp;G (1970-80s)</t>
        </is>
      </c>
      <c r="C36" s="2" t="n">
        <v>1978</v>
      </c>
      <c r="D36" s="2">
        <f>C36-C24</f>
        <v/>
      </c>
      <c r="E36" s="5">
        <f>'First-hand detail'!H30</f>
        <v/>
      </c>
    </row>
    <row r="37">
      <c r="A37" s="2" t="inlineStr">
        <is>
          <t>og70s</t>
        </is>
      </c>
      <c r="B37" s="2" t="inlineStr">
        <is>
          <t>O&amp;G (1970-80s)</t>
        </is>
      </c>
      <c r="C37" s="2" t="n">
        <v>1979</v>
      </c>
      <c r="D37" s="2">
        <f>C37-C24</f>
        <v/>
      </c>
      <c r="E37" s="5">
        <f>'First-hand detail'!H30</f>
        <v/>
      </c>
    </row>
    <row r="38">
      <c r="A38" s="2" t="inlineStr">
        <is>
          <t>og70s</t>
        </is>
      </c>
      <c r="B38" s="2" t="inlineStr">
        <is>
          <t>O&amp;G (1970-80s)</t>
        </is>
      </c>
      <c r="C38" s="2" t="n">
        <v>1979</v>
      </c>
      <c r="D38" s="2">
        <f>C38-C24</f>
        <v/>
      </c>
      <c r="E38" s="5">
        <f>'First-hand detail'!H31</f>
        <v/>
      </c>
    </row>
    <row r="39">
      <c r="A39" s="2" t="inlineStr">
        <is>
          <t>og70s</t>
        </is>
      </c>
      <c r="B39" s="2" t="inlineStr">
        <is>
          <t>O&amp;G (1970-80s)</t>
        </is>
      </c>
      <c r="C39" s="2" t="n">
        <v>1980</v>
      </c>
      <c r="D39" s="2">
        <f>C39-C24</f>
        <v/>
      </c>
      <c r="E39" s="5">
        <f>'First-hand detail'!H31</f>
        <v/>
      </c>
    </row>
    <row r="40">
      <c r="A40" s="2" t="inlineStr">
        <is>
          <t>og70s</t>
        </is>
      </c>
      <c r="B40" s="2" t="inlineStr">
        <is>
          <t>O&amp;G (1970-80s)</t>
        </is>
      </c>
      <c r="C40" s="2" t="n">
        <v>1980</v>
      </c>
      <c r="D40" s="2">
        <f>C40-C24</f>
        <v/>
      </c>
      <c r="E40" s="5">
        <f>'First-hand detail'!H32</f>
        <v/>
      </c>
    </row>
    <row r="41">
      <c r="A41" s="2" t="inlineStr">
        <is>
          <t>og70s</t>
        </is>
      </c>
      <c r="B41" s="2" t="inlineStr">
        <is>
          <t>O&amp;G (1970-80s)</t>
        </is>
      </c>
      <c r="C41" s="2" t="n">
        <v>1981</v>
      </c>
      <c r="D41" s="2">
        <f>C41-C24</f>
        <v/>
      </c>
      <c r="E41" s="5">
        <f>'First-hand detail'!H32</f>
        <v/>
      </c>
    </row>
    <row r="42">
      <c r="A42" s="2" t="inlineStr">
        <is>
          <t>og70s</t>
        </is>
      </c>
      <c r="B42" s="2" t="inlineStr">
        <is>
          <t>O&amp;G (1970-80s)</t>
        </is>
      </c>
      <c r="C42" s="2" t="n">
        <v>1981</v>
      </c>
      <c r="D42" s="2">
        <f>C42-C24</f>
        <v/>
      </c>
      <c r="E42" s="5">
        <f>'First-hand detail'!H33</f>
        <v/>
      </c>
    </row>
    <row r="43">
      <c r="A43" s="2" t="inlineStr">
        <is>
          <t>og70s</t>
        </is>
      </c>
      <c r="B43" s="2" t="inlineStr">
        <is>
          <t>O&amp;G (1970-80s)</t>
        </is>
      </c>
      <c r="C43" s="2" t="n">
        <v>1982</v>
      </c>
      <c r="D43" s="2">
        <f>C43-C24</f>
        <v/>
      </c>
      <c r="E43" s="5">
        <f>'First-hand detail'!H33</f>
        <v/>
      </c>
    </row>
    <row r="44">
      <c r="A44" s="2" t="inlineStr">
        <is>
          <t>og70s</t>
        </is>
      </c>
      <c r="B44" s="2" t="inlineStr">
        <is>
          <t>O&amp;G (1970-80s)</t>
        </is>
      </c>
      <c r="C44" s="2" t="n">
        <v>1982</v>
      </c>
      <c r="D44" s="2">
        <f>C44-C24</f>
        <v/>
      </c>
      <c r="E44" s="5">
        <f>'First-hand detail'!H34</f>
        <v/>
      </c>
    </row>
    <row r="45">
      <c r="A45" s="2" t="inlineStr">
        <is>
          <t>og70s</t>
        </is>
      </c>
      <c r="B45" s="2" t="inlineStr">
        <is>
          <t>O&amp;G (1970-80s)</t>
        </is>
      </c>
      <c r="C45" s="2" t="n">
        <v>1983</v>
      </c>
      <c r="D45" s="2">
        <f>C45-C24</f>
        <v/>
      </c>
      <c r="E45" s="5">
        <f>'First-hand detail'!H34</f>
        <v/>
      </c>
    </row>
    <row r="46">
      <c r="A46" s="2" t="inlineStr">
        <is>
          <t>og70s</t>
        </is>
      </c>
      <c r="B46" s="2" t="inlineStr">
        <is>
          <t>O&amp;G (1970-80s)</t>
        </is>
      </c>
      <c r="C46" s="2" t="n">
        <v>1983</v>
      </c>
      <c r="D46" s="2">
        <f>C46-C24</f>
        <v/>
      </c>
      <c r="E46" s="5">
        <f>'First-hand detail'!H35</f>
        <v/>
      </c>
    </row>
    <row r="47">
      <c r="A47" s="2" t="inlineStr">
        <is>
          <t>og70s</t>
        </is>
      </c>
      <c r="B47" s="2" t="inlineStr">
        <is>
          <t>O&amp;G (1970-80s)</t>
        </is>
      </c>
      <c r="C47" s="2" t="n">
        <v>1984</v>
      </c>
      <c r="D47" s="2">
        <f>C47-C24</f>
        <v/>
      </c>
      <c r="E47" s="5">
        <f>'First-hand detail'!H35</f>
        <v/>
      </c>
    </row>
    <row r="48">
      <c r="A48" s="2" t="inlineStr">
        <is>
          <t>og70s</t>
        </is>
      </c>
      <c r="B48" s="2" t="inlineStr">
        <is>
          <t>O&amp;G (1970-80s)</t>
        </is>
      </c>
      <c r="C48" s="2" t="n">
        <v>1984</v>
      </c>
      <c r="D48" s="2">
        <f>C48-C24</f>
        <v/>
      </c>
      <c r="E48" s="5">
        <f>'First-hand detail'!H36</f>
        <v/>
      </c>
    </row>
    <row r="49">
      <c r="A49" s="2" t="inlineStr">
        <is>
          <t>og70s</t>
        </is>
      </c>
      <c r="B49" s="2" t="inlineStr">
        <is>
          <t>O&amp;G (1970-80s)</t>
        </is>
      </c>
      <c r="C49" s="2" t="n">
        <v>1985</v>
      </c>
      <c r="D49" s="2">
        <f>C49-C24</f>
        <v/>
      </c>
      <c r="E49" s="5">
        <f>'First-hand detail'!H36</f>
        <v/>
      </c>
    </row>
    <row r="50">
      <c r="A50" s="2" t="inlineStr">
        <is>
          <t>og70s</t>
        </is>
      </c>
      <c r="B50" s="2" t="inlineStr">
        <is>
          <t>O&amp;G (1970-80s)</t>
        </is>
      </c>
      <c r="C50" s="2" t="n">
        <v>1985</v>
      </c>
      <c r="D50" s="2">
        <f>C50-C24</f>
        <v/>
      </c>
      <c r="E50" s="5">
        <f>'First-hand detail'!H37</f>
        <v/>
      </c>
    </row>
    <row r="51">
      <c r="A51" s="2" t="inlineStr">
        <is>
          <t>og70s</t>
        </is>
      </c>
      <c r="B51" s="2" t="inlineStr">
        <is>
          <t>O&amp;G (1970-80s)</t>
        </is>
      </c>
      <c r="C51" s="2" t="n">
        <v>1986</v>
      </c>
      <c r="D51" s="2">
        <f>C51-C24</f>
        <v/>
      </c>
      <c r="E51" s="5">
        <f>'First-hand detail'!H37</f>
        <v/>
      </c>
    </row>
    <row r="52">
      <c r="A52" s="2" t="inlineStr">
        <is>
          <t>og70s</t>
        </is>
      </c>
      <c r="B52" s="2" t="inlineStr">
        <is>
          <t>O&amp;G (1970-80s)</t>
        </is>
      </c>
      <c r="C52" s="2" t="n">
        <v>1986</v>
      </c>
      <c r="D52" s="2">
        <f>C52-C24</f>
        <v/>
      </c>
      <c r="E52" s="5">
        <f>'First-hand detail'!H38</f>
        <v/>
      </c>
    </row>
    <row r="53">
      <c r="A53" s="2" t="inlineStr">
        <is>
          <t>og70s</t>
        </is>
      </c>
      <c r="B53" s="2" t="inlineStr">
        <is>
          <t>O&amp;G (1970-80s)</t>
        </is>
      </c>
      <c r="C53" s="2" t="n">
        <v>1987</v>
      </c>
      <c r="D53" s="2">
        <f>C53-C24</f>
        <v/>
      </c>
      <c r="E53" s="5">
        <f>'First-hand detail'!H38</f>
        <v/>
      </c>
    </row>
    <row r="54">
      <c r="A54" s="2" t="inlineStr">
        <is>
          <t>telecom</t>
        </is>
      </c>
      <c r="B54" s="2" t="inlineStr">
        <is>
          <t>Telecoms (1990s)</t>
        </is>
      </c>
      <c r="C54" s="2" t="n">
        <v>1995</v>
      </c>
      <c r="D54" s="2">
        <f>C54-C54</f>
        <v/>
      </c>
      <c r="E54" s="5">
        <f>'First-hand detail'!H54</f>
        <v/>
      </c>
    </row>
    <row r="55">
      <c r="A55" s="2" t="inlineStr">
        <is>
          <t>telecom</t>
        </is>
      </c>
      <c r="B55" s="2" t="inlineStr">
        <is>
          <t>Telecoms (1990s)</t>
        </is>
      </c>
      <c r="C55" s="2" t="n">
        <v>1996</v>
      </c>
      <c r="D55" s="2">
        <f>C55-C54</f>
        <v/>
      </c>
      <c r="E55" s="5">
        <f>'First-hand detail'!H54</f>
        <v/>
      </c>
    </row>
    <row r="56">
      <c r="A56" s="2" t="inlineStr">
        <is>
          <t>telecom</t>
        </is>
      </c>
      <c r="B56" s="2" t="inlineStr">
        <is>
          <t>Telecoms (1990s)</t>
        </is>
      </c>
      <c r="C56" s="2" t="n">
        <v>1996</v>
      </c>
      <c r="D56" s="2">
        <f>C56-C54</f>
        <v/>
      </c>
      <c r="E56" s="5">
        <f>'First-hand detail'!H55</f>
        <v/>
      </c>
    </row>
    <row r="57">
      <c r="A57" s="2" t="inlineStr">
        <is>
          <t>telecom</t>
        </is>
      </c>
      <c r="B57" s="2" t="inlineStr">
        <is>
          <t>Telecoms (1990s)</t>
        </is>
      </c>
      <c r="C57" s="2" t="n">
        <v>1997</v>
      </c>
      <c r="D57" s="2">
        <f>C57-C54</f>
        <v/>
      </c>
      <c r="E57" s="5">
        <f>'First-hand detail'!H55</f>
        <v/>
      </c>
    </row>
    <row r="58">
      <c r="A58" s="2" t="inlineStr">
        <is>
          <t>telecom</t>
        </is>
      </c>
      <c r="B58" s="2" t="inlineStr">
        <is>
          <t>Telecoms (1990s)</t>
        </is>
      </c>
      <c r="C58" s="2" t="n">
        <v>1997</v>
      </c>
      <c r="D58" s="2">
        <f>C58-C54</f>
        <v/>
      </c>
      <c r="E58" s="5">
        <f>'First-hand detail'!H56</f>
        <v/>
      </c>
    </row>
    <row r="59">
      <c r="A59" s="2" t="inlineStr">
        <is>
          <t>telecom</t>
        </is>
      </c>
      <c r="B59" s="2" t="inlineStr">
        <is>
          <t>Telecoms (1990s)</t>
        </is>
      </c>
      <c r="C59" s="2" t="n">
        <v>1998</v>
      </c>
      <c r="D59" s="2">
        <f>C59-C54</f>
        <v/>
      </c>
      <c r="E59" s="5">
        <f>'First-hand detail'!H56</f>
        <v/>
      </c>
    </row>
    <row r="60">
      <c r="A60" s="2" t="inlineStr">
        <is>
          <t>telecom</t>
        </is>
      </c>
      <c r="B60" s="2" t="inlineStr">
        <is>
          <t>Telecoms (1990s)</t>
        </is>
      </c>
      <c r="C60" s="2" t="n">
        <v>1998</v>
      </c>
      <c r="D60" s="2">
        <f>C60-C54</f>
        <v/>
      </c>
      <c r="E60" s="5">
        <f>'First-hand detail'!H57</f>
        <v/>
      </c>
    </row>
    <row r="61">
      <c r="A61" s="2" t="inlineStr">
        <is>
          <t>telecom</t>
        </is>
      </c>
      <c r="B61" s="2" t="inlineStr">
        <is>
          <t>Telecoms (1990s)</t>
        </is>
      </c>
      <c r="C61" s="2" t="n">
        <v>1999</v>
      </c>
      <c r="D61" s="2">
        <f>C61-C54</f>
        <v/>
      </c>
      <c r="E61" s="5">
        <f>'First-hand detail'!H57</f>
        <v/>
      </c>
    </row>
    <row r="62">
      <c r="A62" s="2" t="inlineStr">
        <is>
          <t>telecom</t>
        </is>
      </c>
      <c r="B62" s="2" t="inlineStr">
        <is>
          <t>Telecoms (1990s)</t>
        </is>
      </c>
      <c r="C62" s="2" t="n">
        <v>1999</v>
      </c>
      <c r="D62" s="2">
        <f>C62-C54</f>
        <v/>
      </c>
      <c r="E62" s="5">
        <f>'First-hand detail'!H58</f>
        <v/>
      </c>
    </row>
    <row r="63">
      <c r="A63" s="2" t="inlineStr">
        <is>
          <t>telecom</t>
        </is>
      </c>
      <c r="B63" s="2" t="inlineStr">
        <is>
          <t>Telecoms (1990s)</t>
        </is>
      </c>
      <c r="C63" s="2" t="n">
        <v>2000</v>
      </c>
      <c r="D63" s="2">
        <f>C63-C54</f>
        <v/>
      </c>
      <c r="E63" s="5">
        <f>'First-hand detail'!H58</f>
        <v/>
      </c>
    </row>
    <row r="64">
      <c r="A64" s="2" t="inlineStr">
        <is>
          <t>telecom</t>
        </is>
      </c>
      <c r="B64" s="2" t="inlineStr">
        <is>
          <t>Telecoms (1990s)</t>
        </is>
      </c>
      <c r="C64" s="2" t="n">
        <v>2000</v>
      </c>
      <c r="D64" s="2">
        <f>C64-C54</f>
        <v/>
      </c>
      <c r="E64" s="5">
        <f>'First-hand detail'!H59</f>
        <v/>
      </c>
    </row>
    <row r="65">
      <c r="A65" s="2" t="inlineStr">
        <is>
          <t>telecom</t>
        </is>
      </c>
      <c r="B65" s="2" t="inlineStr">
        <is>
          <t>Telecoms (1990s)</t>
        </is>
      </c>
      <c r="C65" s="2" t="n">
        <v>2001</v>
      </c>
      <c r="D65" s="2">
        <f>C65-C54</f>
        <v/>
      </c>
      <c r="E65" s="5">
        <f>'First-hand detail'!H59</f>
        <v/>
      </c>
    </row>
    <row r="66">
      <c r="A66" s="2" t="inlineStr">
        <is>
          <t>telecom</t>
        </is>
      </c>
      <c r="B66" s="2" t="inlineStr">
        <is>
          <t>Telecoms (1990s)</t>
        </is>
      </c>
      <c r="C66" s="2" t="n">
        <v>2001</v>
      </c>
      <c r="D66" s="2">
        <f>C66-C54</f>
        <v/>
      </c>
      <c r="E66" s="5">
        <f>'First-hand detail'!H60</f>
        <v/>
      </c>
    </row>
    <row r="67">
      <c r="A67" s="2" t="inlineStr">
        <is>
          <t>telecom</t>
        </is>
      </c>
      <c r="B67" s="2" t="inlineStr">
        <is>
          <t>Telecoms (1990s)</t>
        </is>
      </c>
      <c r="C67" s="2" t="n">
        <v>2002</v>
      </c>
      <c r="D67" s="2">
        <f>C67-C54</f>
        <v/>
      </c>
      <c r="E67" s="5">
        <f>'First-hand detail'!H60</f>
        <v/>
      </c>
    </row>
    <row r="68">
      <c r="A68" s="2" t="inlineStr">
        <is>
          <t>telecom</t>
        </is>
      </c>
      <c r="B68" s="2" t="inlineStr">
        <is>
          <t>Telecoms (1990s)</t>
        </is>
      </c>
      <c r="C68" s="2" t="n">
        <v>2002</v>
      </c>
      <c r="D68" s="2">
        <f>C68-C54</f>
        <v/>
      </c>
      <c r="E68" s="5">
        <f>'First-hand detail'!H61</f>
        <v/>
      </c>
    </row>
    <row r="69">
      <c r="A69" s="2" t="inlineStr">
        <is>
          <t>telecom</t>
        </is>
      </c>
      <c r="B69" s="2" t="inlineStr">
        <is>
          <t>Telecoms (1990s)</t>
        </is>
      </c>
      <c r="C69" s="2" t="n">
        <v>2003</v>
      </c>
      <c r="D69" s="2">
        <f>C69-C54</f>
        <v/>
      </c>
      <c r="E69" s="5">
        <f>'First-hand detail'!H61</f>
        <v/>
      </c>
    </row>
    <row r="70">
      <c r="A70" s="2" t="inlineStr">
        <is>
          <t>telecom</t>
        </is>
      </c>
      <c r="B70" s="2" t="inlineStr">
        <is>
          <t>Telecoms (1990s)</t>
        </is>
      </c>
      <c r="C70" s="2" t="n">
        <v>2003</v>
      </c>
      <c r="D70" s="2">
        <f>C70-C54</f>
        <v/>
      </c>
      <c r="E70" s="5">
        <f>'First-hand detail'!H62</f>
        <v/>
      </c>
    </row>
    <row r="71">
      <c r="A71" s="2" t="inlineStr">
        <is>
          <t>telecom</t>
        </is>
      </c>
      <c r="B71" s="2" t="inlineStr">
        <is>
          <t>Telecoms (1990s)</t>
        </is>
      </c>
      <c r="C71" s="2" t="n">
        <v>2004</v>
      </c>
      <c r="D71" s="2">
        <f>C71-C54</f>
        <v/>
      </c>
      <c r="E71" s="5">
        <f>'First-hand detail'!H62</f>
        <v/>
      </c>
    </row>
    <row r="72">
      <c r="A72" s="2" t="inlineStr">
        <is>
          <t>shale</t>
        </is>
      </c>
      <c r="B72" s="2" t="inlineStr">
        <is>
          <t>O&amp;G (Shale)</t>
        </is>
      </c>
      <c r="C72" s="2" t="n">
        <v>2002</v>
      </c>
      <c r="D72" s="2">
        <f>C72-C72</f>
        <v/>
      </c>
      <c r="E72" s="5">
        <f>'First-hand detail'!H39</f>
        <v/>
      </c>
    </row>
    <row r="73">
      <c r="A73" s="2" t="inlineStr">
        <is>
          <t>shale</t>
        </is>
      </c>
      <c r="B73" s="2" t="inlineStr">
        <is>
          <t>O&amp;G (Shale)</t>
        </is>
      </c>
      <c r="C73" s="2" t="n">
        <v>2003</v>
      </c>
      <c r="D73" s="2">
        <f>C73-C72</f>
        <v/>
      </c>
      <c r="E73" s="5">
        <f>'First-hand detail'!H39</f>
        <v/>
      </c>
    </row>
    <row r="74">
      <c r="A74" s="2" t="inlineStr">
        <is>
          <t>shale</t>
        </is>
      </c>
      <c r="B74" s="2" t="inlineStr">
        <is>
          <t>O&amp;G (Shale)</t>
        </is>
      </c>
      <c r="C74" s="2" t="n">
        <v>2003</v>
      </c>
      <c r="D74" s="2">
        <f>C74-C72</f>
        <v/>
      </c>
      <c r="E74" s="5">
        <f>'First-hand detail'!H40</f>
        <v/>
      </c>
    </row>
    <row r="75">
      <c r="A75" s="2" t="inlineStr">
        <is>
          <t>shale</t>
        </is>
      </c>
      <c r="B75" s="2" t="inlineStr">
        <is>
          <t>O&amp;G (Shale)</t>
        </is>
      </c>
      <c r="C75" s="2" t="n">
        <v>2004</v>
      </c>
      <c r="D75" s="2">
        <f>C75-C72</f>
        <v/>
      </c>
      <c r="E75" s="5">
        <f>'First-hand detail'!H40</f>
        <v/>
      </c>
    </row>
    <row r="76">
      <c r="A76" s="2" t="inlineStr">
        <is>
          <t>shale</t>
        </is>
      </c>
      <c r="B76" s="2" t="inlineStr">
        <is>
          <t>O&amp;G (Shale)</t>
        </is>
      </c>
      <c r="C76" s="2" t="n">
        <v>2004</v>
      </c>
      <c r="D76" s="2">
        <f>C76-C72</f>
        <v/>
      </c>
      <c r="E76" s="5">
        <f>'First-hand detail'!H41</f>
        <v/>
      </c>
    </row>
    <row r="77">
      <c r="A77" s="2" t="inlineStr">
        <is>
          <t>shale</t>
        </is>
      </c>
      <c r="B77" s="2" t="inlineStr">
        <is>
          <t>O&amp;G (Shale)</t>
        </is>
      </c>
      <c r="C77" s="2" t="n">
        <v>2005</v>
      </c>
      <c r="D77" s="2">
        <f>C77-C72</f>
        <v/>
      </c>
      <c r="E77" s="5">
        <f>'First-hand detail'!H41</f>
        <v/>
      </c>
    </row>
    <row r="78">
      <c r="A78" s="2" t="inlineStr">
        <is>
          <t>shale</t>
        </is>
      </c>
      <c r="B78" s="2" t="inlineStr">
        <is>
          <t>O&amp;G (Shale)</t>
        </is>
      </c>
      <c r="C78" s="2" t="n">
        <v>2005</v>
      </c>
      <c r="D78" s="2">
        <f>C78-C72</f>
        <v/>
      </c>
      <c r="E78" s="5">
        <f>'First-hand detail'!H42</f>
        <v/>
      </c>
    </row>
    <row r="79">
      <c r="A79" s="2" t="inlineStr">
        <is>
          <t>shale</t>
        </is>
      </c>
      <c r="B79" s="2" t="inlineStr">
        <is>
          <t>O&amp;G (Shale)</t>
        </is>
      </c>
      <c r="C79" s="2" t="n">
        <v>2006</v>
      </c>
      <c r="D79" s="2">
        <f>C79-C72</f>
        <v/>
      </c>
      <c r="E79" s="5">
        <f>'First-hand detail'!H42</f>
        <v/>
      </c>
    </row>
    <row r="80">
      <c r="A80" s="2" t="inlineStr">
        <is>
          <t>shale</t>
        </is>
      </c>
      <c r="B80" s="2" t="inlineStr">
        <is>
          <t>O&amp;G (Shale)</t>
        </is>
      </c>
      <c r="C80" s="2" t="n">
        <v>2006</v>
      </c>
      <c r="D80" s="2">
        <f>C80-C72</f>
        <v/>
      </c>
      <c r="E80" s="5">
        <f>'First-hand detail'!H43</f>
        <v/>
      </c>
    </row>
    <row r="81">
      <c r="A81" s="2" t="inlineStr">
        <is>
          <t>shale</t>
        </is>
      </c>
      <c r="B81" s="2" t="inlineStr">
        <is>
          <t>O&amp;G (Shale)</t>
        </is>
      </c>
      <c r="C81" s="2" t="n">
        <v>2007</v>
      </c>
      <c r="D81" s="2">
        <f>C81-C72</f>
        <v/>
      </c>
      <c r="E81" s="5">
        <f>'First-hand detail'!H43</f>
        <v/>
      </c>
    </row>
    <row r="82">
      <c r="A82" s="2" t="inlineStr">
        <is>
          <t>shale</t>
        </is>
      </c>
      <c r="B82" s="2" t="inlineStr">
        <is>
          <t>O&amp;G (Shale)</t>
        </is>
      </c>
      <c r="C82" s="2" t="n">
        <v>2007</v>
      </c>
      <c r="D82" s="2">
        <f>C82-C72</f>
        <v/>
      </c>
      <c r="E82" s="5">
        <f>'First-hand detail'!H44</f>
        <v/>
      </c>
    </row>
    <row r="83">
      <c r="A83" s="2" t="inlineStr">
        <is>
          <t>shale</t>
        </is>
      </c>
      <c r="B83" s="2" t="inlineStr">
        <is>
          <t>O&amp;G (Shale)</t>
        </is>
      </c>
      <c r="C83" s="2" t="n">
        <v>2008</v>
      </c>
      <c r="D83" s="2">
        <f>C83-C72</f>
        <v/>
      </c>
      <c r="E83" s="5">
        <f>'First-hand detail'!H44</f>
        <v/>
      </c>
    </row>
    <row r="84">
      <c r="A84" s="2" t="inlineStr">
        <is>
          <t>shale</t>
        </is>
      </c>
      <c r="B84" s="2" t="inlineStr">
        <is>
          <t>O&amp;G (Shale)</t>
        </is>
      </c>
      <c r="C84" s="2" t="n">
        <v>2008</v>
      </c>
      <c r="D84" s="2">
        <f>C84-C72</f>
        <v/>
      </c>
      <c r="E84" s="5">
        <f>'First-hand detail'!H45</f>
        <v/>
      </c>
    </row>
    <row r="85">
      <c r="A85" s="2" t="inlineStr">
        <is>
          <t>shale</t>
        </is>
      </c>
      <c r="B85" s="2" t="inlineStr">
        <is>
          <t>O&amp;G (Shale)</t>
        </is>
      </c>
      <c r="C85" s="2" t="n">
        <v>2009</v>
      </c>
      <c r="D85" s="2">
        <f>C85-C72</f>
        <v/>
      </c>
      <c r="E85" s="5">
        <f>'First-hand detail'!H45</f>
        <v/>
      </c>
    </row>
    <row r="86">
      <c r="A86" s="2" t="inlineStr">
        <is>
          <t>shale</t>
        </is>
      </c>
      <c r="B86" s="2" t="inlineStr">
        <is>
          <t>O&amp;G (Shale)</t>
        </is>
      </c>
      <c r="C86" s="2" t="n">
        <v>2009</v>
      </c>
      <c r="D86" s="2">
        <f>C86-C72</f>
        <v/>
      </c>
      <c r="E86" s="5">
        <f>'First-hand detail'!H46</f>
        <v/>
      </c>
    </row>
    <row r="87">
      <c r="A87" s="2" t="inlineStr">
        <is>
          <t>shale</t>
        </is>
      </c>
      <c r="B87" s="2" t="inlineStr">
        <is>
          <t>O&amp;G (Shale)</t>
        </is>
      </c>
      <c r="C87" s="2" t="n">
        <v>2010</v>
      </c>
      <c r="D87" s="2">
        <f>C87-C72</f>
        <v/>
      </c>
      <c r="E87" s="5">
        <f>'First-hand detail'!H46</f>
        <v/>
      </c>
    </row>
    <row r="88">
      <c r="A88" s="2" t="inlineStr">
        <is>
          <t>shale</t>
        </is>
      </c>
      <c r="B88" s="2" t="inlineStr">
        <is>
          <t>O&amp;G (Shale)</t>
        </is>
      </c>
      <c r="C88" s="2" t="n">
        <v>2010</v>
      </c>
      <c r="D88" s="2">
        <f>C88-C72</f>
        <v/>
      </c>
      <c r="E88" s="5">
        <f>'First-hand detail'!H47</f>
        <v/>
      </c>
    </row>
    <row r="89">
      <c r="A89" s="2" t="inlineStr">
        <is>
          <t>shale</t>
        </is>
      </c>
      <c r="B89" s="2" t="inlineStr">
        <is>
          <t>O&amp;G (Shale)</t>
        </is>
      </c>
      <c r="C89" s="2" t="n">
        <v>2011</v>
      </c>
      <c r="D89" s="2">
        <f>C89-C72</f>
        <v/>
      </c>
      <c r="E89" s="5">
        <f>'First-hand detail'!H47</f>
        <v/>
      </c>
    </row>
    <row r="90">
      <c r="A90" s="2" t="inlineStr">
        <is>
          <t>shale</t>
        </is>
      </c>
      <c r="B90" s="2" t="inlineStr">
        <is>
          <t>O&amp;G (Shale)</t>
        </is>
      </c>
      <c r="C90" s="2" t="n">
        <v>2011</v>
      </c>
      <c r="D90" s="2">
        <f>C90-C72</f>
        <v/>
      </c>
      <c r="E90" s="5">
        <f>'First-hand detail'!H48</f>
        <v/>
      </c>
    </row>
    <row r="91">
      <c r="A91" s="2" t="inlineStr">
        <is>
          <t>shale</t>
        </is>
      </c>
      <c r="B91" s="2" t="inlineStr">
        <is>
          <t>O&amp;G (Shale)</t>
        </is>
      </c>
      <c r="C91" s="2" t="n">
        <v>2012</v>
      </c>
      <c r="D91" s="2">
        <f>C91-C72</f>
        <v/>
      </c>
      <c r="E91" s="5">
        <f>'First-hand detail'!H48</f>
        <v/>
      </c>
    </row>
    <row r="92">
      <c r="A92" s="2" t="inlineStr">
        <is>
          <t>shale</t>
        </is>
      </c>
      <c r="B92" s="2" t="inlineStr">
        <is>
          <t>O&amp;G (Shale)</t>
        </is>
      </c>
      <c r="C92" s="2" t="n">
        <v>2012</v>
      </c>
      <c r="D92" s="2">
        <f>C92-C72</f>
        <v/>
      </c>
      <c r="E92" s="5">
        <f>'First-hand detail'!H49</f>
        <v/>
      </c>
    </row>
    <row r="93">
      <c r="A93" s="2" t="inlineStr">
        <is>
          <t>shale</t>
        </is>
      </c>
      <c r="B93" s="2" t="inlineStr">
        <is>
          <t>O&amp;G (Shale)</t>
        </is>
      </c>
      <c r="C93" s="2" t="n">
        <v>2013</v>
      </c>
      <c r="D93" s="2">
        <f>C93-C72</f>
        <v/>
      </c>
      <c r="E93" s="5">
        <f>'First-hand detail'!H49</f>
        <v/>
      </c>
    </row>
    <row r="94">
      <c r="A94" s="2" t="inlineStr">
        <is>
          <t>shale</t>
        </is>
      </c>
      <c r="B94" s="2" t="inlineStr">
        <is>
          <t>O&amp;G (Shale)</t>
        </is>
      </c>
      <c r="C94" s="2" t="n">
        <v>2013</v>
      </c>
      <c r="D94" s="2">
        <f>C94-C72</f>
        <v/>
      </c>
      <c r="E94" s="5">
        <f>'First-hand detail'!H50</f>
        <v/>
      </c>
    </row>
    <row r="95">
      <c r="A95" s="2" t="inlineStr">
        <is>
          <t>shale</t>
        </is>
      </c>
      <c r="B95" s="2" t="inlineStr">
        <is>
          <t>O&amp;G (Shale)</t>
        </is>
      </c>
      <c r="C95" s="2" t="n">
        <v>2014</v>
      </c>
      <c r="D95" s="2">
        <f>C95-C72</f>
        <v/>
      </c>
      <c r="E95" s="5">
        <f>'First-hand detail'!H50</f>
        <v/>
      </c>
    </row>
    <row r="96">
      <c r="A96" s="2" t="inlineStr">
        <is>
          <t>shale</t>
        </is>
      </c>
      <c r="B96" s="2" t="inlineStr">
        <is>
          <t>O&amp;G (Shale)</t>
        </is>
      </c>
      <c r="C96" s="2" t="n">
        <v>2014</v>
      </c>
      <c r="D96" s="2">
        <f>C96-C72</f>
        <v/>
      </c>
      <c r="E96" s="5">
        <f>'First-hand detail'!H51</f>
        <v/>
      </c>
    </row>
    <row r="97">
      <c r="A97" s="2" t="inlineStr">
        <is>
          <t>shale</t>
        </is>
      </c>
      <c r="B97" s="2" t="inlineStr">
        <is>
          <t>O&amp;G (Shale)</t>
        </is>
      </c>
      <c r="C97" s="2" t="n">
        <v>2015</v>
      </c>
      <c r="D97" s="2">
        <f>C97-C72</f>
        <v/>
      </c>
      <c r="E97" s="5">
        <f>'First-hand detail'!H51</f>
        <v/>
      </c>
    </row>
    <row r="98">
      <c r="A98" s="2" t="inlineStr">
        <is>
          <t>shale</t>
        </is>
      </c>
      <c r="B98" s="2" t="inlineStr">
        <is>
          <t>O&amp;G (Shale)</t>
        </is>
      </c>
      <c r="C98" s="2" t="n">
        <v>2015</v>
      </c>
      <c r="D98" s="2">
        <f>C98-C72</f>
        <v/>
      </c>
      <c r="E98" s="5">
        <f>'First-hand detail'!H52</f>
        <v/>
      </c>
    </row>
    <row r="99">
      <c r="A99" s="2" t="inlineStr">
        <is>
          <t>shale</t>
        </is>
      </c>
      <c r="B99" s="2" t="inlineStr">
        <is>
          <t>O&amp;G (Shale)</t>
        </is>
      </c>
      <c r="C99" s="2" t="n">
        <v>2016</v>
      </c>
      <c r="D99" s="2">
        <f>C99-C72</f>
        <v/>
      </c>
      <c r="E99" s="5">
        <f>'First-hand detail'!H52</f>
        <v/>
      </c>
    </row>
    <row r="100">
      <c r="A100" s="2" t="inlineStr">
        <is>
          <t>shale</t>
        </is>
      </c>
      <c r="B100" s="2" t="inlineStr">
        <is>
          <t>O&amp;G (Shale)</t>
        </is>
      </c>
      <c r="C100" s="2" t="n">
        <v>2016</v>
      </c>
      <c r="D100" s="2">
        <f>C100-C72</f>
        <v/>
      </c>
      <c r="E100" s="5">
        <f>'First-hand detail'!H53</f>
        <v/>
      </c>
    </row>
    <row r="101">
      <c r="A101" s="2" t="inlineStr">
        <is>
          <t>shale</t>
        </is>
      </c>
      <c r="B101" s="2" t="inlineStr">
        <is>
          <t>O&amp;G (Shale)</t>
        </is>
      </c>
      <c r="C101" s="2" t="n">
        <v>2017</v>
      </c>
      <c r="D101" s="2">
        <f>C101-C72</f>
        <v/>
      </c>
      <c r="E101" s="5">
        <f>'First-hand detail'!H53</f>
        <v/>
      </c>
    </row>
    <row r="102">
      <c r="A102" s="2" t="inlineStr">
        <is>
          <t>five</t>
        </is>
      </c>
      <c r="B102" s="2" t="inlineStr">
        <is>
          <t>Five hyperscalers (first-hand)</t>
        </is>
      </c>
      <c r="C102" s="2" t="n">
        <v>2022.25</v>
      </c>
      <c r="D102" s="2">
        <f>C102-C102</f>
        <v/>
      </c>
      <c r="E102" s="5">
        <f>'Hyperscalers first-hand'!K10</f>
        <v/>
      </c>
    </row>
    <row r="103">
      <c r="A103" s="2" t="inlineStr">
        <is>
          <t>five</t>
        </is>
      </c>
      <c r="B103" s="2" t="inlineStr">
        <is>
          <t>Five hyperscalers (first-hand)</t>
        </is>
      </c>
      <c r="C103" s="2" t="n">
        <v>2022.5</v>
      </c>
      <c r="D103" s="2">
        <f>C103-C102</f>
        <v/>
      </c>
      <c r="E103" s="5">
        <f>'Hyperscalers first-hand'!K11</f>
        <v/>
      </c>
    </row>
    <row r="104">
      <c r="A104" s="2" t="inlineStr">
        <is>
          <t>five</t>
        </is>
      </c>
      <c r="B104" s="2" t="inlineStr">
        <is>
          <t>Five hyperscalers (first-hand)</t>
        </is>
      </c>
      <c r="C104" s="2" t="n">
        <v>2022.75</v>
      </c>
      <c r="D104" s="2">
        <f>C104-C102</f>
        <v/>
      </c>
      <c r="E104" s="5">
        <f>'Hyperscalers first-hand'!K12</f>
        <v/>
      </c>
    </row>
    <row r="105">
      <c r="A105" s="2" t="inlineStr">
        <is>
          <t>five</t>
        </is>
      </c>
      <c r="B105" s="2" t="inlineStr">
        <is>
          <t>Five hyperscalers (first-hand)</t>
        </is>
      </c>
      <c r="C105" s="2" t="n">
        <v>2023</v>
      </c>
      <c r="D105" s="2">
        <f>C105-C102</f>
        <v/>
      </c>
      <c r="E105" s="5">
        <f>'Hyperscalers first-hand'!K13</f>
        <v/>
      </c>
    </row>
    <row r="106">
      <c r="A106" s="2" t="inlineStr">
        <is>
          <t>five</t>
        </is>
      </c>
      <c r="B106" s="2" t="inlineStr">
        <is>
          <t>Five hyperscalers (first-hand)</t>
        </is>
      </c>
      <c r="C106" s="2" t="n">
        <v>2023.25</v>
      </c>
      <c r="D106" s="2">
        <f>C106-C102</f>
        <v/>
      </c>
      <c r="E106" s="5">
        <f>'Hyperscalers first-hand'!K14</f>
        <v/>
      </c>
    </row>
    <row r="107">
      <c r="A107" s="2" t="inlineStr">
        <is>
          <t>five</t>
        </is>
      </c>
      <c r="B107" s="2" t="inlineStr">
        <is>
          <t>Five hyperscalers (first-hand)</t>
        </is>
      </c>
      <c r="C107" s="2" t="n">
        <v>2023.5</v>
      </c>
      <c r="D107" s="2">
        <f>C107-C102</f>
        <v/>
      </c>
      <c r="E107" s="5">
        <f>'Hyperscalers first-hand'!K15</f>
        <v/>
      </c>
    </row>
    <row r="108">
      <c r="A108" s="2" t="inlineStr">
        <is>
          <t>five</t>
        </is>
      </c>
      <c r="B108" s="2" t="inlineStr">
        <is>
          <t>Five hyperscalers (first-hand)</t>
        </is>
      </c>
      <c r="C108" s="2" t="n">
        <v>2023.75</v>
      </c>
      <c r="D108" s="2">
        <f>C108-C102</f>
        <v/>
      </c>
      <c r="E108" s="5">
        <f>'Hyperscalers first-hand'!K16</f>
        <v/>
      </c>
    </row>
    <row r="109">
      <c r="A109" s="2" t="inlineStr">
        <is>
          <t>five</t>
        </is>
      </c>
      <c r="B109" s="2" t="inlineStr">
        <is>
          <t>Five hyperscalers (first-hand)</t>
        </is>
      </c>
      <c r="C109" s="2" t="n">
        <v>2024</v>
      </c>
      <c r="D109" s="2">
        <f>C109-C102</f>
        <v/>
      </c>
      <c r="E109" s="5">
        <f>'Hyperscalers first-hand'!K17</f>
        <v/>
      </c>
    </row>
    <row r="110">
      <c r="A110" s="2" t="inlineStr">
        <is>
          <t>five</t>
        </is>
      </c>
      <c r="B110" s="2" t="inlineStr">
        <is>
          <t>Five hyperscalers (first-hand)</t>
        </is>
      </c>
      <c r="C110" s="2" t="n">
        <v>2024.25</v>
      </c>
      <c r="D110" s="2">
        <f>C110-C102</f>
        <v/>
      </c>
      <c r="E110" s="5">
        <f>'Hyperscalers first-hand'!K18</f>
        <v/>
      </c>
    </row>
    <row r="111">
      <c r="A111" s="2" t="inlineStr">
        <is>
          <t>five</t>
        </is>
      </c>
      <c r="B111" s="2" t="inlineStr">
        <is>
          <t>Five hyperscalers (first-hand)</t>
        </is>
      </c>
      <c r="C111" s="2" t="n">
        <v>2024.5</v>
      </c>
      <c r="D111" s="2">
        <f>C111-C102</f>
        <v/>
      </c>
      <c r="E111" s="5">
        <f>'Hyperscalers first-hand'!K19</f>
        <v/>
      </c>
    </row>
    <row r="112">
      <c r="A112" s="2" t="inlineStr">
        <is>
          <t>five</t>
        </is>
      </c>
      <c r="B112" s="2" t="inlineStr">
        <is>
          <t>Five hyperscalers (first-hand)</t>
        </is>
      </c>
      <c r="C112" s="2" t="n">
        <v>2024.75</v>
      </c>
      <c r="D112" s="2">
        <f>C112-C102</f>
        <v/>
      </c>
      <c r="E112" s="5">
        <f>'Hyperscalers first-hand'!K20</f>
        <v/>
      </c>
    </row>
    <row r="113">
      <c r="A113" s="2" t="inlineStr">
        <is>
          <t>five</t>
        </is>
      </c>
      <c r="B113" s="2" t="inlineStr">
        <is>
          <t>Five hyperscalers (first-hand)</t>
        </is>
      </c>
      <c r="C113" s="2" t="n">
        <v>2025</v>
      </c>
      <c r="D113" s="2">
        <f>C113-C102</f>
        <v/>
      </c>
      <c r="E113" s="5">
        <f>'Hyperscalers first-hand'!K21</f>
        <v/>
      </c>
    </row>
    <row r="114">
      <c r="A114" s="2" t="inlineStr">
        <is>
          <t>five</t>
        </is>
      </c>
      <c r="B114" s="2" t="inlineStr">
        <is>
          <t>Five hyperscalers (first-hand)</t>
        </is>
      </c>
      <c r="C114" s="2" t="n">
        <v>2025.25</v>
      </c>
      <c r="D114" s="2">
        <f>C114-C102</f>
        <v/>
      </c>
      <c r="E114" s="5">
        <f>'Hyperscalers first-hand'!K22</f>
        <v/>
      </c>
    </row>
    <row r="115">
      <c r="A115" s="2" t="inlineStr">
        <is>
          <t>five</t>
        </is>
      </c>
      <c r="B115" s="2" t="inlineStr">
        <is>
          <t>Five hyperscalers (first-hand)</t>
        </is>
      </c>
      <c r="C115" s="2" t="n">
        <v>2025.5</v>
      </c>
      <c r="D115" s="2">
        <f>C115-C102</f>
        <v/>
      </c>
      <c r="E115" s="5">
        <f>'Hyperscalers first-hand'!K23</f>
        <v/>
      </c>
    </row>
    <row r="116">
      <c r="A116" s="2" t="inlineStr">
        <is>
          <t>five</t>
        </is>
      </c>
      <c r="B116" s="2" t="inlineStr">
        <is>
          <t>Five hyperscalers (first-hand)</t>
        </is>
      </c>
      <c r="C116" s="2" t="n">
        <v>2025.75</v>
      </c>
      <c r="D116" s="2">
        <f>C116-C102</f>
        <v/>
      </c>
      <c r="E116" s="5">
        <f>'Hyperscalers first-hand'!K24</f>
        <v/>
      </c>
    </row>
    <row r="117">
      <c r="A117" s="2" t="inlineStr">
        <is>
          <t>five</t>
        </is>
      </c>
      <c r="B117" s="2" t="inlineStr">
        <is>
          <t>Five hyperscalers (first-hand)</t>
        </is>
      </c>
      <c r="C117" s="2" t="n">
        <v>2026</v>
      </c>
      <c r="D117" s="2">
        <f>C117-C102</f>
        <v/>
      </c>
      <c r="E117" s="5">
        <f>'Hyperscalers first-hand'!K25</f>
        <v/>
      </c>
    </row>
    <row r="118">
      <c r="A118" s="2" t="inlineStr">
        <is>
          <t>five</t>
        </is>
      </c>
      <c r="B118" s="2" t="inlineStr">
        <is>
          <t>Five hyperscalers (first-hand)</t>
        </is>
      </c>
      <c r="C118" s="2" t="n">
        <v>2026.25</v>
      </c>
      <c r="D118" s="2">
        <f>C118-C102</f>
        <v/>
      </c>
      <c r="E118" s="5">
        <f>'Hyperscalers first-hand'!K26</f>
        <v/>
      </c>
    </row>
    <row r="119">
      <c r="A119" s="2" t="inlineStr">
        <is>
          <t>five</t>
        </is>
      </c>
      <c r="B119" s="2" t="inlineStr">
        <is>
          <t>Five hyperscalers (first-hand)</t>
        </is>
      </c>
      <c r="C119" s="2" t="n">
        <v>2026.5</v>
      </c>
      <c r="D119" s="2">
        <f>C119-C102</f>
        <v/>
      </c>
      <c r="E119" s="5">
        <f>'Hyperscalers first-hand'!K27</f>
        <v/>
      </c>
    </row>
    <row r="120">
      <c r="A120" s="2" t="inlineStr">
        <is>
          <t>seven</t>
        </is>
      </c>
      <c r="B120" s="2" t="inlineStr">
        <is>
          <t>Five + CoreWeave + Nebius + SpaceX AI (first-hand)</t>
        </is>
      </c>
      <c r="C120" s="2" t="n">
        <v>2024</v>
      </c>
      <c r="D120" s="2">
        <f>C120-C102</f>
        <v/>
      </c>
      <c r="E120" s="5">
        <f>'Hyperscalers first-hand'!S17</f>
        <v/>
      </c>
    </row>
    <row r="121">
      <c r="A121" s="2" t="inlineStr">
        <is>
          <t>seven</t>
        </is>
      </c>
      <c r="B121" s="2" t="inlineStr">
        <is>
          <t>Five + CoreWeave + Nebius + SpaceX AI (first-hand)</t>
        </is>
      </c>
      <c r="C121" s="2" t="n">
        <v>2025</v>
      </c>
      <c r="D121" s="2">
        <f>C121-C102</f>
        <v/>
      </c>
      <c r="E121" s="5">
        <f>'Hyperscalers first-hand'!S21</f>
        <v/>
      </c>
    </row>
    <row r="122">
      <c r="A122" s="2" t="inlineStr">
        <is>
          <t>seven</t>
        </is>
      </c>
      <c r="B122" s="2" t="inlineStr">
        <is>
          <t>Five + CoreWeave + Nebius + SpaceX AI (first-hand)</t>
        </is>
      </c>
      <c r="C122" s="2" t="n">
        <v>2026</v>
      </c>
      <c r="D122" s="2">
        <f>C122-C102</f>
        <v/>
      </c>
      <c r="E122" s="5">
        <f>'Hyperscalers first-hand'!S25</f>
        <v/>
      </c>
    </row>
    <row r="123">
      <c r="A123" s="2" t="inlineStr">
        <is>
          <t>seven</t>
        </is>
      </c>
      <c r="B123" s="2" t="inlineStr">
        <is>
          <t>Five + CoreWeave + Nebius + SpaceX AI (first-hand)</t>
        </is>
      </c>
      <c r="C123" s="2" t="n">
        <v>2026.25</v>
      </c>
      <c r="D123" s="2">
        <f>C123-C102</f>
        <v/>
      </c>
      <c r="E123" s="5">
        <f>'Hyperscalers first-hand'!S26</f>
        <v/>
      </c>
    </row>
    <row r="124">
      <c r="A124" s="2" t="inlineStr">
        <is>
          <t>seven</t>
        </is>
      </c>
      <c r="B124" s="2" t="inlineStr">
        <is>
          <t>Five + CoreWeave + Nebius + SpaceX AI (first-hand)</t>
        </is>
      </c>
      <c r="C124" s="2" t="n">
        <v>2026.5</v>
      </c>
      <c r="D124" s="2">
        <f>C124-C102</f>
        <v/>
      </c>
      <c r="E124" s="5">
        <f>'Hyperscalers first-hand'!S27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Source: BofA Institute, 'Can the AI buildout keep building?' (27 Aug 2026), Exhibit 2, page 2 - file 20260827_Can the AI buildout keep building (BofA Institute).pdf.</t>
        </is>
      </c>
    </row>
    <row r="2">
      <c r="A2" s="2" t="inlineStr">
        <is>
          <t>Exhibit source line: BofA Global Research, BEA, and National Bureau of Economic Research.</t>
        </is>
      </c>
    </row>
    <row r="3">
      <c r="A3" s="2" t="inlineStr">
        <is>
          <t>Method: the chart is vector art. Every vertex of the six stroked paths was read with PyMuPDF and converted with the chart's</t>
        </is>
      </c>
    </row>
    <row r="4">
      <c r="A4" s="2" t="inlineStr">
        <is>
          <t>own gridlines (0%/1%/2%/3%) and axis labels, so values are exact to about 0.001pp (bofa-capex-cycles/extract_pdf.py).</t>
        </is>
      </c>
    </row>
    <row r="5">
      <c r="A5" s="2" t="inlineStr">
        <is>
          <t>Post-1970 series sit three quarters before their period end on a quarterly grid: annual year Y fills positions Y-0.5..Y+0.25, and the</t>
        </is>
      </c>
    </row>
    <row r="6">
      <c r="A6" s="2" t="inlineStr">
        <is>
          <t>hyperscaler point at position P is the four quarters ending P+0.75 (labelled 'TTM to ...').</t>
        </is>
      </c>
    </row>
    <row r="7">
      <c r="A7" s="2" t="inlineStr">
        <is>
          <t>First-hand rebuild of every panel: 'First-hand vs PDF' sheet (scripts in bofa-capex-cycles/firsthand/).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2026-10-22T23:03:13Z</dcterms:created>
  <dcterms:modified xmlns:dcterms="http://purl.org/dc/terms/" xmlns:xsi="http://www.w3.org/2001/XMLSchema-instance" xsi:type="dcterms:W3CDTF">2026-10-22T23:03:13Z</dcterms:modified>
</cp:coreProperties>
</file>