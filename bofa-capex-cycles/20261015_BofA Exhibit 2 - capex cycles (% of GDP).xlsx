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rst-hand vs PDF" sheetId="2" state="visible" r:id="rId2"/>
    <sheet xmlns:r="http://schemas.openxmlformats.org/officeDocument/2006/relationships" name="First-hand detail" sheetId="3" state="visible" r:id="rId3"/>
    <sheet xmlns:r="http://schemas.openxmlformats.org/officeDocument/2006/relationships" name="Chart points" sheetId="4" state="visible" r:id="rId4"/>
    <sheet xmlns:r="http://schemas.openxmlformats.org/officeDocument/2006/relationships" name="Annual" sheetId="5" state="visible" r:id="rId5"/>
    <sheet xmlns:r="http://schemas.openxmlformats.org/officeDocument/2006/relationships" name="Hyperscalers" sheetId="6" state="visible" r:id="rId6"/>
    <sheet xmlns:r="http://schemas.openxmlformats.org/officeDocument/2006/relationships" name="Hyperscalers first-hand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×&quot;"/>
    <numFmt numFmtId="165" formatCode="0.0"/>
    <numFmt numFmtId="166" formatCode="0.000"/>
    <numFmt numFmtId="167" formatCode="+0.000;-0.000;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167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Exhibit 2 replica, 1970-2025 (sector capex as % of US GDP)</a:t>
            </a:r>
          </a:p>
        </rich>
      </tx>
    </title>
    <plotArea>
      <scatterChart>
        <ser>
          <idx val="0"/>
          <order val="0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points'!$C$24:$C$80</f>
            </numRef>
          </xVal>
          <yVal>
            <numRef>
              <f>'Chart points'!$E$24:$E$80</f>
            </numRef>
          </yVal>
          <smooth val="0"/>
        </ser>
        <ser>
          <idx val="1"/>
          <order val="1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points'!$C$81:$C$111</f>
            </numRef>
          </xVal>
          <yVal>
            <numRef>
              <f>'Chart points'!$E$81:$E$111</f>
            </numRef>
          </yVal>
          <smooth val="0"/>
        </ser>
        <ser>
          <idx val="2"/>
          <order val="2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points'!$C$112:$C$168</f>
            </numRef>
          </xVal>
          <yVal>
            <numRef>
              <f>'Chart points'!$E$112:$E$168</f>
            </numRef>
          </yVal>
          <smooth val="0"/>
        </ser>
        <ser>
          <idx val="3"/>
          <order val="3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points'!$C$169:$C$185</f>
            </numRef>
          </xVal>
          <yVal>
            <numRef>
              <f>'Chart points'!$E$169:$E$185</f>
            </numRef>
          </yVal>
          <smooth val="0"/>
        </ser>
        <ser>
          <idx val="4"/>
          <order val="4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points'!$C$186:$C$202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026"/>
          <min val="197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numFmt formatCode="0" sourceLinked="0"/>
        <majorTickMark val="none"/>
        <minorTickMark val="none"/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US GDP</a:t>
                </a:r>
              </a:p>
            </rich>
          </tx>
        </title>
        <numFmt formatCode="0.0&quot;%&quot;" sourceLinked="0"/>
        <majorTickMark val="none"/>
        <minorTickMark val="none"/>
        <crossAx val="10"/>
        <majorUnit val="0.5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 railroads, 1899-1920</a:t>
            </a:r>
          </a:p>
        </rich>
      </tx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points'!$C$2:$C$23</f>
            </numRef>
          </xVal>
          <yVal>
            <numRef>
              <f>'Chart points'!$E$2:$E$23</f>
            </numRef>
          </yVal>
          <smooth val="0"/>
        </ser>
        <axId val="10"/>
        <axId val="20"/>
      </scatterChart>
      <valAx>
        <axId val="10"/>
        <scaling>
          <orientation val="minMax"/>
          <max val="1920"/>
          <min val="1899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numFmt formatCode="0" sourceLinked="0"/>
        <majorTickMark val="none"/>
        <minorTickMark val="none"/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US GDP</a:t>
                </a:r>
              </a:p>
            </rich>
          </tx>
        </title>
        <numFmt formatCode="0.0&quot;%&quot;" sourceLinked="0"/>
        <majorTickMark val="none"/>
        <minorTickMark val="none"/>
        <crossAx val="10"/>
        <majorUnit val="0.5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six cycles aligned on their start</a:t>
            </a:r>
          </a:p>
        </rich>
      </tx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points'!$G$2:$G$23</f>
            </numRef>
          </xVal>
          <yVal>
            <numRef>
              <f>'Chart points'!$E$2:$E$23</f>
            </numRef>
          </yVal>
          <smooth val="0"/>
        </ser>
        <ser>
          <idx val="1"/>
          <order val="1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points'!$G$24:$G$80</f>
            </numRef>
          </xVal>
          <yVal>
            <numRef>
              <f>'Chart points'!$E$24:$E$80</f>
            </numRef>
          </yVal>
          <smooth val="0"/>
        </ser>
        <ser>
          <idx val="2"/>
          <order val="2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points'!$G$81:$G$111</f>
            </numRef>
          </xVal>
          <yVal>
            <numRef>
              <f>'Chart points'!$E$81:$E$111</f>
            </numRef>
          </yVal>
          <smooth val="0"/>
        </ser>
        <ser>
          <idx val="3"/>
          <order val="3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points'!$G$112:$G$168</f>
            </numRef>
          </xVal>
          <yVal>
            <numRef>
              <f>'Chart points'!$E$112:$E$168</f>
            </numRef>
          </yVal>
          <smooth val="0"/>
        </ser>
        <ser>
          <idx val="4"/>
          <order val="4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points'!$G$169:$G$185</f>
            </numRef>
          </xVal>
          <yVal>
            <numRef>
              <f>'Chart points'!$E$169:$E$185</f>
            </numRef>
          </yVal>
          <smooth val="0"/>
        </ser>
        <ser>
          <idx val="5"/>
          <order val="5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points'!$G$186:$G$202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2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Years since the series starts</a:t>
                </a:r>
              </a:p>
            </rich>
          </tx>
        </title>
        <numFmt formatCode="0" sourceLinked="0"/>
        <majorTickMark val="none"/>
        <minorTickMark val="none"/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US GDP</a:t>
                </a:r>
              </a:p>
            </rich>
          </tx>
        </title>
        <numFmt formatCode="0.0&quot;%&quot;" sourceLinked="0"/>
        <majorTickMark val="none"/>
        <minorTickMark val="none"/>
        <crossAx val="10"/>
        <majorUnit val="0.5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43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34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rstHand" displayName="FirstHand" ref="A1:G79" headerRowCount="1">
  <autoFilter ref="A1:G79"/>
  <tableColumns count="7">
    <tableColumn id="1" name="Series"/>
    <tableColumn id="2" name="Period"/>
    <tableColumn id="3" name="PDF vector (% GDP)"/>
    <tableColumn id="4" name="First-hand (% GDP)"/>
    <tableColumn id="5" name="Difference (pp)"/>
    <tableColumn id="6" name="First-hand source"/>
    <tableColumn id="7" name="|Difference|"/>
  </tableColumns>
  <tableStyleInfo name="TableStyleLight9" showRowStripes="1"/>
</table>
</file>

<file path=xl/tables/table2.xml><?xml version="1.0" encoding="utf-8"?>
<table xmlns="http://schemas.openxmlformats.org/spreadsheetml/2006/main" id="2" name="ChartPoints" displayName="ChartPoints" ref="A1:G202" headerRowCount="1">
  <autoFilter ref="A1:G202"/>
  <tableColumns count="7">
    <tableColumn id="1" name="Series"/>
    <tableColumn id="2" name="Label"/>
    <tableColumn id="3" name="Chart position (year)"/>
    <tableColumn id="4" name="Years since cycle start"/>
    <tableColumn id="5" name="% of US GDP"/>
    <tableColumn id="6" name="Year (annual series)"/>
    <tableColumn id="7" name="Years since start (value)"/>
  </tableColumns>
  <tableStyleInfo name="TableStyleLight9" showRowStripes="1"/>
</table>
</file>

<file path=xl/tables/table3.xml><?xml version="1.0" encoding="utf-8"?>
<table xmlns="http://schemas.openxmlformats.org/spreadsheetml/2006/main" id="3" name="Annual" displayName="Annual" ref="A1:E60" headerRowCount="1">
  <autoFilter ref="A1:E60"/>
  <tableColumns count="5">
    <tableColumn id="1" name="Year"/>
    <tableColumn id="2" name="US railroads (1900 onwards)"/>
    <tableColumn id="3" name="O&amp;G (1970-80s)"/>
    <tableColumn id="4" name="Telecoms (1990s)"/>
    <tableColumn id="5" name="O&amp;G (Shale)"/>
  </tableColumns>
  <tableStyleInfo name="TableStyleLight9" showRowStripes="1"/>
</table>
</file>

<file path=xl/tables/table4.xml><?xml version="1.0" encoding="utf-8"?>
<table xmlns="http://schemas.openxmlformats.org/spreadsheetml/2006/main" id="4" name="Hyperscalers" displayName="Hyperscalers" ref="A1:E18" headerRowCount="1">
  <autoFilter ref="A1:E18"/>
  <tableColumns count="5">
    <tableColumn id="1" name="Trailing 4 quarters to"/>
    <tableColumn id="2" name="Position (year)"/>
    <tableColumn id="3" name="Hyperscalers"/>
    <tableColumn id="4" name="Hyperscalers (lease adjusted)"/>
    <tableColumn id="5" name="Lease adjustment (pp)"/>
  </tableColumns>
  <tableStyleInfo name="TableStyleLight9" showRowStripes="1"/>
</table>
</file>

<file path=xl/tables/table5.xml><?xml version="1.0" encoding="utf-8"?>
<table xmlns="http://schemas.openxmlformats.org/spreadsheetml/2006/main" id="5" name="HyperFirstHand" displayName="HyperFirstHand" ref="A1:I24" headerRowCount="1">
  <autoFilter ref="A1:I24"/>
  <tableColumns count="9">
    <tableColumn id="1" name="TTM to"/>
    <tableColumn id="2" name="MSFT"/>
    <tableColumn id="3" name="GOOGL"/>
    <tableColumn id="4" name="AMZN"/>
    <tableColumn id="5" name="META"/>
    <tableColumn id="6" name="ORCL"/>
    <tableColumn id="7" name="Capex, 5 names ($bn)"/>
    <tableColumn id="8" name="BEA GDP, TTM ($bn)"/>
    <tableColumn id="9" name="% of US GDP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9" customWidth="1" min="5" max="5"/>
    <col width="14" customWidth="1" min="6" max="6"/>
    <col width="10" customWidth="1" min="7" max="7"/>
    <col width="11" customWidth="1" min="8" max="8"/>
    <col width="14" customWidth="1" min="9" max="9"/>
    <col width="13" customWidth="1" min="10" max="10"/>
  </cols>
  <sheetData>
    <row r="1">
      <c r="A1" s="1" t="inlineStr">
        <is>
          <t>BofA Exhibit 2: Hyperscaler capex is late cycle, measured at a macro level</t>
        </is>
      </c>
    </row>
    <row r="2">
      <c r="A2" t="inlineStr">
        <is>
          <t>Sector capex as % of US GDP through each cycle's speculative build phase. Values read exactly from the PDF's vector chart.</t>
        </is>
      </c>
    </row>
    <row r="4">
      <c r="A4" s="2" t="inlineStr">
        <is>
          <t>Cycle</t>
        </is>
      </c>
      <c r="B4" s="2" t="inlineStr">
        <is>
          <t>Start</t>
        </is>
      </c>
      <c r="C4" s="2" t="inlineStr">
        <is>
          <t>End</t>
        </is>
      </c>
      <c r="D4" s="2" t="inlineStr">
        <is>
          <t>Start value</t>
        </is>
      </c>
      <c r="E4" s="2" t="inlineStr">
        <is>
          <t>Peak</t>
        </is>
      </c>
      <c r="F4" s="2" t="inlineStr">
        <is>
          <t>Peak year / quarter</t>
        </is>
      </c>
      <c r="G4" s="2" t="inlineStr">
        <is>
          <t>Last value</t>
        </is>
      </c>
      <c r="H4" s="2" t="inlineStr">
        <is>
          <t>Peak ÷ start</t>
        </is>
      </c>
      <c r="I4" s="2" t="inlineStr">
        <is>
          <t>Fall from peak to last</t>
        </is>
      </c>
      <c r="J4" s="2" t="inlineStr">
        <is>
          <t>Years start → peak</t>
        </is>
      </c>
    </row>
    <row r="5">
      <c r="A5" t="inlineStr">
        <is>
          <t>US railroads (1900 onwards)</t>
        </is>
      </c>
      <c r="B5">
        <f>_xlfn.MINIFS(Annual!A2:A60,Annual!B2:B60,"&lt;&gt;")</f>
        <v/>
      </c>
      <c r="C5">
        <f>_xlfn.MAXIFS(Annual!A2:A60,Annual!B2:B60,"&lt;&gt;")</f>
        <v/>
      </c>
      <c r="D5" s="3">
        <f>INDEX(Annual!B2:B60,MATCH(B5,Annual!A2:A60,0))</f>
        <v/>
      </c>
      <c r="E5" s="3">
        <f>MAX(Annual!B2:B60)</f>
        <v/>
      </c>
      <c r="F5">
        <f>INDEX(Annual!A2:A60,MATCH(E5,Annual!B2:B60,0))</f>
        <v/>
      </c>
      <c r="G5" s="3">
        <f>INDEX(Annual!B2:B60,MATCH(C5,Annual!A2:A60,0))</f>
        <v/>
      </c>
      <c r="H5" s="4">
        <f>E5/D5</f>
        <v/>
      </c>
      <c r="I5" s="5">
        <f>G5/E5-1</f>
        <v/>
      </c>
      <c r="J5" s="6">
        <f>F5-B5</f>
        <v/>
      </c>
    </row>
    <row r="6">
      <c r="A6" t="inlineStr">
        <is>
          <t>O&amp;G (1970-80s)</t>
        </is>
      </c>
      <c r="B6">
        <f>_xlfn.MINIFS(Annual!A2:A60,Annual!C2:C60,"&lt;&gt;")</f>
        <v/>
      </c>
      <c r="C6">
        <f>_xlfn.MAXIFS(Annual!A2:A60,Annual!C2:C60,"&lt;&gt;")</f>
        <v/>
      </c>
      <c r="D6" s="3">
        <f>INDEX(Annual!C2:C60,MATCH(B6,Annual!A2:A60,0))</f>
        <v/>
      </c>
      <c r="E6" s="3">
        <f>MAX(Annual!C2:C60)</f>
        <v/>
      </c>
      <c r="F6">
        <f>INDEX(Annual!A2:A60,MATCH(E6,Annual!C2:C60,0))</f>
        <v/>
      </c>
      <c r="G6" s="3">
        <f>INDEX(Annual!C2:C60,MATCH(C6,Annual!A2:A60,0))</f>
        <v/>
      </c>
      <c r="H6" s="4">
        <f>E6/D6</f>
        <v/>
      </c>
      <c r="I6" s="5">
        <f>G6/E6-1</f>
        <v/>
      </c>
      <c r="J6" s="6">
        <f>F6-B6</f>
        <v/>
      </c>
    </row>
    <row r="7">
      <c r="A7" t="inlineStr">
        <is>
          <t>Telecoms (1990s)</t>
        </is>
      </c>
      <c r="B7">
        <f>_xlfn.MINIFS(Annual!A2:A60,Annual!D2:D60,"&lt;&gt;")</f>
        <v/>
      </c>
      <c r="C7">
        <f>_xlfn.MAXIFS(Annual!A2:A60,Annual!D2:D60,"&lt;&gt;")</f>
        <v/>
      </c>
      <c r="D7" s="3">
        <f>INDEX(Annual!D2:D60,MATCH(B7,Annual!A2:A60,0))</f>
        <v/>
      </c>
      <c r="E7" s="3">
        <f>MAX(Annual!D2:D60)</f>
        <v/>
      </c>
      <c r="F7">
        <f>INDEX(Annual!A2:A60,MATCH(E7,Annual!D2:D60,0))</f>
        <v/>
      </c>
      <c r="G7" s="3">
        <f>INDEX(Annual!D2:D60,MATCH(C7,Annual!A2:A60,0))</f>
        <v/>
      </c>
      <c r="H7" s="4">
        <f>E7/D7</f>
        <v/>
      </c>
      <c r="I7" s="5">
        <f>G7/E7-1</f>
        <v/>
      </c>
      <c r="J7" s="6">
        <f>F7-B7</f>
        <v/>
      </c>
    </row>
    <row r="8">
      <c r="A8" t="inlineStr">
        <is>
          <t>O&amp;G (Shale)</t>
        </is>
      </c>
      <c r="B8">
        <f>_xlfn.MINIFS(Annual!A2:A60,Annual!E2:E60,"&lt;&gt;")</f>
        <v/>
      </c>
      <c r="C8">
        <f>_xlfn.MAXIFS(Annual!A2:A60,Annual!E2:E60,"&lt;&gt;")</f>
        <v/>
      </c>
      <c r="D8" s="3">
        <f>INDEX(Annual!E2:E60,MATCH(B8,Annual!A2:A60,0))</f>
        <v/>
      </c>
      <c r="E8" s="3">
        <f>MAX(Annual!E2:E60)</f>
        <v/>
      </c>
      <c r="F8">
        <f>INDEX(Annual!A2:A60,MATCH(E8,Annual!E2:E60,0))</f>
        <v/>
      </c>
      <c r="G8" s="3">
        <f>INDEX(Annual!E2:E60,MATCH(C8,Annual!A2:A60,0))</f>
        <v/>
      </c>
      <c r="H8" s="4">
        <f>E8/D8</f>
        <v/>
      </c>
      <c r="I8" s="5">
        <f>G8/E8-1</f>
        <v/>
      </c>
      <c r="J8" s="6">
        <f>F8-B8</f>
        <v/>
      </c>
    </row>
    <row r="9">
      <c r="A9" t="inlineStr">
        <is>
          <t>Hyperscalers</t>
        </is>
      </c>
      <c r="B9">
        <f>MIN(Hyperscalers!B2:B18)</f>
        <v/>
      </c>
      <c r="C9">
        <f>MAX(Hyperscalers!B2:B18)</f>
        <v/>
      </c>
      <c r="D9" s="3">
        <f>INDEX(Hyperscalers!C2:C18,1)</f>
        <v/>
      </c>
      <c r="E9" s="3">
        <f>MAX(Hyperscalers!C2:C18)</f>
        <v/>
      </c>
      <c r="F9">
        <f>INDEX(Hyperscalers!A2:A18,MATCH(E9,Hyperscalers!C2:C18,0))</f>
        <v/>
      </c>
      <c r="G9" s="3">
        <f>INDEX(Hyperscalers!C2:C18,ROWS(Hyperscalers!C2:C18))</f>
        <v/>
      </c>
      <c r="H9" s="4">
        <f>E9/D9</f>
        <v/>
      </c>
      <c r="I9" s="5">
        <f>G9/E9-1</f>
        <v/>
      </c>
      <c r="J9" s="6">
        <f>INDEX(Hyperscalers!B2:B18,MATCH(E9,Hyperscalers!C2:C18,0))-B9</f>
        <v/>
      </c>
    </row>
    <row r="10">
      <c r="A10" t="inlineStr">
        <is>
          <t>Hyperscalers (lease adjusted)</t>
        </is>
      </c>
      <c r="B10">
        <f>MIN(Hyperscalers!B2:B18)</f>
        <v/>
      </c>
      <c r="C10">
        <f>MAX(Hyperscalers!B2:B18)</f>
        <v/>
      </c>
      <c r="D10" s="3">
        <f>INDEX(Hyperscalers!D2:D18,1)</f>
        <v/>
      </c>
      <c r="E10" s="3">
        <f>MAX(Hyperscalers!D2:D18)</f>
        <v/>
      </c>
      <c r="F10">
        <f>INDEX(Hyperscalers!A2:A18,MATCH(E10,Hyperscalers!D2:D18,0))</f>
        <v/>
      </c>
      <c r="G10" s="3">
        <f>INDEX(Hyperscalers!D2:D18,ROWS(Hyperscalers!D2:D18))</f>
        <v/>
      </c>
      <c r="H10" s="4">
        <f>E10/D10</f>
        <v/>
      </c>
      <c r="I10" s="5">
        <f>G10/E10-1</f>
        <v/>
      </c>
      <c r="J10" s="6">
        <f>INDEX(Hyperscalers!B2:B18,MATCH(E10,Hyperscalers!D2:D18,0))-B10</f>
        <v/>
      </c>
    </row>
    <row r="12">
      <c r="A12" s="7" t="inlineStr">
        <is>
          <t>Hyperscaler start/end are quarterly chart positions (2021.5 = mid-2021). Annual series: each year's value is drawn from mid-year Y-1 to Q1 of Y; the year column uses Y.</t>
        </is>
      </c>
    </row>
    <row r="13"/>
  </sheetData>
  <mergeCells count="1">
    <mergeCell ref="A12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8" customWidth="1" min="3" max="3"/>
    <col width="13" customWidth="1" min="4" max="4"/>
    <col width="13" customWidth="1" min="5" max="5"/>
    <col width="22" customWidth="1" min="6" max="6"/>
  </cols>
  <sheetData>
    <row r="1">
      <c r="A1" s="8" t="inlineStr">
        <is>
          <t>Every panel rebuilt from the first-hand sources behind the footnote, compared with the PDF vector values</t>
        </is>
      </c>
    </row>
    <row r="3">
      <c r="A3" s="2" t="inlineStr">
        <is>
          <t>Panel</t>
        </is>
      </c>
      <c r="B3" s="2" t="inlineStr">
        <is>
          <t>First-hand definition</t>
        </is>
      </c>
      <c r="C3" s="2" t="inlineStr">
        <is>
          <t>Points</t>
        </is>
      </c>
      <c r="D3" s="2" t="inlineStr">
        <is>
          <t>Max |diff| (pp)</t>
        </is>
      </c>
      <c r="E3" s="2" t="inlineStr">
        <is>
          <t>Mean |diff| (pp)</t>
        </is>
      </c>
      <c r="F3" s="2" t="inlineStr">
        <is>
          <t>Verdict</t>
        </is>
      </c>
    </row>
    <row r="4">
      <c r="A4" t="inlineStr">
        <is>
          <t>Railroads</t>
        </is>
      </c>
      <c r="B4" t="inlineStr">
        <is>
          <t>NBER: Ulmer (1960) Table C-1 col.4 / Kuznets &amp; Jenks (1961) R-22 col.1, R-2 col.7 (1929 prices)</t>
        </is>
      </c>
      <c r="C4" t="n">
        <v>22</v>
      </c>
      <c r="D4" s="9">
        <f>_xlfn.MAXIFS('First-hand detail'!$G$2:$G$79,'First-hand detail'!$A$2:$A$79,"rail")</f>
        <v/>
      </c>
      <c r="E4" s="9">
        <f>AVERAGEIFS('First-hand detail'!$G$2:$G$79,'First-hand detail'!$A$2:$A$79,"rail")</f>
        <v/>
      </c>
      <c r="F4" t="inlineStr">
        <is>
          <t>Exact</t>
        </is>
      </c>
    </row>
    <row r="5">
      <c r="A5" t="inlineStr">
        <is>
          <t>O&amp;G 1970s-80s</t>
        </is>
      </c>
      <c r="B5" t="inlineStr">
        <is>
          <t>BEA Fixed Assets: investment by industry 2110+2130+4860, all assets / GDP</t>
        </is>
      </c>
      <c r="C5" t="n">
        <v>15</v>
      </c>
      <c r="D5" s="9">
        <f>_xlfn.MAXIFS('First-hand detail'!$G$2:$G$79,'First-hand detail'!$A$2:$A$79,"og70s")</f>
        <v/>
      </c>
      <c r="E5" s="9">
        <f>AVERAGEIFS('First-hand detail'!$G$2:$G$79,'First-hand detail'!$A$2:$A$79,"og70s")</f>
        <v/>
      </c>
      <c r="F5" t="inlineStr">
        <is>
          <t>Exact</t>
        </is>
      </c>
    </row>
    <row r="6">
      <c r="A6" t="inlineStr">
        <is>
          <t>O&amp;G shale</t>
        </is>
      </c>
      <c r="B6" t="inlineStr">
        <is>
          <t>BEA Fixed Assets: investment by industry 2110+2130+4860, all assets / GDP</t>
        </is>
      </c>
      <c r="C6" t="n">
        <v>15</v>
      </c>
      <c r="D6" s="9">
        <f>_xlfn.MAXIFS('First-hand detail'!$G$2:$G$79,'First-hand detail'!$A$2:$A$79,"shale")</f>
        <v/>
      </c>
      <c r="E6" s="9">
        <f>AVERAGEIFS('First-hand detail'!$G$2:$G$79,'First-hand detail'!$A$2:$A$79,"shale")</f>
        <v/>
      </c>
      <c r="F6" t="inlineStr">
        <is>
          <t>Exact</t>
        </is>
      </c>
    </row>
    <row r="7">
      <c r="A7" t="inlineStr">
        <is>
          <t>Telecoms</t>
        </is>
      </c>
      <c r="B7" t="inlineStr">
        <is>
          <t>BEA Fixed Assets: investment by industry 5130, all assets / GDP</t>
        </is>
      </c>
      <c r="C7" t="n">
        <v>9</v>
      </c>
      <c r="D7" s="9">
        <f>_xlfn.MAXIFS('First-hand detail'!$G$2:$G$79,'First-hand detail'!$A$2:$A$79,"telecom")</f>
        <v/>
      </c>
      <c r="E7" s="9">
        <f>AVERAGEIFS('First-hand detail'!$G$2:$G$79,'First-hand detail'!$A$2:$A$79,"telecom")</f>
        <v/>
      </c>
      <c r="F7" t="inlineStr">
        <is>
          <t>Exact</t>
        </is>
      </c>
    </row>
    <row r="8">
      <c r="A8" t="inlineStr">
        <is>
          <t>Hyperscalers</t>
        </is>
      </c>
      <c r="B8" t="inlineStr">
        <is>
          <t>SEC XBRL capex MSFT+GOOGL+AMZN+META+ORCL, TTM / BEA GDP TTM</t>
        </is>
      </c>
      <c r="C8" t="n">
        <v>17</v>
      </c>
      <c r="D8" s="9">
        <f>_xlfn.MAXIFS('First-hand detail'!$G$2:$G$79,'First-hand detail'!$A$2:$A$79,"hyper")</f>
        <v/>
      </c>
      <c r="E8" s="9">
        <f>AVERAGEIFS('First-hand detail'!$G$2:$G$79,'First-hand detail'!$A$2:$A$79,"hyper")</f>
        <v/>
      </c>
      <c r="F8" t="inlineStr">
        <is>
          <t>Matches (RMSE 0.019pp)</t>
        </is>
      </c>
    </row>
    <row r="9" ht="45" customHeight="1">
      <c r="A9" s="10" t="inlineStr">
        <is>
          <t>Hyperscalers (lease adjusted)</t>
        </is>
      </c>
      <c r="B9" s="10" t="inlineStr">
        <is>
          <t>Not reproducible from filings: the gap to reported capex is 1-2.5x the finance-lease additions companies tag; finance + principal repayments or operating-lease additions do not fit either. Treat it as BofA's own estimate.</t>
        </is>
      </c>
      <c r="C9" s="10" t="n"/>
      <c r="D9" s="10" t="n"/>
      <c r="E9" s="10" t="n"/>
      <c r="F9" s="10" t="inlineStr">
        <is>
          <t>Not reproducible</t>
        </is>
      </c>
    </row>
    <row r="11">
      <c r="A11" t="inlineStr">
        <is>
          <t>Dating convention found in the process: BofA plots every post-1970 point three quarters EARLY. A point drawn at position P</t>
        </is>
      </c>
    </row>
    <row r="12">
      <c r="A12" t="inlineStr">
        <is>
          <t>is the four quarters ending at P+0.75: the hyperscaler point drawn at mid-2021 is TTM to 2022Q1, the last one (mid-2025)</t>
        </is>
      </c>
    </row>
    <row r="13">
      <c r="A13" t="inlineStr">
        <is>
          <t>is TTM to 2026Q1. Annual year Y is drawn from Y-0.5 to Y+0.25 for the same reason.</t>
        </is>
      </c>
    </row>
    <row r="14">
      <c r="A14" t="inlineStr">
        <is>
          <t>O&amp;G is broader than drilling: BEA investment by the oil &amp; gas extraction, support-activities-for-mining and pipeline</t>
        </is>
      </c>
    </row>
    <row r="15">
      <c r="A15" t="inlineStr">
        <is>
          <t>industries, all asset types including intellectual property products. Telecoms is the broadcasting &amp; telecoms industry, all assets.</t>
        </is>
      </c>
    </row>
    <row r="16">
      <c r="A16" t="inlineStr">
        <is>
          <t>BEA vintage used here: Fixed Assets detailed investment updated 30 Sep 2026 and current NIPA GDP; identical to BofA's for these years.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3" customWidth="1" min="5" max="5"/>
    <col width="90" customWidth="1" min="6" max="6"/>
    <col width="11" customWidth="1" min="7" max="7"/>
  </cols>
  <sheetData>
    <row r="1">
      <c r="A1" s="2" t="inlineStr">
        <is>
          <t>Series</t>
        </is>
      </c>
      <c r="B1" s="2" t="inlineStr">
        <is>
          <t>Period</t>
        </is>
      </c>
      <c r="C1" s="2" t="inlineStr">
        <is>
          <t>PDF vector (% GDP)</t>
        </is>
      </c>
      <c r="D1" s="2" t="inlineStr">
        <is>
          <t>First-hand (% GDP)</t>
        </is>
      </c>
      <c r="E1" s="2" t="inlineStr">
        <is>
          <t>Difference (pp)</t>
        </is>
      </c>
      <c r="F1" s="2" t="inlineStr">
        <is>
          <t>First-hand source</t>
        </is>
      </c>
      <c r="G1" s="2" t="inlineStr">
        <is>
          <t>|Difference|</t>
        </is>
      </c>
    </row>
    <row r="2">
      <c r="A2" t="inlineStr">
        <is>
          <t>rail</t>
        </is>
      </c>
      <c r="B2" t="inlineStr">
        <is>
          <t>1899</t>
        </is>
      </c>
      <c r="C2" s="9" t="n">
        <v>1.169</v>
      </c>
      <c r="D2" s="9" t="n">
        <v>1.171</v>
      </c>
      <c r="E2" s="11">
        <f>C2-D2</f>
        <v/>
      </c>
      <c r="F2" t="inlineStr">
        <is>
          <t>NBER: Ulmer (1960) Table C-1 col.4 / Kuznets &amp; Jenks (1961) R-22 col.1, R-2 col.7 (1929 prices)</t>
        </is>
      </c>
      <c r="G2" s="9">
        <f>ABS(E2)</f>
        <v/>
      </c>
    </row>
    <row r="3">
      <c r="A3" t="inlineStr">
        <is>
          <t>rail</t>
        </is>
      </c>
      <c r="B3" t="inlineStr">
        <is>
          <t>1900</t>
        </is>
      </c>
      <c r="C3" s="9" t="n">
        <v>1.247</v>
      </c>
      <c r="D3" s="9" t="n">
        <v>1.249</v>
      </c>
      <c r="E3" s="11">
        <f>C3-D3</f>
        <v/>
      </c>
      <c r="F3" t="inlineStr">
        <is>
          <t>NBER: Ulmer (1960) Table C-1 col.4 / Kuznets &amp; Jenks (1961) R-22 col.1, R-2 col.7 (1929 prices)</t>
        </is>
      </c>
      <c r="G3" s="9">
        <f>ABS(E3)</f>
        <v/>
      </c>
    </row>
    <row r="4">
      <c r="A4" t="inlineStr">
        <is>
          <t>rail</t>
        </is>
      </c>
      <c r="B4" t="inlineStr">
        <is>
          <t>1901</t>
        </is>
      </c>
      <c r="C4" s="9" t="n">
        <v>1.047</v>
      </c>
      <c r="D4" s="9" t="n">
        <v>1.048</v>
      </c>
      <c r="E4" s="11">
        <f>C4-D4</f>
        <v/>
      </c>
      <c r="F4" t="inlineStr">
        <is>
          <t>NBER: Ulmer (1960) Table C-1 col.4 / Kuznets &amp; Jenks (1961) R-22 col.1, R-2 col.7 (1929 prices)</t>
        </is>
      </c>
      <c r="G4" s="9">
        <f>ABS(E4)</f>
        <v/>
      </c>
    </row>
    <row r="5">
      <c r="A5" t="inlineStr">
        <is>
          <t>rail</t>
        </is>
      </c>
      <c r="B5" t="inlineStr">
        <is>
          <t>1902</t>
        </is>
      </c>
      <c r="C5" s="9" t="n">
        <v>1.068</v>
      </c>
      <c r="D5" s="9" t="n">
        <v>1.07</v>
      </c>
      <c r="E5" s="11">
        <f>C5-D5</f>
        <v/>
      </c>
      <c r="F5" t="inlineStr">
        <is>
          <t>NBER: Ulmer (1960) Table C-1 col.4 / Kuznets &amp; Jenks (1961) R-22 col.1, R-2 col.7 (1929 prices)</t>
        </is>
      </c>
      <c r="G5" s="9">
        <f>ABS(E5)</f>
        <v/>
      </c>
    </row>
    <row r="6">
      <c r="A6" t="inlineStr">
        <is>
          <t>rail</t>
        </is>
      </c>
      <c r="B6" t="inlineStr">
        <is>
          <t>1903</t>
        </is>
      </c>
      <c r="C6" s="9" t="n">
        <v>1.068</v>
      </c>
      <c r="D6" s="9" t="n">
        <v>1.069</v>
      </c>
      <c r="E6" s="11">
        <f>C6-D6</f>
        <v/>
      </c>
      <c r="F6" t="inlineStr">
        <is>
          <t>NBER: Ulmer (1960) Table C-1 col.4 / Kuznets &amp; Jenks (1961) R-22 col.1, R-2 col.7 (1929 prices)</t>
        </is>
      </c>
      <c r="G6" s="9">
        <f>ABS(E6)</f>
        <v/>
      </c>
    </row>
    <row r="7">
      <c r="A7" t="inlineStr">
        <is>
          <t>rail</t>
        </is>
      </c>
      <c r="B7" t="inlineStr">
        <is>
          <t>1904</t>
        </is>
      </c>
      <c r="C7" s="9" t="n">
        <v>1.252</v>
      </c>
      <c r="D7" s="9" t="n">
        <v>1.254</v>
      </c>
      <c r="E7" s="11">
        <f>C7-D7</f>
        <v/>
      </c>
      <c r="F7" t="inlineStr">
        <is>
          <t>NBER: Ulmer (1960) Table C-1 col.4 / Kuznets &amp; Jenks (1961) R-22 col.1, R-2 col.7 (1929 prices)</t>
        </is>
      </c>
      <c r="G7" s="9">
        <f>ABS(E7)</f>
        <v/>
      </c>
    </row>
    <row r="8">
      <c r="A8" t="inlineStr">
        <is>
          <t>rail</t>
        </is>
      </c>
      <c r="B8" t="inlineStr">
        <is>
          <t>1905</t>
        </is>
      </c>
      <c r="C8" s="9" t="n">
        <v>1.49</v>
      </c>
      <c r="D8" s="9" t="n">
        <v>1.491</v>
      </c>
      <c r="E8" s="11">
        <f>C8-D8</f>
        <v/>
      </c>
      <c r="F8" t="inlineStr">
        <is>
          <t>NBER: Ulmer (1960) Table C-1 col.4 / Kuznets &amp; Jenks (1961) R-22 col.1, R-2 col.7 (1929 prices)</t>
        </is>
      </c>
      <c r="G8" s="9">
        <f>ABS(E8)</f>
        <v/>
      </c>
    </row>
    <row r="9">
      <c r="A9" t="inlineStr">
        <is>
          <t>rail</t>
        </is>
      </c>
      <c r="B9" t="inlineStr">
        <is>
          <t>1906</t>
        </is>
      </c>
      <c r="C9" s="9" t="n">
        <v>1.798</v>
      </c>
      <c r="D9" s="9" t="n">
        <v>1.798</v>
      </c>
      <c r="E9" s="11">
        <f>C9-D9</f>
        <v/>
      </c>
      <c r="F9" t="inlineStr">
        <is>
          <t>NBER: Ulmer (1960) Table C-1 col.4 / Kuznets &amp; Jenks (1961) R-22 col.1, R-2 col.7 (1929 prices)</t>
        </is>
      </c>
      <c r="G9" s="9">
        <f>ABS(E9)</f>
        <v/>
      </c>
    </row>
    <row r="10">
      <c r="A10" t="inlineStr">
        <is>
          <t>rail</t>
        </is>
      </c>
      <c r="B10" t="inlineStr">
        <is>
          <t>1907</t>
        </is>
      </c>
      <c r="C10" s="9" t="n">
        <v>2.026</v>
      </c>
      <c r="D10" s="9" t="n">
        <v>2.026</v>
      </c>
      <c r="E10" s="11">
        <f>C10-D10</f>
        <v/>
      </c>
      <c r="F10" t="inlineStr">
        <is>
          <t>NBER: Ulmer (1960) Table C-1 col.4 / Kuznets &amp; Jenks (1961) R-22 col.1, R-2 col.7 (1929 prices)</t>
        </is>
      </c>
      <c r="G10" s="9">
        <f>ABS(E10)</f>
        <v/>
      </c>
    </row>
    <row r="11">
      <c r="A11" t="inlineStr">
        <is>
          <t>rail</t>
        </is>
      </c>
      <c r="B11" t="inlineStr">
        <is>
          <t>1908</t>
        </is>
      </c>
      <c r="C11" s="9" t="n">
        <v>2.221</v>
      </c>
      <c r="D11" s="9" t="n">
        <v>2.222</v>
      </c>
      <c r="E11" s="11">
        <f>C11-D11</f>
        <v/>
      </c>
      <c r="F11" t="inlineStr">
        <is>
          <t>NBER: Ulmer (1960) Table C-1 col.4 / Kuznets &amp; Jenks (1961) R-22 col.1, R-2 col.7 (1929 prices)</t>
        </is>
      </c>
      <c r="G11" s="9">
        <f>ABS(E11)</f>
        <v/>
      </c>
    </row>
    <row r="12">
      <c r="A12" t="inlineStr">
        <is>
          <t>rail</t>
        </is>
      </c>
      <c r="B12" t="inlineStr">
        <is>
          <t>1909</t>
        </is>
      </c>
      <c r="C12" s="9" t="n">
        <v>2.115</v>
      </c>
      <c r="D12" s="9" t="n">
        <v>2.115</v>
      </c>
      <c r="E12" s="11">
        <f>C12-D12</f>
        <v/>
      </c>
      <c r="F12" t="inlineStr">
        <is>
          <t>NBER: Ulmer (1960) Table C-1 col.4 / Kuznets &amp; Jenks (1961) R-22 col.1, R-2 col.7 (1929 prices)</t>
        </is>
      </c>
      <c r="G12" s="9">
        <f>ABS(E12)</f>
        <v/>
      </c>
    </row>
    <row r="13">
      <c r="A13" t="inlineStr">
        <is>
          <t>rail</t>
        </is>
      </c>
      <c r="B13" t="inlineStr">
        <is>
          <t>1910</t>
        </is>
      </c>
      <c r="C13" s="9" t="n">
        <v>2.303</v>
      </c>
      <c r="D13" s="9" t="n">
        <v>2.303</v>
      </c>
      <c r="E13" s="11">
        <f>C13-D13</f>
        <v/>
      </c>
      <c r="F13" t="inlineStr">
        <is>
          <t>NBER: Ulmer (1960) Table C-1 col.4 / Kuznets &amp; Jenks (1961) R-22 col.1, R-2 col.7 (1929 prices)</t>
        </is>
      </c>
      <c r="G13" s="9">
        <f>ABS(E13)</f>
        <v/>
      </c>
    </row>
    <row r="14">
      <c r="A14" t="inlineStr">
        <is>
          <t>rail</t>
        </is>
      </c>
      <c r="B14" t="inlineStr">
        <is>
          <t>1911</t>
        </is>
      </c>
      <c r="C14" s="9" t="n">
        <v>2.117</v>
      </c>
      <c r="D14" s="9" t="n">
        <v>2.118</v>
      </c>
      <c r="E14" s="11">
        <f>C14-D14</f>
        <v/>
      </c>
      <c r="F14" t="inlineStr">
        <is>
          <t>NBER: Ulmer (1960) Table C-1 col.4 / Kuznets &amp; Jenks (1961) R-22 col.1, R-2 col.7 (1929 prices)</t>
        </is>
      </c>
      <c r="G14" s="9">
        <f>ABS(E14)</f>
        <v/>
      </c>
    </row>
    <row r="15">
      <c r="A15" t="inlineStr">
        <is>
          <t>rail</t>
        </is>
      </c>
      <c r="B15" t="inlineStr">
        <is>
          <t>1912</t>
        </is>
      </c>
      <c r="C15" s="9" t="n">
        <v>1.998</v>
      </c>
      <c r="D15" s="9" t="n">
        <v>1.998</v>
      </c>
      <c r="E15" s="11">
        <f>C15-D15</f>
        <v/>
      </c>
      <c r="F15" t="inlineStr">
        <is>
          <t>NBER: Ulmer (1960) Table C-1 col.4 / Kuznets &amp; Jenks (1961) R-22 col.1, R-2 col.7 (1929 prices)</t>
        </is>
      </c>
      <c r="G15" s="9">
        <f>ABS(E15)</f>
        <v/>
      </c>
    </row>
    <row r="16">
      <c r="A16" t="inlineStr">
        <is>
          <t>rail</t>
        </is>
      </c>
      <c r="B16" t="inlineStr">
        <is>
          <t>1913</t>
        </is>
      </c>
      <c r="C16" s="9" t="n">
        <v>1.979</v>
      </c>
      <c r="D16" s="9" t="n">
        <v>1.979</v>
      </c>
      <c r="E16" s="11">
        <f>C16-D16</f>
        <v/>
      </c>
      <c r="F16" t="inlineStr">
        <is>
          <t>NBER: Ulmer (1960) Table C-1 col.4 / Kuznets &amp; Jenks (1961) R-22 col.1, R-2 col.7 (1929 prices)</t>
        </is>
      </c>
      <c r="G16" s="9">
        <f>ABS(E16)</f>
        <v/>
      </c>
    </row>
    <row r="17">
      <c r="A17" t="inlineStr">
        <is>
          <t>rail</t>
        </is>
      </c>
      <c r="B17" t="inlineStr">
        <is>
          <t>1914</t>
        </is>
      </c>
      <c r="C17" s="9" t="n">
        <v>1.418</v>
      </c>
      <c r="D17" s="9" t="n">
        <v>1.418</v>
      </c>
      <c r="E17" s="11">
        <f>C17-D17</f>
        <v/>
      </c>
      <c r="F17" t="inlineStr">
        <is>
          <t>NBER: Ulmer (1960) Table C-1 col.4 / Kuznets &amp; Jenks (1961) R-22 col.1, R-2 col.7 (1929 prices)</t>
        </is>
      </c>
      <c r="G17" s="9">
        <f>ABS(E17)</f>
        <v/>
      </c>
    </row>
    <row r="18">
      <c r="A18" t="inlineStr">
        <is>
          <t>rail</t>
        </is>
      </c>
      <c r="B18" t="inlineStr">
        <is>
          <t>1915</t>
        </is>
      </c>
      <c r="C18" s="9" t="n">
        <v>0.79</v>
      </c>
      <c r="D18" s="9" t="n">
        <v>0.79</v>
      </c>
      <c r="E18" s="11">
        <f>C18-D18</f>
        <v/>
      </c>
      <c r="F18" t="inlineStr">
        <is>
          <t>NBER: Ulmer (1960) Table C-1 col.4 / Kuznets &amp; Jenks (1961) R-22 col.1, R-2 col.7 (1929 prices)</t>
        </is>
      </c>
      <c r="G18" s="9">
        <f>ABS(E18)</f>
        <v/>
      </c>
    </row>
    <row r="19">
      <c r="A19" t="inlineStr">
        <is>
          <t>rail</t>
        </is>
      </c>
      <c r="B19" t="inlineStr">
        <is>
          <t>1916</t>
        </is>
      </c>
      <c r="C19" s="9" t="n">
        <v>0.8159999999999999</v>
      </c>
      <c r="D19" s="9" t="n">
        <v>0.8159999999999999</v>
      </c>
      <c r="E19" s="11">
        <f>C19-D19</f>
        <v/>
      </c>
      <c r="F19" t="inlineStr">
        <is>
          <t>NBER: Ulmer (1960) Table C-1 col.4 / Kuznets &amp; Jenks (1961) R-22 col.1, R-2 col.7 (1929 prices)</t>
        </is>
      </c>
      <c r="G19" s="9">
        <f>ABS(E19)</f>
        <v/>
      </c>
    </row>
    <row r="20">
      <c r="A20" t="inlineStr">
        <is>
          <t>rail</t>
        </is>
      </c>
      <c r="B20" t="inlineStr">
        <is>
          <t>1917</t>
        </is>
      </c>
      <c r="C20" s="9" t="n">
        <v>1.013</v>
      </c>
      <c r="D20" s="9" t="n">
        <v>1.014</v>
      </c>
      <c r="E20" s="11">
        <f>C20-D20</f>
        <v/>
      </c>
      <c r="F20" t="inlineStr">
        <is>
          <t>NBER: Ulmer (1960) Table C-1 col.4 / Kuznets &amp; Jenks (1961) R-22 col.1, R-2 col.7 (1929 prices)</t>
        </is>
      </c>
      <c r="G20" s="9">
        <f>ABS(E20)</f>
        <v/>
      </c>
    </row>
    <row r="21">
      <c r="A21" t="inlineStr">
        <is>
          <t>rail</t>
        </is>
      </c>
      <c r="B21" t="inlineStr">
        <is>
          <t>1918</t>
        </is>
      </c>
      <c r="C21" s="9" t="n">
        <v>0.78</v>
      </c>
      <c r="D21" s="9" t="n">
        <v>0.782</v>
      </c>
      <c r="E21" s="11">
        <f>C21-D21</f>
        <v/>
      </c>
      <c r="F21" t="inlineStr">
        <is>
          <t>NBER: Ulmer (1960) Table C-1 col.4 / Kuznets &amp; Jenks (1961) R-22 col.1, R-2 col.7 (1929 prices)</t>
        </is>
      </c>
      <c r="G21" s="9">
        <f>ABS(E21)</f>
        <v/>
      </c>
    </row>
    <row r="22">
      <c r="A22" t="inlineStr">
        <is>
          <t>rail</t>
        </is>
      </c>
      <c r="B22" t="inlineStr">
        <is>
          <t>1919</t>
        </is>
      </c>
      <c r="C22" s="9" t="n">
        <v>0.508</v>
      </c>
      <c r="D22" s="9" t="n">
        <v>0.509</v>
      </c>
      <c r="E22" s="11">
        <f>C22-D22</f>
        <v/>
      </c>
      <c r="F22" t="inlineStr">
        <is>
          <t>NBER: Ulmer (1960) Table C-1 col.4 / Kuznets &amp; Jenks (1961) R-22 col.1, R-2 col.7 (1929 prices)</t>
        </is>
      </c>
      <c r="G22" s="9">
        <f>ABS(E22)</f>
        <v/>
      </c>
    </row>
    <row r="23">
      <c r="A23" t="inlineStr">
        <is>
          <t>rail</t>
        </is>
      </c>
      <c r="B23" t="inlineStr">
        <is>
          <t>1920</t>
        </is>
      </c>
      <c r="C23" s="9" t="n">
        <v>0.726</v>
      </c>
      <c r="D23" s="9" t="n">
        <v>0.727</v>
      </c>
      <c r="E23" s="11">
        <f>C23-D23</f>
        <v/>
      </c>
      <c r="F23" t="inlineStr">
        <is>
          <t>NBER: Ulmer (1960) Table C-1 col.4 / Kuznets &amp; Jenks (1961) R-22 col.1, R-2 col.7 (1929 prices)</t>
        </is>
      </c>
      <c r="G23" s="9">
        <f>ABS(E23)</f>
        <v/>
      </c>
    </row>
    <row r="24">
      <c r="A24" t="inlineStr">
        <is>
          <t>og70s</t>
        </is>
      </c>
      <c r="B24" t="inlineStr">
        <is>
          <t>1972</t>
        </is>
      </c>
      <c r="C24" s="9" t="n">
        <v>0.379</v>
      </c>
      <c r="D24" s="9" t="n">
        <v>0.38</v>
      </c>
      <c r="E24" s="11">
        <f>C24-D24</f>
        <v/>
      </c>
      <c r="F24" t="inlineStr">
        <is>
          <t>BEA Fixed Assets: investment by industry 2110+2130+4860, all assets / GDP</t>
        </is>
      </c>
      <c r="G24" s="9">
        <f>ABS(E24)</f>
        <v/>
      </c>
    </row>
    <row r="25">
      <c r="A25" t="inlineStr">
        <is>
          <t>og70s</t>
        </is>
      </c>
      <c r="B25" t="inlineStr">
        <is>
          <t>1973</t>
        </is>
      </c>
      <c r="C25" s="9" t="n">
        <v>0.391</v>
      </c>
      <c r="D25" s="9" t="n">
        <v>0.392</v>
      </c>
      <c r="E25" s="11">
        <f>C25-D25</f>
        <v/>
      </c>
      <c r="F25" t="inlineStr">
        <is>
          <t>BEA Fixed Assets: investment by industry 2110+2130+4860, all assets / GDP</t>
        </is>
      </c>
      <c r="G25" s="9">
        <f>ABS(E25)</f>
        <v/>
      </c>
    </row>
    <row r="26">
      <c r="A26" t="inlineStr">
        <is>
          <t>og70s</t>
        </is>
      </c>
      <c r="B26" t="inlineStr">
        <is>
          <t>1974</t>
        </is>
      </c>
      <c r="C26" s="9" t="n">
        <v>0.495</v>
      </c>
      <c r="D26" s="9" t="n">
        <v>0.496</v>
      </c>
      <c r="E26" s="11">
        <f>C26-D26</f>
        <v/>
      </c>
      <c r="F26" t="inlineStr">
        <is>
          <t>BEA Fixed Assets: investment by industry 2110+2130+4860, all assets / GDP</t>
        </is>
      </c>
      <c r="G26" s="9">
        <f>ABS(E26)</f>
        <v/>
      </c>
    </row>
    <row r="27">
      <c r="A27" t="inlineStr">
        <is>
          <t>og70s</t>
        </is>
      </c>
      <c r="B27" t="inlineStr">
        <is>
          <t>1975</t>
        </is>
      </c>
      <c r="C27" s="9" t="n">
        <v>0.665</v>
      </c>
      <c r="D27" s="9" t="n">
        <v>0.665</v>
      </c>
      <c r="E27" s="11">
        <f>C27-D27</f>
        <v/>
      </c>
      <c r="F27" t="inlineStr">
        <is>
          <t>BEA Fixed Assets: investment by industry 2110+2130+4860, all assets / GDP</t>
        </is>
      </c>
      <c r="G27" s="9">
        <f>ABS(E27)</f>
        <v/>
      </c>
    </row>
    <row r="28">
      <c r="A28" t="inlineStr">
        <is>
          <t>og70s</t>
        </is>
      </c>
      <c r="B28" t="inlineStr">
        <is>
          <t>1976</t>
        </is>
      </c>
      <c r="C28" s="9" t="n">
        <v>0.7</v>
      </c>
      <c r="D28" s="9" t="n">
        <v>0.701</v>
      </c>
      <c r="E28" s="11">
        <f>C28-D28</f>
        <v/>
      </c>
      <c r="F28" t="inlineStr">
        <is>
          <t>BEA Fixed Assets: investment by industry 2110+2130+4860, all assets / GDP</t>
        </is>
      </c>
      <c r="G28" s="9">
        <f>ABS(E28)</f>
        <v/>
      </c>
    </row>
    <row r="29">
      <c r="A29" t="inlineStr">
        <is>
          <t>og70s</t>
        </is>
      </c>
      <c r="B29" t="inlineStr">
        <is>
          <t>1977</t>
        </is>
      </c>
      <c r="C29" s="9" t="n">
        <v>0.722</v>
      </c>
      <c r="D29" s="9" t="n">
        <v>0.722</v>
      </c>
      <c r="E29" s="11">
        <f>C29-D29</f>
        <v/>
      </c>
      <c r="F29" t="inlineStr">
        <is>
          <t>BEA Fixed Assets: investment by industry 2110+2130+4860, all assets / GDP</t>
        </is>
      </c>
      <c r="G29" s="9">
        <f>ABS(E29)</f>
        <v/>
      </c>
    </row>
    <row r="30">
      <c r="A30" t="inlineStr">
        <is>
          <t>og70s</t>
        </is>
      </c>
      <c r="B30" t="inlineStr">
        <is>
          <t>1978</t>
        </is>
      </c>
      <c r="C30" s="9" t="n">
        <v>0.909</v>
      </c>
      <c r="D30" s="9" t="n">
        <v>0.91</v>
      </c>
      <c r="E30" s="11">
        <f>C30-D30</f>
        <v/>
      </c>
      <c r="F30" t="inlineStr">
        <is>
          <t>BEA Fixed Assets: investment by industry 2110+2130+4860, all assets / GDP</t>
        </is>
      </c>
      <c r="G30" s="9">
        <f>ABS(E30)</f>
        <v/>
      </c>
    </row>
    <row r="31">
      <c r="A31" t="inlineStr">
        <is>
          <t>og70s</t>
        </is>
      </c>
      <c r="B31" t="inlineStr">
        <is>
          <t>1979</t>
        </is>
      </c>
      <c r="C31" s="9" t="n">
        <v>1.064</v>
      </c>
      <c r="D31" s="9" t="n">
        <v>1.064</v>
      </c>
      <c r="E31" s="11">
        <f>C31-D31</f>
        <v/>
      </c>
      <c r="F31" t="inlineStr">
        <is>
          <t>BEA Fixed Assets: investment by industry 2110+2130+4860, all assets / GDP</t>
        </is>
      </c>
      <c r="G31" s="9">
        <f>ABS(E31)</f>
        <v/>
      </c>
    </row>
    <row r="32">
      <c r="A32" t="inlineStr">
        <is>
          <t>og70s</t>
        </is>
      </c>
      <c r="B32" t="inlineStr">
        <is>
          <t>1980</t>
        </is>
      </c>
      <c r="C32" s="9" t="n">
        <v>1.425</v>
      </c>
      <c r="D32" s="9" t="n">
        <v>1.425</v>
      </c>
      <c r="E32" s="11">
        <f>C32-D32</f>
        <v/>
      </c>
      <c r="F32" t="inlineStr">
        <is>
          <t>BEA Fixed Assets: investment by industry 2110+2130+4860, all assets / GDP</t>
        </is>
      </c>
      <c r="G32" s="9">
        <f>ABS(E32)</f>
        <v/>
      </c>
    </row>
    <row r="33">
      <c r="A33" t="inlineStr">
        <is>
          <t>og70s</t>
        </is>
      </c>
      <c r="B33" t="inlineStr">
        <is>
          <t>1981</t>
        </is>
      </c>
      <c r="C33" s="9" t="n">
        <v>1.972</v>
      </c>
      <c r="D33" s="9" t="n">
        <v>1.973</v>
      </c>
      <c r="E33" s="11">
        <f>C33-D33</f>
        <v/>
      </c>
      <c r="F33" t="inlineStr">
        <is>
          <t>BEA Fixed Assets: investment by industry 2110+2130+4860, all assets / GDP</t>
        </is>
      </c>
      <c r="G33" s="9">
        <f>ABS(E33)</f>
        <v/>
      </c>
    </row>
    <row r="34">
      <c r="A34" t="inlineStr">
        <is>
          <t>og70s</t>
        </is>
      </c>
      <c r="B34" t="inlineStr">
        <is>
          <t>1982</t>
        </is>
      </c>
      <c r="C34" s="9" t="n">
        <v>1.891</v>
      </c>
      <c r="D34" s="9" t="n">
        <v>1.89</v>
      </c>
      <c r="E34" s="11">
        <f>C34-D34</f>
        <v/>
      </c>
      <c r="F34" t="inlineStr">
        <is>
          <t>BEA Fixed Assets: investment by industry 2110+2130+4860, all assets / GDP</t>
        </is>
      </c>
      <c r="G34" s="9">
        <f>ABS(E34)</f>
        <v/>
      </c>
    </row>
    <row r="35">
      <c r="A35" t="inlineStr">
        <is>
          <t>og70s</t>
        </is>
      </c>
      <c r="B35" t="inlineStr">
        <is>
          <t>1983</t>
        </is>
      </c>
      <c r="C35" s="9" t="n">
        <v>1.182</v>
      </c>
      <c r="D35" s="9" t="n">
        <v>1.183</v>
      </c>
      <c r="E35" s="11">
        <f>C35-D35</f>
        <v/>
      </c>
      <c r="F35" t="inlineStr">
        <is>
          <t>BEA Fixed Assets: investment by industry 2110+2130+4860, all assets / GDP</t>
        </is>
      </c>
      <c r="G35" s="9">
        <f>ABS(E35)</f>
        <v/>
      </c>
    </row>
    <row r="36">
      <c r="A36" t="inlineStr">
        <is>
          <t>og70s</t>
        </is>
      </c>
      <c r="B36" t="inlineStr">
        <is>
          <t>1984</t>
        </is>
      </c>
      <c r="C36" s="9" t="n">
        <v>1.093</v>
      </c>
      <c r="D36" s="9" t="n">
        <v>1.094</v>
      </c>
      <c r="E36" s="11">
        <f>C36-D36</f>
        <v/>
      </c>
      <c r="F36" t="inlineStr">
        <is>
          <t>BEA Fixed Assets: investment by industry 2110+2130+4860, all assets / GDP</t>
        </is>
      </c>
      <c r="G36" s="9">
        <f>ABS(E36)</f>
        <v/>
      </c>
    </row>
    <row r="37">
      <c r="A37" t="inlineStr">
        <is>
          <t>og70s</t>
        </is>
      </c>
      <c r="B37" t="inlineStr">
        <is>
          <t>1985</t>
        </is>
      </c>
      <c r="C37" s="9" t="n">
        <v>0.925</v>
      </c>
      <c r="D37" s="9" t="n">
        <v>0.925</v>
      </c>
      <c r="E37" s="11">
        <f>C37-D37</f>
        <v/>
      </c>
      <c r="F37" t="inlineStr">
        <is>
          <t>BEA Fixed Assets: investment by industry 2110+2130+4860, all assets / GDP</t>
        </is>
      </c>
      <c r="G37" s="9">
        <f>ABS(E37)</f>
        <v/>
      </c>
    </row>
    <row r="38">
      <c r="A38" t="inlineStr">
        <is>
          <t>og70s</t>
        </is>
      </c>
      <c r="B38" t="inlineStr">
        <is>
          <t>1986</t>
        </is>
      </c>
      <c r="C38" s="9" t="n">
        <v>0.516</v>
      </c>
      <c r="D38" s="9" t="n">
        <v>0.517</v>
      </c>
      <c r="E38" s="11">
        <f>C38-D38</f>
        <v/>
      </c>
      <c r="F38" t="inlineStr">
        <is>
          <t>BEA Fixed Assets: investment by industry 2110+2130+4860, all assets / GDP</t>
        </is>
      </c>
      <c r="G38" s="9">
        <f>ABS(E38)</f>
        <v/>
      </c>
    </row>
    <row r="39">
      <c r="A39" t="inlineStr">
        <is>
          <t>shale</t>
        </is>
      </c>
      <c r="B39" t="inlineStr">
        <is>
          <t>2002</t>
        </is>
      </c>
      <c r="C39" s="9" t="n">
        <v>0.395</v>
      </c>
      <c r="D39" s="9" t="n">
        <v>0.396</v>
      </c>
      <c r="E39" s="11">
        <f>C39-D39</f>
        <v/>
      </c>
      <c r="F39" t="inlineStr">
        <is>
          <t>BEA Fixed Assets: investment by industry 2110+2130+4860, all assets / GDP</t>
        </is>
      </c>
      <c r="G39" s="9">
        <f>ABS(E39)</f>
        <v/>
      </c>
    </row>
    <row r="40">
      <c r="A40" t="inlineStr">
        <is>
          <t>shale</t>
        </is>
      </c>
      <c r="B40" t="inlineStr">
        <is>
          <t>2003</t>
        </is>
      </c>
      <c r="C40" s="9" t="n">
        <v>0.468</v>
      </c>
      <c r="D40" s="9" t="n">
        <v>0.468</v>
      </c>
      <c r="E40" s="11">
        <f>C40-D40</f>
        <v/>
      </c>
      <c r="F40" t="inlineStr">
        <is>
          <t>BEA Fixed Assets: investment by industry 2110+2130+4860, all assets / GDP</t>
        </is>
      </c>
      <c r="G40" s="9">
        <f>ABS(E40)</f>
        <v/>
      </c>
    </row>
    <row r="41">
      <c r="A41" t="inlineStr">
        <is>
          <t>shale</t>
        </is>
      </c>
      <c r="B41" t="inlineStr">
        <is>
          <t>2004</t>
        </is>
      </c>
      <c r="C41" s="9" t="n">
        <v>0.505</v>
      </c>
      <c r="D41" s="9" t="n">
        <v>0.505</v>
      </c>
      <c r="E41" s="11">
        <f>C41-D41</f>
        <v/>
      </c>
      <c r="F41" t="inlineStr">
        <is>
          <t>BEA Fixed Assets: investment by industry 2110+2130+4860, all assets / GDP</t>
        </is>
      </c>
      <c r="G41" s="9">
        <f>ABS(E41)</f>
        <v/>
      </c>
    </row>
    <row r="42">
      <c r="A42" t="inlineStr">
        <is>
          <t>shale</t>
        </is>
      </c>
      <c r="B42" t="inlineStr">
        <is>
          <t>2005</t>
        </is>
      </c>
      <c r="C42" s="9" t="n">
        <v>0.653</v>
      </c>
      <c r="D42" s="9" t="n">
        <v>0.653</v>
      </c>
      <c r="E42" s="11">
        <f>C42-D42</f>
        <v/>
      </c>
      <c r="F42" t="inlineStr">
        <is>
          <t>BEA Fixed Assets: investment by industry 2110+2130+4860, all assets / GDP</t>
        </is>
      </c>
      <c r="G42" s="9">
        <f>ABS(E42)</f>
        <v/>
      </c>
    </row>
    <row r="43">
      <c r="A43" t="inlineStr">
        <is>
          <t>shale</t>
        </is>
      </c>
      <c r="B43" t="inlineStr">
        <is>
          <t>2006</t>
        </is>
      </c>
      <c r="C43" s="9" t="n">
        <v>0.866</v>
      </c>
      <c r="D43" s="9" t="n">
        <v>0.867</v>
      </c>
      <c r="E43" s="11">
        <f>C43-D43</f>
        <v/>
      </c>
      <c r="F43" t="inlineStr">
        <is>
          <t>BEA Fixed Assets: investment by industry 2110+2130+4860, all assets / GDP</t>
        </is>
      </c>
      <c r="G43" s="9">
        <f>ABS(E43)</f>
        <v/>
      </c>
    </row>
    <row r="44">
      <c r="A44" t="inlineStr">
        <is>
          <t>shale</t>
        </is>
      </c>
      <c r="B44" t="inlineStr">
        <is>
          <t>2007</t>
        </is>
      </c>
      <c r="C44" s="9" t="n">
        <v>0.95</v>
      </c>
      <c r="D44" s="9" t="n">
        <v>0.951</v>
      </c>
      <c r="E44" s="11">
        <f>C44-D44</f>
        <v/>
      </c>
      <c r="F44" t="inlineStr">
        <is>
          <t>BEA Fixed Assets: investment by industry 2110+2130+4860, all assets / GDP</t>
        </is>
      </c>
      <c r="G44" s="9">
        <f>ABS(E44)</f>
        <v/>
      </c>
    </row>
    <row r="45">
      <c r="A45" t="inlineStr">
        <is>
          <t>shale</t>
        </is>
      </c>
      <c r="B45" t="inlineStr">
        <is>
          <t>2008</t>
        </is>
      </c>
      <c r="C45" s="9" t="n">
        <v>1.114</v>
      </c>
      <c r="D45" s="9" t="n">
        <v>1.115</v>
      </c>
      <c r="E45" s="11">
        <f>C45-D45</f>
        <v/>
      </c>
      <c r="F45" t="inlineStr">
        <is>
          <t>BEA Fixed Assets: investment by industry 2110+2130+4860, all assets / GDP</t>
        </is>
      </c>
      <c r="G45" s="9">
        <f>ABS(E45)</f>
        <v/>
      </c>
    </row>
    <row r="46">
      <c r="A46" t="inlineStr">
        <is>
          <t>shale</t>
        </is>
      </c>
      <c r="B46" t="inlineStr">
        <is>
          <t>2009</t>
        </is>
      </c>
      <c r="C46" s="9" t="n">
        <v>0.775</v>
      </c>
      <c r="D46" s="9" t="n">
        <v>0.776</v>
      </c>
      <c r="E46" s="11">
        <f>C46-D46</f>
        <v/>
      </c>
      <c r="F46" t="inlineStr">
        <is>
          <t>BEA Fixed Assets: investment by industry 2110+2130+4860, all assets / GDP</t>
        </is>
      </c>
      <c r="G46" s="9">
        <f>ABS(E46)</f>
        <v/>
      </c>
    </row>
    <row r="47">
      <c r="A47" t="inlineStr">
        <is>
          <t>shale</t>
        </is>
      </c>
      <c r="B47" t="inlineStr">
        <is>
          <t>2010</t>
        </is>
      </c>
      <c r="C47" s="9" t="n">
        <v>0.852</v>
      </c>
      <c r="D47" s="9" t="n">
        <v>0.853</v>
      </c>
      <c r="E47" s="11">
        <f>C47-D47</f>
        <v/>
      </c>
      <c r="F47" t="inlineStr">
        <is>
          <t>BEA Fixed Assets: investment by industry 2110+2130+4860, all assets / GDP</t>
        </is>
      </c>
      <c r="G47" s="9">
        <f>ABS(E47)</f>
        <v/>
      </c>
    </row>
    <row r="48">
      <c r="A48" t="inlineStr">
        <is>
          <t>shale</t>
        </is>
      </c>
      <c r="B48" t="inlineStr">
        <is>
          <t>2011</t>
        </is>
      </c>
      <c r="C48" s="9" t="n">
        <v>1.034</v>
      </c>
      <c r="D48" s="9" t="n">
        <v>1.034</v>
      </c>
      <c r="E48" s="11">
        <f>C48-D48</f>
        <v/>
      </c>
      <c r="F48" t="inlineStr">
        <is>
          <t>BEA Fixed Assets: investment by industry 2110+2130+4860, all assets / GDP</t>
        </is>
      </c>
      <c r="G48" s="9">
        <f>ABS(E48)</f>
        <v/>
      </c>
    </row>
    <row r="49">
      <c r="A49" t="inlineStr">
        <is>
          <t>shale</t>
        </is>
      </c>
      <c r="B49" t="inlineStr">
        <is>
          <t>2012</t>
        </is>
      </c>
      <c r="C49" s="9" t="n">
        <v>1.259</v>
      </c>
      <c r="D49" s="9" t="n">
        <v>1.26</v>
      </c>
      <c r="E49" s="11">
        <f>C49-D49</f>
        <v/>
      </c>
      <c r="F49" t="inlineStr">
        <is>
          <t>BEA Fixed Assets: investment by industry 2110+2130+4860, all assets / GDP</t>
        </is>
      </c>
      <c r="G49" s="9">
        <f>ABS(E49)</f>
        <v/>
      </c>
    </row>
    <row r="50">
      <c r="A50" t="inlineStr">
        <is>
          <t>shale</t>
        </is>
      </c>
      <c r="B50" t="inlineStr">
        <is>
          <t>2013</t>
        </is>
      </c>
      <c r="C50" s="9" t="n">
        <v>1.249</v>
      </c>
      <c r="D50" s="9" t="n">
        <v>1.25</v>
      </c>
      <c r="E50" s="11">
        <f>C50-D50</f>
        <v/>
      </c>
      <c r="F50" t="inlineStr">
        <is>
          <t>BEA Fixed Assets: investment by industry 2110+2130+4860, all assets / GDP</t>
        </is>
      </c>
      <c r="G50" s="9">
        <f>ABS(E50)</f>
        <v/>
      </c>
    </row>
    <row r="51">
      <c r="A51" t="inlineStr">
        <is>
          <t>shale</t>
        </is>
      </c>
      <c r="B51" t="inlineStr">
        <is>
          <t>2014</t>
        </is>
      </c>
      <c r="C51" s="9" t="n">
        <v>1.415</v>
      </c>
      <c r="D51" s="9" t="n">
        <v>1.415</v>
      </c>
      <c r="E51" s="11">
        <f>C51-D51</f>
        <v/>
      </c>
      <c r="F51" t="inlineStr">
        <is>
          <t>BEA Fixed Assets: investment by industry 2110+2130+4860, all assets / GDP</t>
        </is>
      </c>
      <c r="G51" s="9">
        <f>ABS(E51)</f>
        <v/>
      </c>
    </row>
    <row r="52">
      <c r="A52" t="inlineStr">
        <is>
          <t>shale</t>
        </is>
      </c>
      <c r="B52" t="inlineStr">
        <is>
          <t>2015</t>
        </is>
      </c>
      <c r="C52" s="9" t="n">
        <v>0.979</v>
      </c>
      <c r="D52" s="9" t="n">
        <v>0.98</v>
      </c>
      <c r="E52" s="11">
        <f>C52-D52</f>
        <v/>
      </c>
      <c r="F52" t="inlineStr">
        <is>
          <t>BEA Fixed Assets: investment by industry 2110+2130+4860, all assets / GDP</t>
        </is>
      </c>
      <c r="G52" s="9">
        <f>ABS(E52)</f>
        <v/>
      </c>
    </row>
    <row r="53">
      <c r="A53" t="inlineStr">
        <is>
          <t>shale</t>
        </is>
      </c>
      <c r="B53" t="inlineStr">
        <is>
          <t>2016</t>
        </is>
      </c>
      <c r="C53" s="9" t="n">
        <v>0.5600000000000001</v>
      </c>
      <c r="D53" s="9" t="n">
        <v>0.5610000000000001</v>
      </c>
      <c r="E53" s="11">
        <f>C53-D53</f>
        <v/>
      </c>
      <c r="F53" t="inlineStr">
        <is>
          <t>BEA Fixed Assets: investment by industry 2110+2130+4860, all assets / GDP</t>
        </is>
      </c>
      <c r="G53" s="9">
        <f>ABS(E53)</f>
        <v/>
      </c>
    </row>
    <row r="54">
      <c r="A54" t="inlineStr">
        <is>
          <t>telecom</t>
        </is>
      </c>
      <c r="B54" t="inlineStr">
        <is>
          <t>1995</t>
        </is>
      </c>
      <c r="C54" s="9" t="n">
        <v>1.054</v>
      </c>
      <c r="D54" s="9" t="n">
        <v>1.055</v>
      </c>
      <c r="E54" s="11">
        <f>C54-D54</f>
        <v/>
      </c>
      <c r="F54" t="inlineStr">
        <is>
          <t>BEA Fixed Assets: investment by industry 5130, all assets / GDP</t>
        </is>
      </c>
      <c r="G54" s="9">
        <f>ABS(E54)</f>
        <v/>
      </c>
    </row>
    <row r="55">
      <c r="A55" t="inlineStr">
        <is>
          <t>telecom</t>
        </is>
      </c>
      <c r="B55" t="inlineStr">
        <is>
          <t>1996</t>
        </is>
      </c>
      <c r="C55" s="9" t="n">
        <v>1.083</v>
      </c>
      <c r="D55" s="9" t="n">
        <v>1.084</v>
      </c>
      <c r="E55" s="11">
        <f>C55-D55</f>
        <v/>
      </c>
      <c r="F55" t="inlineStr">
        <is>
          <t>BEA Fixed Assets: investment by industry 5130, all assets / GDP</t>
        </is>
      </c>
      <c r="G55" s="9">
        <f>ABS(E55)</f>
        <v/>
      </c>
    </row>
    <row r="56">
      <c r="A56" t="inlineStr">
        <is>
          <t>telecom</t>
        </is>
      </c>
      <c r="B56" t="inlineStr">
        <is>
          <t>1997</t>
        </is>
      </c>
      <c r="C56" s="9" t="n">
        <v>1.098</v>
      </c>
      <c r="D56" s="9" t="n">
        <v>1.097</v>
      </c>
      <c r="E56" s="11">
        <f>C56-D56</f>
        <v/>
      </c>
      <c r="F56" t="inlineStr">
        <is>
          <t>BEA Fixed Assets: investment by industry 5130, all assets / GDP</t>
        </is>
      </c>
      <c r="G56" s="9">
        <f>ABS(E56)</f>
        <v/>
      </c>
    </row>
    <row r="57">
      <c r="A57" t="inlineStr">
        <is>
          <t>telecom</t>
        </is>
      </c>
      <c r="B57" t="inlineStr">
        <is>
          <t>1998</t>
        </is>
      </c>
      <c r="C57" s="9" t="n">
        <v>1.135</v>
      </c>
      <c r="D57" s="9" t="n">
        <v>1.136</v>
      </c>
      <c r="E57" s="11">
        <f>C57-D57</f>
        <v/>
      </c>
      <c r="F57" t="inlineStr">
        <is>
          <t>BEA Fixed Assets: investment by industry 5130, all assets / GDP</t>
        </is>
      </c>
      <c r="G57" s="9">
        <f>ABS(E57)</f>
        <v/>
      </c>
    </row>
    <row r="58">
      <c r="A58" t="inlineStr">
        <is>
          <t>telecom</t>
        </is>
      </c>
      <c r="B58" t="inlineStr">
        <is>
          <t>1999</t>
        </is>
      </c>
      <c r="C58" s="9" t="n">
        <v>1.285</v>
      </c>
      <c r="D58" s="9" t="n">
        <v>1.285</v>
      </c>
      <c r="E58" s="11">
        <f>C58-D58</f>
        <v/>
      </c>
      <c r="F58" t="inlineStr">
        <is>
          <t>BEA Fixed Assets: investment by industry 5130, all assets / GDP</t>
        </is>
      </c>
      <c r="G58" s="9">
        <f>ABS(E58)</f>
        <v/>
      </c>
    </row>
    <row r="59">
      <c r="A59" t="inlineStr">
        <is>
          <t>telecom</t>
        </is>
      </c>
      <c r="B59" t="inlineStr">
        <is>
          <t>2000</t>
        </is>
      </c>
      <c r="C59" s="9" t="n">
        <v>1.54</v>
      </c>
      <c r="D59" s="9" t="n">
        <v>1.541</v>
      </c>
      <c r="E59" s="11">
        <f>C59-D59</f>
        <v/>
      </c>
      <c r="F59" t="inlineStr">
        <is>
          <t>BEA Fixed Assets: investment by industry 5130, all assets / GDP</t>
        </is>
      </c>
      <c r="G59" s="9">
        <f>ABS(E59)</f>
        <v/>
      </c>
    </row>
    <row r="60">
      <c r="A60" t="inlineStr">
        <is>
          <t>telecom</t>
        </is>
      </c>
      <c r="B60" t="inlineStr">
        <is>
          <t>2001</t>
        </is>
      </c>
      <c r="C60" s="9" t="n">
        <v>1.337</v>
      </c>
      <c r="D60" s="9" t="n">
        <v>1.337</v>
      </c>
      <c r="E60" s="11">
        <f>C60-D60</f>
        <v/>
      </c>
      <c r="F60" t="inlineStr">
        <is>
          <t>BEA Fixed Assets: investment by industry 5130, all assets / GDP</t>
        </is>
      </c>
      <c r="G60" s="9">
        <f>ABS(E60)</f>
        <v/>
      </c>
    </row>
    <row r="61">
      <c r="A61" t="inlineStr">
        <is>
          <t>telecom</t>
        </is>
      </c>
      <c r="B61" t="inlineStr">
        <is>
          <t>2002</t>
        </is>
      </c>
      <c r="C61" s="9" t="n">
        <v>0.91</v>
      </c>
      <c r="D61" s="9" t="n">
        <v>0.911</v>
      </c>
      <c r="E61" s="11">
        <f>C61-D61</f>
        <v/>
      </c>
      <c r="F61" t="inlineStr">
        <is>
          <t>BEA Fixed Assets: investment by industry 5130, all assets / GDP</t>
        </is>
      </c>
      <c r="G61" s="9">
        <f>ABS(E61)</f>
        <v/>
      </c>
    </row>
    <row r="62">
      <c r="A62" t="inlineStr">
        <is>
          <t>telecom</t>
        </is>
      </c>
      <c r="B62" t="inlineStr">
        <is>
          <t>2003</t>
        </is>
      </c>
      <c r="C62" s="9" t="n">
        <v>0.789</v>
      </c>
      <c r="D62" s="9" t="n">
        <v>0.79</v>
      </c>
      <c r="E62" s="11">
        <f>C62-D62</f>
        <v/>
      </c>
      <c r="F62" t="inlineStr">
        <is>
          <t>BEA Fixed Assets: investment by industry 5130, all assets / GDP</t>
        </is>
      </c>
      <c r="G62" s="9">
        <f>ABS(E62)</f>
        <v/>
      </c>
    </row>
    <row r="63">
      <c r="A63" t="inlineStr">
        <is>
          <t>hyper</t>
        </is>
      </c>
      <c r="B63" t="inlineStr">
        <is>
          <t>TTM to 2022Q1</t>
        </is>
      </c>
      <c r="C63" s="9" t="n">
        <v>0.537</v>
      </c>
      <c r="D63" s="9" t="n">
        <v>0.572</v>
      </c>
      <c r="E63" s="11">
        <f>C63-D63</f>
        <v/>
      </c>
      <c r="F63" t="inlineStr">
        <is>
          <t>SEC XBRL capex MSFT+GOOGL+AMZN+META+ORCL, TTM / BEA GDP TTM</t>
        </is>
      </c>
      <c r="G63" s="9">
        <f>ABS(E63)</f>
        <v/>
      </c>
    </row>
    <row r="64">
      <c r="A64" t="inlineStr">
        <is>
          <t>hyper</t>
        </is>
      </c>
      <c r="B64" t="inlineStr">
        <is>
          <t>TTM to 2022Q2</t>
        </is>
      </c>
      <c r="C64" s="9" t="n">
        <v>0.5639999999999999</v>
      </c>
      <c r="D64" s="9" t="n">
        <v>0.586</v>
      </c>
      <c r="E64" s="11">
        <f>C64-D64</f>
        <v/>
      </c>
      <c r="F64" t="inlineStr">
        <is>
          <t>SEC XBRL capex MSFT+GOOGL+AMZN+META+ORCL, TTM / BEA GDP TTM</t>
        </is>
      </c>
      <c r="G64" s="9">
        <f>ABS(E64)</f>
        <v/>
      </c>
    </row>
    <row r="65">
      <c r="A65" t="inlineStr">
        <is>
          <t>hyper</t>
        </is>
      </c>
      <c r="B65" t="inlineStr">
        <is>
          <t>TTM to 2022Q3</t>
        </is>
      </c>
      <c r="C65" s="9" t="n">
        <v>0.595</v>
      </c>
      <c r="D65" s="9" t="n">
        <v>0.601</v>
      </c>
      <c r="E65" s="11">
        <f>C65-D65</f>
        <v/>
      </c>
      <c r="F65" t="inlineStr">
        <is>
          <t>SEC XBRL capex MSFT+GOOGL+AMZN+META+ORCL, TTM / BEA GDP TTM</t>
        </is>
      </c>
      <c r="G65" s="9">
        <f>ABS(E65)</f>
        <v/>
      </c>
    </row>
    <row r="66">
      <c r="A66" t="inlineStr">
        <is>
          <t>hyper</t>
        </is>
      </c>
      <c r="B66" t="inlineStr">
        <is>
          <t>TTM to 2022Q4</t>
        </is>
      </c>
      <c r="C66" s="9" t="n">
        <v>0.611</v>
      </c>
      <c r="D66" s="9" t="n">
        <v>0.605</v>
      </c>
      <c r="E66" s="11">
        <f>C66-D66</f>
        <v/>
      </c>
      <c r="F66" t="inlineStr">
        <is>
          <t>SEC XBRL capex MSFT+GOOGL+AMZN+META+ORCL, TTM / BEA GDP TTM</t>
        </is>
      </c>
      <c r="G66" s="9">
        <f>ABS(E66)</f>
        <v/>
      </c>
    </row>
    <row r="67">
      <c r="A67" t="inlineStr">
        <is>
          <t>hyper</t>
        </is>
      </c>
      <c r="B67" t="inlineStr">
        <is>
          <t>TTM to 2023Q1</t>
        </is>
      </c>
      <c r="C67" s="9" t="n">
        <v>0.569</v>
      </c>
      <c r="D67" s="9" t="n">
        <v>0.594</v>
      </c>
      <c r="E67" s="11">
        <f>C67-D67</f>
        <v/>
      </c>
      <c r="F67" t="inlineStr">
        <is>
          <t>SEC XBRL capex MSFT+GOOGL+AMZN+META+ORCL, TTM / BEA GDP TTM</t>
        </is>
      </c>
      <c r="G67" s="9">
        <f>ABS(E67)</f>
        <v/>
      </c>
    </row>
    <row r="68">
      <c r="A68" t="inlineStr">
        <is>
          <t>hyper</t>
        </is>
      </c>
      <c r="B68" t="inlineStr">
        <is>
          <t>TTM to 2023Q2</t>
        </is>
      </c>
      <c r="C68" s="9" t="n">
        <v>0.555</v>
      </c>
      <c r="D68" s="9" t="n">
        <v>0.573</v>
      </c>
      <c r="E68" s="11">
        <f>C68-D68</f>
        <v/>
      </c>
      <c r="F68" t="inlineStr">
        <is>
          <t>SEC XBRL capex MSFT+GOOGL+AMZN+META+ORCL, TTM / BEA GDP TTM</t>
        </is>
      </c>
      <c r="G68" s="9">
        <f>ABS(E68)</f>
        <v/>
      </c>
    </row>
    <row r="69">
      <c r="A69" t="inlineStr">
        <is>
          <t>hyper</t>
        </is>
      </c>
      <c r="B69" t="inlineStr">
        <is>
          <t>TTM to 2023Q3</t>
        </is>
      </c>
      <c r="C69" s="9" t="n">
        <v>0.542</v>
      </c>
      <c r="D69" s="9" t="n">
        <v>0.554</v>
      </c>
      <c r="E69" s="11">
        <f>C69-D69</f>
        <v/>
      </c>
      <c r="F69" t="inlineStr">
        <is>
          <t>SEC XBRL capex MSFT+GOOGL+AMZN+META+ORCL, TTM / BEA GDP TTM</t>
        </is>
      </c>
      <c r="G69" s="9">
        <f>ABS(E69)</f>
        <v/>
      </c>
    </row>
    <row r="70">
      <c r="A70" t="inlineStr">
        <is>
          <t>hyper</t>
        </is>
      </c>
      <c r="B70" t="inlineStr">
        <is>
          <t>TTM to 2023Q4</t>
        </is>
      </c>
      <c r="C70" s="9" t="n">
        <v>0.551</v>
      </c>
      <c r="D70" s="9" t="n">
        <v>0.554</v>
      </c>
      <c r="E70" s="11">
        <f>C70-D70</f>
        <v/>
      </c>
      <c r="F70" t="inlineStr">
        <is>
          <t>SEC XBRL capex MSFT+GOOGL+AMZN+META+ORCL, TTM / BEA GDP TTM</t>
        </is>
      </c>
      <c r="G70" s="9">
        <f>ABS(E70)</f>
        <v/>
      </c>
    </row>
    <row r="71">
      <c r="A71" t="inlineStr">
        <is>
          <t>hyper</t>
        </is>
      </c>
      <c r="B71" t="inlineStr">
        <is>
          <t>TTM to 2024Q1</t>
        </is>
      </c>
      <c r="C71" s="9" t="n">
        <v>0.5620000000000001</v>
      </c>
      <c r="D71" s="9" t="n">
        <v>0.58</v>
      </c>
      <c r="E71" s="11">
        <f>C71-D71</f>
        <v/>
      </c>
      <c r="F71" t="inlineStr">
        <is>
          <t>SEC XBRL capex MSFT+GOOGL+AMZN+META+ORCL, TTM / BEA GDP TTM</t>
        </is>
      </c>
      <c r="G71" s="9">
        <f>ABS(E71)</f>
        <v/>
      </c>
    </row>
    <row r="72">
      <c r="A72" t="inlineStr">
        <is>
          <t>hyper</t>
        </is>
      </c>
      <c r="B72" t="inlineStr">
        <is>
          <t>TTM to 2024Q2</t>
        </is>
      </c>
      <c r="C72" s="9" t="n">
        <v>0.63</v>
      </c>
      <c r="D72" s="9" t="n">
        <v>0.642</v>
      </c>
      <c r="E72" s="11">
        <f>C72-D72</f>
        <v/>
      </c>
      <c r="F72" t="inlineStr">
        <is>
          <t>SEC XBRL capex MSFT+GOOGL+AMZN+META+ORCL, TTM / BEA GDP TTM</t>
        </is>
      </c>
      <c r="G72" s="9">
        <f>ABS(E72)</f>
        <v/>
      </c>
    </row>
    <row r="73">
      <c r="A73" t="inlineStr">
        <is>
          <t>hyper</t>
        </is>
      </c>
      <c r="B73" t="inlineStr">
        <is>
          <t>TTM to 2024Q3</t>
        </is>
      </c>
      <c r="C73" s="9" t="n">
        <v>0.715</v>
      </c>
      <c r="D73" s="9" t="n">
        <v>0.713</v>
      </c>
      <c r="E73" s="11">
        <f>C73-D73</f>
        <v/>
      </c>
      <c r="F73" t="inlineStr">
        <is>
          <t>SEC XBRL capex MSFT+GOOGL+AMZN+META+ORCL, TTM / BEA GDP TTM</t>
        </is>
      </c>
      <c r="G73" s="9">
        <f>ABS(E73)</f>
        <v/>
      </c>
    </row>
    <row r="74">
      <c r="A74" t="inlineStr">
        <is>
          <t>hyper</t>
        </is>
      </c>
      <c r="B74" t="inlineStr">
        <is>
          <t>TTM to 2024Q4</t>
        </is>
      </c>
      <c r="C74" s="9" t="n">
        <v>0.829</v>
      </c>
      <c r="D74" s="9" t="n">
        <v>0.8139999999999999</v>
      </c>
      <c r="E74" s="11">
        <f>C74-D74</f>
        <v/>
      </c>
      <c r="F74" t="inlineStr">
        <is>
          <t>SEC XBRL capex MSFT+GOOGL+AMZN+META+ORCL, TTM / BEA GDP TTM</t>
        </is>
      </c>
      <c r="G74" s="9">
        <f>ABS(E74)</f>
        <v/>
      </c>
    </row>
    <row r="75">
      <c r="A75" t="inlineStr">
        <is>
          <t>hyper</t>
        </is>
      </c>
      <c r="B75" t="inlineStr">
        <is>
          <t>TTM to 2025Q1</t>
        </is>
      </c>
      <c r="C75" s="9" t="n">
        <v>0.901</v>
      </c>
      <c r="D75" s="9" t="n">
        <v>0.911</v>
      </c>
      <c r="E75" s="11">
        <f>C75-D75</f>
        <v/>
      </c>
      <c r="F75" t="inlineStr">
        <is>
          <t>SEC XBRL capex MSFT+GOOGL+AMZN+META+ORCL, TTM / BEA GDP TTM</t>
        </is>
      </c>
      <c r="G75" s="9">
        <f>ABS(E75)</f>
        <v/>
      </c>
    </row>
    <row r="76">
      <c r="A76" t="inlineStr">
        <is>
          <t>hyper</t>
        </is>
      </c>
      <c r="B76" t="inlineStr">
        <is>
          <t>TTM to 2025Q2</t>
        </is>
      </c>
      <c r="C76" s="9" t="n">
        <v>1.036</v>
      </c>
      <c r="D76" s="9" t="n">
        <v>1.039</v>
      </c>
      <c r="E76" s="11">
        <f>C76-D76</f>
        <v/>
      </c>
      <c r="F76" t="inlineStr">
        <is>
          <t>SEC XBRL capex MSFT+GOOGL+AMZN+META+ORCL, TTM / BEA GDP TTM</t>
        </is>
      </c>
      <c r="G76" s="9">
        <f>ABS(E76)</f>
        <v/>
      </c>
    </row>
    <row r="77">
      <c r="A77" t="inlineStr">
        <is>
          <t>hyper</t>
        </is>
      </c>
      <c r="B77" t="inlineStr">
        <is>
          <t>TTM to 2025Q3</t>
        </is>
      </c>
      <c r="C77" s="9" t="n">
        <v>1.187</v>
      </c>
      <c r="D77" s="9" t="n">
        <v>1.172</v>
      </c>
      <c r="E77" s="11">
        <f>C77-D77</f>
        <v/>
      </c>
      <c r="F77" t="inlineStr">
        <is>
          <t>SEC XBRL capex MSFT+GOOGL+AMZN+META+ORCL, TTM / BEA GDP TTM</t>
        </is>
      </c>
      <c r="G77" s="9">
        <f>ABS(E77)</f>
        <v/>
      </c>
    </row>
    <row r="78">
      <c r="A78" t="inlineStr">
        <is>
          <t>hyper</t>
        </is>
      </c>
      <c r="B78" t="inlineStr">
        <is>
          <t>TTM to 2025Q4</t>
        </is>
      </c>
      <c r="C78" s="9" t="n">
        <v>1.379</v>
      </c>
      <c r="D78" s="9" t="n">
        <v>1.333</v>
      </c>
      <c r="E78" s="11">
        <f>C78-D78</f>
        <v/>
      </c>
      <c r="F78" t="inlineStr">
        <is>
          <t>SEC XBRL capex MSFT+GOOGL+AMZN+META+ORCL, TTM / BEA GDP TTM</t>
        </is>
      </c>
      <c r="G78" s="9">
        <f>ABS(E78)</f>
        <v/>
      </c>
    </row>
    <row r="79">
      <c r="A79" t="inlineStr">
        <is>
          <t>hyper</t>
        </is>
      </c>
      <c r="B79" t="inlineStr">
        <is>
          <t>TTM to 2026Q1</t>
        </is>
      </c>
      <c r="C79" s="9" t="n">
        <v>1.536</v>
      </c>
      <c r="D79" s="9" t="n">
        <v>1.541</v>
      </c>
      <c r="E79" s="11">
        <f>C79-D79</f>
        <v/>
      </c>
      <c r="F79" t="inlineStr">
        <is>
          <t>SEC XBRL capex MSFT+GOOGL+AMZN+META+ORCL, TTM / BEA GDP TTM</t>
        </is>
      </c>
      <c r="G79" s="9">
        <f>ABS(E79)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2" t="inlineStr">
        <is>
          <t>Series</t>
        </is>
      </c>
      <c r="B1" s="2" t="inlineStr">
        <is>
          <t>Label</t>
        </is>
      </c>
      <c r="C1" s="2" t="inlineStr">
        <is>
          <t>Chart position (year)</t>
        </is>
      </c>
      <c r="D1" s="2" t="inlineStr">
        <is>
          <t>Years since cycle start</t>
        </is>
      </c>
      <c r="E1" s="2" t="inlineStr">
        <is>
          <t>% of US GDP</t>
        </is>
      </c>
      <c r="F1" s="2" t="inlineStr">
        <is>
          <t>Year (annual series)</t>
        </is>
      </c>
      <c r="G1" s="12" t="inlineStr">
        <is>
          <t>Years since start (value)</t>
        </is>
      </c>
    </row>
    <row r="2">
      <c r="A2" t="inlineStr">
        <is>
          <t>rail</t>
        </is>
      </c>
      <c r="B2" t="inlineStr">
        <is>
          <t>US railroads (1900 onwards)</t>
        </is>
      </c>
      <c r="C2" t="n">
        <v>1899</v>
      </c>
      <c r="D2">
        <f>C2-C2</f>
        <v/>
      </c>
      <c r="E2" s="3" t="n">
        <v>1.169</v>
      </c>
      <c r="F2" t="n">
        <v>1899</v>
      </c>
      <c r="G2" t="n">
        <v>0</v>
      </c>
    </row>
    <row r="3">
      <c r="A3" t="inlineStr">
        <is>
          <t>rail</t>
        </is>
      </c>
      <c r="B3" t="inlineStr">
        <is>
          <t>US railroads (1900 onwards)</t>
        </is>
      </c>
      <c r="C3" t="n">
        <v>1900</v>
      </c>
      <c r="D3">
        <f>C3-C2</f>
        <v/>
      </c>
      <c r="E3" s="3" t="n">
        <v>1.247</v>
      </c>
      <c r="F3" t="n">
        <v>1900</v>
      </c>
      <c r="G3" t="n">
        <v>1</v>
      </c>
    </row>
    <row r="4">
      <c r="A4" t="inlineStr">
        <is>
          <t>rail</t>
        </is>
      </c>
      <c r="B4" t="inlineStr">
        <is>
          <t>US railroads (1900 onwards)</t>
        </is>
      </c>
      <c r="C4" t="n">
        <v>1901</v>
      </c>
      <c r="D4">
        <f>C4-C2</f>
        <v/>
      </c>
      <c r="E4" s="3" t="n">
        <v>1.047</v>
      </c>
      <c r="F4" t="n">
        <v>1901</v>
      </c>
      <c r="G4" t="n">
        <v>2</v>
      </c>
    </row>
    <row r="5">
      <c r="A5" t="inlineStr">
        <is>
          <t>rail</t>
        </is>
      </c>
      <c r="B5" t="inlineStr">
        <is>
          <t>US railroads (1900 onwards)</t>
        </is>
      </c>
      <c r="C5" t="n">
        <v>1902</v>
      </c>
      <c r="D5">
        <f>C5-C2</f>
        <v/>
      </c>
      <c r="E5" s="3" t="n">
        <v>1.068</v>
      </c>
      <c r="F5" t="n">
        <v>1902</v>
      </c>
      <c r="G5" t="n">
        <v>3</v>
      </c>
    </row>
    <row r="6">
      <c r="A6" t="inlineStr">
        <is>
          <t>rail</t>
        </is>
      </c>
      <c r="B6" t="inlineStr">
        <is>
          <t>US railroads (1900 onwards)</t>
        </is>
      </c>
      <c r="C6" t="n">
        <v>1903</v>
      </c>
      <c r="D6">
        <f>C6-C2</f>
        <v/>
      </c>
      <c r="E6" s="3" t="n">
        <v>1.068</v>
      </c>
      <c r="F6" t="n">
        <v>1903</v>
      </c>
      <c r="G6" t="n">
        <v>4</v>
      </c>
    </row>
    <row r="7">
      <c r="A7" t="inlineStr">
        <is>
          <t>rail</t>
        </is>
      </c>
      <c r="B7" t="inlineStr">
        <is>
          <t>US railroads (1900 onwards)</t>
        </is>
      </c>
      <c r="C7" t="n">
        <v>1904</v>
      </c>
      <c r="D7">
        <f>C7-C2</f>
        <v/>
      </c>
      <c r="E7" s="3" t="n">
        <v>1.252</v>
      </c>
      <c r="F7" t="n">
        <v>1904</v>
      </c>
      <c r="G7" t="n">
        <v>5</v>
      </c>
    </row>
    <row r="8">
      <c r="A8" t="inlineStr">
        <is>
          <t>rail</t>
        </is>
      </c>
      <c r="B8" t="inlineStr">
        <is>
          <t>US railroads (1900 onwards)</t>
        </is>
      </c>
      <c r="C8" t="n">
        <v>1905</v>
      </c>
      <c r="D8">
        <f>C8-C2</f>
        <v/>
      </c>
      <c r="E8" s="3" t="n">
        <v>1.49</v>
      </c>
      <c r="F8" t="n">
        <v>1905</v>
      </c>
      <c r="G8" t="n">
        <v>6</v>
      </c>
    </row>
    <row r="9">
      <c r="A9" t="inlineStr">
        <is>
          <t>rail</t>
        </is>
      </c>
      <c r="B9" t="inlineStr">
        <is>
          <t>US railroads (1900 onwards)</t>
        </is>
      </c>
      <c r="C9" t="n">
        <v>1906</v>
      </c>
      <c r="D9">
        <f>C9-C2</f>
        <v/>
      </c>
      <c r="E9" s="3" t="n">
        <v>1.798</v>
      </c>
      <c r="F9" t="n">
        <v>1906</v>
      </c>
      <c r="G9" t="n">
        <v>7</v>
      </c>
    </row>
    <row r="10">
      <c r="A10" t="inlineStr">
        <is>
          <t>rail</t>
        </is>
      </c>
      <c r="B10" t="inlineStr">
        <is>
          <t>US railroads (1900 onwards)</t>
        </is>
      </c>
      <c r="C10" t="n">
        <v>1907</v>
      </c>
      <c r="D10">
        <f>C10-C2</f>
        <v/>
      </c>
      <c r="E10" s="3" t="n">
        <v>2.026</v>
      </c>
      <c r="F10" t="n">
        <v>1907</v>
      </c>
      <c r="G10" t="n">
        <v>8</v>
      </c>
    </row>
    <row r="11">
      <c r="A11" t="inlineStr">
        <is>
          <t>rail</t>
        </is>
      </c>
      <c r="B11" t="inlineStr">
        <is>
          <t>US railroads (1900 onwards)</t>
        </is>
      </c>
      <c r="C11" t="n">
        <v>1908</v>
      </c>
      <c r="D11">
        <f>C11-C2</f>
        <v/>
      </c>
      <c r="E11" s="3" t="n">
        <v>2.221</v>
      </c>
      <c r="F11" t="n">
        <v>1908</v>
      </c>
      <c r="G11" t="n">
        <v>9</v>
      </c>
    </row>
    <row r="12">
      <c r="A12" t="inlineStr">
        <is>
          <t>rail</t>
        </is>
      </c>
      <c r="B12" t="inlineStr">
        <is>
          <t>US railroads (1900 onwards)</t>
        </is>
      </c>
      <c r="C12" t="n">
        <v>1909</v>
      </c>
      <c r="D12">
        <f>C12-C2</f>
        <v/>
      </c>
      <c r="E12" s="3" t="n">
        <v>2.115</v>
      </c>
      <c r="F12" t="n">
        <v>1909</v>
      </c>
      <c r="G12" t="n">
        <v>10</v>
      </c>
    </row>
    <row r="13">
      <c r="A13" t="inlineStr">
        <is>
          <t>rail</t>
        </is>
      </c>
      <c r="B13" t="inlineStr">
        <is>
          <t>US railroads (1900 onwards)</t>
        </is>
      </c>
      <c r="C13" t="n">
        <v>1910</v>
      </c>
      <c r="D13">
        <f>C13-C2</f>
        <v/>
      </c>
      <c r="E13" s="3" t="n">
        <v>2.303</v>
      </c>
      <c r="F13" t="n">
        <v>1910</v>
      </c>
      <c r="G13" t="n">
        <v>11</v>
      </c>
    </row>
    <row r="14">
      <c r="A14" t="inlineStr">
        <is>
          <t>rail</t>
        </is>
      </c>
      <c r="B14" t="inlineStr">
        <is>
          <t>US railroads (1900 onwards)</t>
        </is>
      </c>
      <c r="C14" t="n">
        <v>1911</v>
      </c>
      <c r="D14">
        <f>C14-C2</f>
        <v/>
      </c>
      <c r="E14" s="3" t="n">
        <v>2.117</v>
      </c>
      <c r="F14" t="n">
        <v>1911</v>
      </c>
      <c r="G14" t="n">
        <v>12</v>
      </c>
    </row>
    <row r="15">
      <c r="A15" t="inlineStr">
        <is>
          <t>rail</t>
        </is>
      </c>
      <c r="B15" t="inlineStr">
        <is>
          <t>US railroads (1900 onwards)</t>
        </is>
      </c>
      <c r="C15" t="n">
        <v>1912</v>
      </c>
      <c r="D15">
        <f>C15-C2</f>
        <v/>
      </c>
      <c r="E15" s="3" t="n">
        <v>1.998</v>
      </c>
      <c r="F15" t="n">
        <v>1912</v>
      </c>
      <c r="G15" t="n">
        <v>13</v>
      </c>
    </row>
    <row r="16">
      <c r="A16" t="inlineStr">
        <is>
          <t>rail</t>
        </is>
      </c>
      <c r="B16" t="inlineStr">
        <is>
          <t>US railroads (1900 onwards)</t>
        </is>
      </c>
      <c r="C16" t="n">
        <v>1913</v>
      </c>
      <c r="D16">
        <f>C16-C2</f>
        <v/>
      </c>
      <c r="E16" s="3" t="n">
        <v>1.979</v>
      </c>
      <c r="F16" t="n">
        <v>1913</v>
      </c>
      <c r="G16" t="n">
        <v>14</v>
      </c>
    </row>
    <row r="17">
      <c r="A17" t="inlineStr">
        <is>
          <t>rail</t>
        </is>
      </c>
      <c r="B17" t="inlineStr">
        <is>
          <t>US railroads (1900 onwards)</t>
        </is>
      </c>
      <c r="C17" t="n">
        <v>1914</v>
      </c>
      <c r="D17">
        <f>C17-C2</f>
        <v/>
      </c>
      <c r="E17" s="3" t="n">
        <v>1.418</v>
      </c>
      <c r="F17" t="n">
        <v>1914</v>
      </c>
      <c r="G17" t="n">
        <v>15</v>
      </c>
    </row>
    <row r="18">
      <c r="A18" t="inlineStr">
        <is>
          <t>rail</t>
        </is>
      </c>
      <c r="B18" t="inlineStr">
        <is>
          <t>US railroads (1900 onwards)</t>
        </is>
      </c>
      <c r="C18" t="n">
        <v>1915</v>
      </c>
      <c r="D18">
        <f>C18-C2</f>
        <v/>
      </c>
      <c r="E18" s="3" t="n">
        <v>0.79</v>
      </c>
      <c r="F18" t="n">
        <v>1915</v>
      </c>
      <c r="G18" t="n">
        <v>16</v>
      </c>
    </row>
    <row r="19">
      <c r="A19" t="inlineStr">
        <is>
          <t>rail</t>
        </is>
      </c>
      <c r="B19" t="inlineStr">
        <is>
          <t>US railroads (1900 onwards)</t>
        </is>
      </c>
      <c r="C19" t="n">
        <v>1916</v>
      </c>
      <c r="D19">
        <f>C19-C2</f>
        <v/>
      </c>
      <c r="E19" s="3" t="n">
        <v>0.8159999999999999</v>
      </c>
      <c r="F19" t="n">
        <v>1916</v>
      </c>
      <c r="G19" t="n">
        <v>17</v>
      </c>
    </row>
    <row r="20">
      <c r="A20" t="inlineStr">
        <is>
          <t>rail</t>
        </is>
      </c>
      <c r="B20" t="inlineStr">
        <is>
          <t>US railroads (1900 onwards)</t>
        </is>
      </c>
      <c r="C20" t="n">
        <v>1917</v>
      </c>
      <c r="D20">
        <f>C20-C2</f>
        <v/>
      </c>
      <c r="E20" s="3" t="n">
        <v>1.013</v>
      </c>
      <c r="F20" t="n">
        <v>1917</v>
      </c>
      <c r="G20" t="n">
        <v>18</v>
      </c>
    </row>
    <row r="21">
      <c r="A21" t="inlineStr">
        <is>
          <t>rail</t>
        </is>
      </c>
      <c r="B21" t="inlineStr">
        <is>
          <t>US railroads (1900 onwards)</t>
        </is>
      </c>
      <c r="C21" t="n">
        <v>1918</v>
      </c>
      <c r="D21">
        <f>C21-C2</f>
        <v/>
      </c>
      <c r="E21" s="3" t="n">
        <v>0.78</v>
      </c>
      <c r="F21" t="n">
        <v>1918</v>
      </c>
      <c r="G21" t="n">
        <v>19</v>
      </c>
    </row>
    <row r="22">
      <c r="A22" t="inlineStr">
        <is>
          <t>rail</t>
        </is>
      </c>
      <c r="B22" t="inlineStr">
        <is>
          <t>US railroads (1900 onwards)</t>
        </is>
      </c>
      <c r="C22" t="n">
        <v>1919</v>
      </c>
      <c r="D22">
        <f>C22-C2</f>
        <v/>
      </c>
      <c r="E22" s="3" t="n">
        <v>0.508</v>
      </c>
      <c r="F22" t="n">
        <v>1919</v>
      </c>
      <c r="G22" t="n">
        <v>20</v>
      </c>
    </row>
    <row r="23">
      <c r="A23" t="inlineStr">
        <is>
          <t>rail</t>
        </is>
      </c>
      <c r="B23" t="inlineStr">
        <is>
          <t>US railroads (1900 onwards)</t>
        </is>
      </c>
      <c r="C23" t="n">
        <v>1920</v>
      </c>
      <c r="D23">
        <f>C23-C2</f>
        <v/>
      </c>
      <c r="E23" s="3" t="n">
        <v>0.726</v>
      </c>
      <c r="F23" t="n">
        <v>1920</v>
      </c>
      <c r="G23" t="n">
        <v>21</v>
      </c>
    </row>
    <row r="24">
      <c r="A24" t="inlineStr">
        <is>
          <t>og70s</t>
        </is>
      </c>
      <c r="B24" t="inlineStr">
        <is>
          <t>O&amp;G (1970-80s)</t>
        </is>
      </c>
      <c r="C24" t="n">
        <v>1972</v>
      </c>
      <c r="D24">
        <f>C24-C24</f>
        <v/>
      </c>
      <c r="E24" s="3" t="n">
        <v>0.379</v>
      </c>
      <c r="F24" t="n">
        <v>1972</v>
      </c>
      <c r="G24" t="n">
        <v>0</v>
      </c>
    </row>
    <row r="25">
      <c r="A25" t="inlineStr">
        <is>
          <t>og70s</t>
        </is>
      </c>
      <c r="B25" t="inlineStr">
        <is>
          <t>O&amp;G (1970-80s)</t>
        </is>
      </c>
      <c r="C25" t="n">
        <v>1972.25</v>
      </c>
      <c r="D25">
        <f>C25-C24</f>
        <v/>
      </c>
      <c r="E25" s="3" t="n">
        <v>0.379</v>
      </c>
      <c r="F25" t="n">
        <v>1972</v>
      </c>
      <c r="G25" t="n">
        <v>0.25</v>
      </c>
    </row>
    <row r="26">
      <c r="A26" t="inlineStr">
        <is>
          <t>og70s</t>
        </is>
      </c>
      <c r="B26" t="inlineStr">
        <is>
          <t>O&amp;G (1970-80s)</t>
        </is>
      </c>
      <c r="C26" t="n">
        <v>1972.5</v>
      </c>
      <c r="D26">
        <f>C26-C24</f>
        <v/>
      </c>
      <c r="E26" s="3" t="n">
        <v>0.391</v>
      </c>
      <c r="F26" t="n">
        <v>1973</v>
      </c>
      <c r="G26" t="n">
        <v>0.5</v>
      </c>
    </row>
    <row r="27">
      <c r="A27" t="inlineStr">
        <is>
          <t>og70s</t>
        </is>
      </c>
      <c r="B27" t="inlineStr">
        <is>
          <t>O&amp;G (1970-80s)</t>
        </is>
      </c>
      <c r="C27" t="n">
        <v>1972.75</v>
      </c>
      <c r="D27">
        <f>C27-C24</f>
        <v/>
      </c>
      <c r="E27" s="3" t="n">
        <v>0.391</v>
      </c>
      <c r="F27" t="n">
        <v>1973</v>
      </c>
      <c r="G27" t="n">
        <v>0.75</v>
      </c>
    </row>
    <row r="28">
      <c r="A28" t="inlineStr">
        <is>
          <t>og70s</t>
        </is>
      </c>
      <c r="B28" t="inlineStr">
        <is>
          <t>O&amp;G (1970-80s)</t>
        </is>
      </c>
      <c r="C28" t="n">
        <v>1973</v>
      </c>
      <c r="D28">
        <f>C28-C24</f>
        <v/>
      </c>
      <c r="E28" s="3" t="n">
        <v>0.391</v>
      </c>
      <c r="F28" t="n">
        <v>1973</v>
      </c>
      <c r="G28" t="n">
        <v>1</v>
      </c>
    </row>
    <row r="29">
      <c r="A29" t="inlineStr">
        <is>
          <t>og70s</t>
        </is>
      </c>
      <c r="B29" t="inlineStr">
        <is>
          <t>O&amp;G (1970-80s)</t>
        </is>
      </c>
      <c r="C29" t="n">
        <v>1973.25</v>
      </c>
      <c r="D29">
        <f>C29-C24</f>
        <v/>
      </c>
      <c r="E29" s="3" t="n">
        <v>0.391</v>
      </c>
      <c r="F29" t="n">
        <v>1973</v>
      </c>
      <c r="G29" t="n">
        <v>1.25</v>
      </c>
    </row>
    <row r="30">
      <c r="A30" t="inlineStr">
        <is>
          <t>og70s</t>
        </is>
      </c>
      <c r="B30" t="inlineStr">
        <is>
          <t>O&amp;G (1970-80s)</t>
        </is>
      </c>
      <c r="C30" t="n">
        <v>1973.5</v>
      </c>
      <c r="D30">
        <f>C30-C24</f>
        <v/>
      </c>
      <c r="E30" s="3" t="n">
        <v>0.495</v>
      </c>
      <c r="F30" t="n">
        <v>1974</v>
      </c>
      <c r="G30" t="n">
        <v>1.5</v>
      </c>
    </row>
    <row r="31">
      <c r="A31" t="inlineStr">
        <is>
          <t>og70s</t>
        </is>
      </c>
      <c r="B31" t="inlineStr">
        <is>
          <t>O&amp;G (1970-80s)</t>
        </is>
      </c>
      <c r="C31" t="n">
        <v>1973.75</v>
      </c>
      <c r="D31">
        <f>C31-C24</f>
        <v/>
      </c>
      <c r="E31" s="3" t="n">
        <v>0.495</v>
      </c>
      <c r="F31" t="n">
        <v>1974</v>
      </c>
      <c r="G31" t="n">
        <v>1.75</v>
      </c>
    </row>
    <row r="32">
      <c r="A32" t="inlineStr">
        <is>
          <t>og70s</t>
        </is>
      </c>
      <c r="B32" t="inlineStr">
        <is>
          <t>O&amp;G (1970-80s)</t>
        </is>
      </c>
      <c r="C32" t="n">
        <v>1974</v>
      </c>
      <c r="D32">
        <f>C32-C24</f>
        <v/>
      </c>
      <c r="E32" s="3" t="n">
        <v>0.495</v>
      </c>
      <c r="F32" t="n">
        <v>1974</v>
      </c>
      <c r="G32" t="n">
        <v>2</v>
      </c>
    </row>
    <row r="33">
      <c r="A33" t="inlineStr">
        <is>
          <t>og70s</t>
        </is>
      </c>
      <c r="B33" t="inlineStr">
        <is>
          <t>O&amp;G (1970-80s)</t>
        </is>
      </c>
      <c r="C33" t="n">
        <v>1974.25</v>
      </c>
      <c r="D33">
        <f>C33-C24</f>
        <v/>
      </c>
      <c r="E33" s="3" t="n">
        <v>0.495</v>
      </c>
      <c r="F33" t="n">
        <v>1974</v>
      </c>
      <c r="G33" t="n">
        <v>2.25</v>
      </c>
    </row>
    <row r="34">
      <c r="A34" t="inlineStr">
        <is>
          <t>og70s</t>
        </is>
      </c>
      <c r="B34" t="inlineStr">
        <is>
          <t>O&amp;G (1970-80s)</t>
        </is>
      </c>
      <c r="C34" t="n">
        <v>1974.5</v>
      </c>
      <c r="D34">
        <f>C34-C24</f>
        <v/>
      </c>
      <c r="E34" s="3" t="n">
        <v>0.665</v>
      </c>
      <c r="F34" t="n">
        <v>1975</v>
      </c>
      <c r="G34" t="n">
        <v>2.5</v>
      </c>
    </row>
    <row r="35">
      <c r="A35" t="inlineStr">
        <is>
          <t>og70s</t>
        </is>
      </c>
      <c r="B35" t="inlineStr">
        <is>
          <t>O&amp;G (1970-80s)</t>
        </is>
      </c>
      <c r="C35" t="n">
        <v>1974.75</v>
      </c>
      <c r="D35">
        <f>C35-C24</f>
        <v/>
      </c>
      <c r="E35" s="3" t="n">
        <v>0.665</v>
      </c>
      <c r="F35" t="n">
        <v>1975</v>
      </c>
      <c r="G35" t="n">
        <v>2.75</v>
      </c>
    </row>
    <row r="36">
      <c r="A36" t="inlineStr">
        <is>
          <t>og70s</t>
        </is>
      </c>
      <c r="B36" t="inlineStr">
        <is>
          <t>O&amp;G (1970-80s)</t>
        </is>
      </c>
      <c r="C36" t="n">
        <v>1975</v>
      </c>
      <c r="D36">
        <f>C36-C24</f>
        <v/>
      </c>
      <c r="E36" s="3" t="n">
        <v>0.665</v>
      </c>
      <c r="F36" t="n">
        <v>1975</v>
      </c>
      <c r="G36" t="n">
        <v>3</v>
      </c>
    </row>
    <row r="37">
      <c r="A37" t="inlineStr">
        <is>
          <t>og70s</t>
        </is>
      </c>
      <c r="B37" t="inlineStr">
        <is>
          <t>O&amp;G (1970-80s)</t>
        </is>
      </c>
      <c r="C37" t="n">
        <v>1975.25</v>
      </c>
      <c r="D37">
        <f>C37-C24</f>
        <v/>
      </c>
      <c r="E37" s="3" t="n">
        <v>0.665</v>
      </c>
      <c r="F37" t="n">
        <v>1975</v>
      </c>
      <c r="G37" t="n">
        <v>3.25</v>
      </c>
    </row>
    <row r="38">
      <c r="A38" t="inlineStr">
        <is>
          <t>og70s</t>
        </is>
      </c>
      <c r="B38" t="inlineStr">
        <is>
          <t>O&amp;G (1970-80s)</t>
        </is>
      </c>
      <c r="C38" t="n">
        <v>1975.5</v>
      </c>
      <c r="D38">
        <f>C38-C24</f>
        <v/>
      </c>
      <c r="E38" s="3" t="n">
        <v>0.7</v>
      </c>
      <c r="F38" t="n">
        <v>1976</v>
      </c>
      <c r="G38" t="n">
        <v>3.5</v>
      </c>
    </row>
    <row r="39">
      <c r="A39" t="inlineStr">
        <is>
          <t>og70s</t>
        </is>
      </c>
      <c r="B39" t="inlineStr">
        <is>
          <t>O&amp;G (1970-80s)</t>
        </is>
      </c>
      <c r="C39" t="n">
        <v>1975.75</v>
      </c>
      <c r="D39">
        <f>C39-C24</f>
        <v/>
      </c>
      <c r="E39" s="3" t="n">
        <v>0.7</v>
      </c>
      <c r="F39" t="n">
        <v>1976</v>
      </c>
      <c r="G39" t="n">
        <v>3.75</v>
      </c>
    </row>
    <row r="40">
      <c r="A40" t="inlineStr">
        <is>
          <t>og70s</t>
        </is>
      </c>
      <c r="B40" t="inlineStr">
        <is>
          <t>O&amp;G (1970-80s)</t>
        </is>
      </c>
      <c r="C40" t="n">
        <v>1976</v>
      </c>
      <c r="D40">
        <f>C40-C24</f>
        <v/>
      </c>
      <c r="E40" s="3" t="n">
        <v>0.7</v>
      </c>
      <c r="F40" t="n">
        <v>1976</v>
      </c>
      <c r="G40" t="n">
        <v>4</v>
      </c>
    </row>
    <row r="41">
      <c r="A41" t="inlineStr">
        <is>
          <t>og70s</t>
        </is>
      </c>
      <c r="B41" t="inlineStr">
        <is>
          <t>O&amp;G (1970-80s)</t>
        </is>
      </c>
      <c r="C41" t="n">
        <v>1976.25</v>
      </c>
      <c r="D41">
        <f>C41-C24</f>
        <v/>
      </c>
      <c r="E41" s="3" t="n">
        <v>0.7</v>
      </c>
      <c r="F41" t="n">
        <v>1976</v>
      </c>
      <c r="G41" t="n">
        <v>4.25</v>
      </c>
    </row>
    <row r="42">
      <c r="A42" t="inlineStr">
        <is>
          <t>og70s</t>
        </is>
      </c>
      <c r="B42" t="inlineStr">
        <is>
          <t>O&amp;G (1970-80s)</t>
        </is>
      </c>
      <c r="C42" t="n">
        <v>1976.5</v>
      </c>
      <c r="D42">
        <f>C42-C24</f>
        <v/>
      </c>
      <c r="E42" s="3" t="n">
        <v>0.722</v>
      </c>
      <c r="F42" t="n">
        <v>1977</v>
      </c>
      <c r="G42" t="n">
        <v>4.5</v>
      </c>
    </row>
    <row r="43">
      <c r="A43" t="inlineStr">
        <is>
          <t>og70s</t>
        </is>
      </c>
      <c r="B43" t="inlineStr">
        <is>
          <t>O&amp;G (1970-80s)</t>
        </is>
      </c>
      <c r="C43" t="n">
        <v>1976.75</v>
      </c>
      <c r="D43">
        <f>C43-C24</f>
        <v/>
      </c>
      <c r="E43" s="3" t="n">
        <v>0.722</v>
      </c>
      <c r="F43" t="n">
        <v>1977</v>
      </c>
      <c r="G43" t="n">
        <v>4.75</v>
      </c>
    </row>
    <row r="44">
      <c r="A44" t="inlineStr">
        <is>
          <t>og70s</t>
        </is>
      </c>
      <c r="B44" t="inlineStr">
        <is>
          <t>O&amp;G (1970-80s)</t>
        </is>
      </c>
      <c r="C44" t="n">
        <v>1977</v>
      </c>
      <c r="D44">
        <f>C44-C24</f>
        <v/>
      </c>
      <c r="E44" s="3" t="n">
        <v>0.722</v>
      </c>
      <c r="F44" t="n">
        <v>1977</v>
      </c>
      <c r="G44" t="n">
        <v>5</v>
      </c>
    </row>
    <row r="45">
      <c r="A45" t="inlineStr">
        <is>
          <t>og70s</t>
        </is>
      </c>
      <c r="B45" t="inlineStr">
        <is>
          <t>O&amp;G (1970-80s)</t>
        </is>
      </c>
      <c r="C45" t="n">
        <v>1977.25</v>
      </c>
      <c r="D45">
        <f>C45-C24</f>
        <v/>
      </c>
      <c r="E45" s="3" t="n">
        <v>0.722</v>
      </c>
      <c r="F45" t="n">
        <v>1977</v>
      </c>
      <c r="G45" t="n">
        <v>5.25</v>
      </c>
    </row>
    <row r="46">
      <c r="A46" t="inlineStr">
        <is>
          <t>og70s</t>
        </is>
      </c>
      <c r="B46" t="inlineStr">
        <is>
          <t>O&amp;G (1970-80s)</t>
        </is>
      </c>
      <c r="C46" t="n">
        <v>1977.5</v>
      </c>
      <c r="D46">
        <f>C46-C24</f>
        <v/>
      </c>
      <c r="E46" s="3" t="n">
        <v>0.909</v>
      </c>
      <c r="F46" t="n">
        <v>1978</v>
      </c>
      <c r="G46" t="n">
        <v>5.5</v>
      </c>
    </row>
    <row r="47">
      <c r="A47" t="inlineStr">
        <is>
          <t>og70s</t>
        </is>
      </c>
      <c r="B47" t="inlineStr">
        <is>
          <t>O&amp;G (1970-80s)</t>
        </is>
      </c>
      <c r="C47" t="n">
        <v>1977.75</v>
      </c>
      <c r="D47">
        <f>C47-C24</f>
        <v/>
      </c>
      <c r="E47" s="3" t="n">
        <v>0.909</v>
      </c>
      <c r="F47" t="n">
        <v>1978</v>
      </c>
      <c r="G47" t="n">
        <v>5.75</v>
      </c>
    </row>
    <row r="48">
      <c r="A48" t="inlineStr">
        <is>
          <t>og70s</t>
        </is>
      </c>
      <c r="B48" t="inlineStr">
        <is>
          <t>O&amp;G (1970-80s)</t>
        </is>
      </c>
      <c r="C48" t="n">
        <v>1978</v>
      </c>
      <c r="D48">
        <f>C48-C24</f>
        <v/>
      </c>
      <c r="E48" s="3" t="n">
        <v>0.909</v>
      </c>
      <c r="F48" t="n">
        <v>1978</v>
      </c>
      <c r="G48" t="n">
        <v>6</v>
      </c>
    </row>
    <row r="49">
      <c r="A49" t="inlineStr">
        <is>
          <t>og70s</t>
        </is>
      </c>
      <c r="B49" t="inlineStr">
        <is>
          <t>O&amp;G (1970-80s)</t>
        </is>
      </c>
      <c r="C49" t="n">
        <v>1978.25</v>
      </c>
      <c r="D49">
        <f>C49-C24</f>
        <v/>
      </c>
      <c r="E49" s="3" t="n">
        <v>0.909</v>
      </c>
      <c r="F49" t="n">
        <v>1978</v>
      </c>
      <c r="G49" t="n">
        <v>6.25</v>
      </c>
    </row>
    <row r="50">
      <c r="A50" t="inlineStr">
        <is>
          <t>og70s</t>
        </is>
      </c>
      <c r="B50" t="inlineStr">
        <is>
          <t>O&amp;G (1970-80s)</t>
        </is>
      </c>
      <c r="C50" t="n">
        <v>1978.5</v>
      </c>
      <c r="D50">
        <f>C50-C24</f>
        <v/>
      </c>
      <c r="E50" s="3" t="n">
        <v>1.064</v>
      </c>
      <c r="F50" t="n">
        <v>1979</v>
      </c>
      <c r="G50" t="n">
        <v>6.5</v>
      </c>
    </row>
    <row r="51">
      <c r="A51" t="inlineStr">
        <is>
          <t>og70s</t>
        </is>
      </c>
      <c r="B51" t="inlineStr">
        <is>
          <t>O&amp;G (1970-80s)</t>
        </is>
      </c>
      <c r="C51" t="n">
        <v>1978.75</v>
      </c>
      <c r="D51">
        <f>C51-C24</f>
        <v/>
      </c>
      <c r="E51" s="3" t="n">
        <v>1.064</v>
      </c>
      <c r="F51" t="n">
        <v>1979</v>
      </c>
      <c r="G51" t="n">
        <v>6.75</v>
      </c>
    </row>
    <row r="52">
      <c r="A52" t="inlineStr">
        <is>
          <t>og70s</t>
        </is>
      </c>
      <c r="B52" t="inlineStr">
        <is>
          <t>O&amp;G (1970-80s)</t>
        </is>
      </c>
      <c r="C52" t="n">
        <v>1979</v>
      </c>
      <c r="D52">
        <f>C52-C24</f>
        <v/>
      </c>
      <c r="E52" s="3" t="n">
        <v>1.064</v>
      </c>
      <c r="F52" t="n">
        <v>1979</v>
      </c>
      <c r="G52" t="n">
        <v>7</v>
      </c>
    </row>
    <row r="53">
      <c r="A53" t="inlineStr">
        <is>
          <t>og70s</t>
        </is>
      </c>
      <c r="B53" t="inlineStr">
        <is>
          <t>O&amp;G (1970-80s)</t>
        </is>
      </c>
      <c r="C53" t="n">
        <v>1979.25</v>
      </c>
      <c r="D53">
        <f>C53-C24</f>
        <v/>
      </c>
      <c r="E53" s="3" t="n">
        <v>1.064</v>
      </c>
      <c r="F53" t="n">
        <v>1979</v>
      </c>
      <c r="G53" t="n">
        <v>7.25</v>
      </c>
    </row>
    <row r="54">
      <c r="A54" t="inlineStr">
        <is>
          <t>og70s</t>
        </is>
      </c>
      <c r="B54" t="inlineStr">
        <is>
          <t>O&amp;G (1970-80s)</t>
        </is>
      </c>
      <c r="C54" t="n">
        <v>1979.5</v>
      </c>
      <c r="D54">
        <f>C54-C24</f>
        <v/>
      </c>
      <c r="E54" s="3" t="n">
        <v>1.425</v>
      </c>
      <c r="F54" t="n">
        <v>1980</v>
      </c>
      <c r="G54" t="n">
        <v>7.5</v>
      </c>
    </row>
    <row r="55">
      <c r="A55" t="inlineStr">
        <is>
          <t>og70s</t>
        </is>
      </c>
      <c r="B55" t="inlineStr">
        <is>
          <t>O&amp;G (1970-80s)</t>
        </is>
      </c>
      <c r="C55" t="n">
        <v>1979.75</v>
      </c>
      <c r="D55">
        <f>C55-C24</f>
        <v/>
      </c>
      <c r="E55" s="3" t="n">
        <v>1.425</v>
      </c>
      <c r="F55" t="n">
        <v>1980</v>
      </c>
      <c r="G55" t="n">
        <v>7.75</v>
      </c>
    </row>
    <row r="56">
      <c r="A56" t="inlineStr">
        <is>
          <t>og70s</t>
        </is>
      </c>
      <c r="B56" t="inlineStr">
        <is>
          <t>O&amp;G (1970-80s)</t>
        </is>
      </c>
      <c r="C56" t="n">
        <v>1980</v>
      </c>
      <c r="D56">
        <f>C56-C24</f>
        <v/>
      </c>
      <c r="E56" s="3" t="n">
        <v>1.425</v>
      </c>
      <c r="F56" t="n">
        <v>1980</v>
      </c>
      <c r="G56" t="n">
        <v>8</v>
      </c>
    </row>
    <row r="57">
      <c r="A57" t="inlineStr">
        <is>
          <t>og70s</t>
        </is>
      </c>
      <c r="B57" t="inlineStr">
        <is>
          <t>O&amp;G (1970-80s)</t>
        </is>
      </c>
      <c r="C57" t="n">
        <v>1980.25</v>
      </c>
      <c r="D57">
        <f>C57-C24</f>
        <v/>
      </c>
      <c r="E57" s="3" t="n">
        <v>1.425</v>
      </c>
      <c r="F57" t="n">
        <v>1980</v>
      </c>
      <c r="G57" t="n">
        <v>8.25</v>
      </c>
    </row>
    <row r="58">
      <c r="A58" t="inlineStr">
        <is>
          <t>og70s</t>
        </is>
      </c>
      <c r="B58" t="inlineStr">
        <is>
          <t>O&amp;G (1970-80s)</t>
        </is>
      </c>
      <c r="C58" t="n">
        <v>1980.5</v>
      </c>
      <c r="D58">
        <f>C58-C24</f>
        <v/>
      </c>
      <c r="E58" s="3" t="n">
        <v>1.972</v>
      </c>
      <c r="F58" t="n">
        <v>1981</v>
      </c>
      <c r="G58" t="n">
        <v>8.5</v>
      </c>
    </row>
    <row r="59">
      <c r="A59" t="inlineStr">
        <is>
          <t>og70s</t>
        </is>
      </c>
      <c r="B59" t="inlineStr">
        <is>
          <t>O&amp;G (1970-80s)</t>
        </is>
      </c>
      <c r="C59" t="n">
        <v>1980.75</v>
      </c>
      <c r="D59">
        <f>C59-C24</f>
        <v/>
      </c>
      <c r="E59" s="3" t="n">
        <v>1.972</v>
      </c>
      <c r="F59" t="n">
        <v>1981</v>
      </c>
      <c r="G59" t="n">
        <v>8.75</v>
      </c>
    </row>
    <row r="60">
      <c r="A60" t="inlineStr">
        <is>
          <t>og70s</t>
        </is>
      </c>
      <c r="B60" t="inlineStr">
        <is>
          <t>O&amp;G (1970-80s)</t>
        </is>
      </c>
      <c r="C60" t="n">
        <v>1981</v>
      </c>
      <c r="D60">
        <f>C60-C24</f>
        <v/>
      </c>
      <c r="E60" s="3" t="n">
        <v>1.972</v>
      </c>
      <c r="F60" t="n">
        <v>1981</v>
      </c>
      <c r="G60" t="n">
        <v>9</v>
      </c>
    </row>
    <row r="61">
      <c r="A61" t="inlineStr">
        <is>
          <t>og70s</t>
        </is>
      </c>
      <c r="B61" t="inlineStr">
        <is>
          <t>O&amp;G (1970-80s)</t>
        </is>
      </c>
      <c r="C61" t="n">
        <v>1981.25</v>
      </c>
      <c r="D61">
        <f>C61-C24</f>
        <v/>
      </c>
      <c r="E61" s="3" t="n">
        <v>1.972</v>
      </c>
      <c r="F61" t="n">
        <v>1981</v>
      </c>
      <c r="G61" t="n">
        <v>9.25</v>
      </c>
    </row>
    <row r="62">
      <c r="A62" t="inlineStr">
        <is>
          <t>og70s</t>
        </is>
      </c>
      <c r="B62" t="inlineStr">
        <is>
          <t>O&amp;G (1970-80s)</t>
        </is>
      </c>
      <c r="C62" t="n">
        <v>1981.5</v>
      </c>
      <c r="D62">
        <f>C62-C24</f>
        <v/>
      </c>
      <c r="E62" s="3" t="n">
        <v>1.891</v>
      </c>
      <c r="F62" t="n">
        <v>1982</v>
      </c>
      <c r="G62" t="n">
        <v>9.5</v>
      </c>
    </row>
    <row r="63">
      <c r="A63" t="inlineStr">
        <is>
          <t>og70s</t>
        </is>
      </c>
      <c r="B63" t="inlineStr">
        <is>
          <t>O&amp;G (1970-80s)</t>
        </is>
      </c>
      <c r="C63" t="n">
        <v>1981.75</v>
      </c>
      <c r="D63">
        <f>C63-C24</f>
        <v/>
      </c>
      <c r="E63" s="3" t="n">
        <v>1.891</v>
      </c>
      <c r="F63" t="n">
        <v>1982</v>
      </c>
      <c r="G63" t="n">
        <v>9.75</v>
      </c>
    </row>
    <row r="64">
      <c r="A64" t="inlineStr">
        <is>
          <t>og70s</t>
        </is>
      </c>
      <c r="B64" t="inlineStr">
        <is>
          <t>O&amp;G (1970-80s)</t>
        </is>
      </c>
      <c r="C64" t="n">
        <v>1982</v>
      </c>
      <c r="D64">
        <f>C64-C24</f>
        <v/>
      </c>
      <c r="E64" s="3" t="n">
        <v>1.891</v>
      </c>
      <c r="F64" t="n">
        <v>1982</v>
      </c>
      <c r="G64" t="n">
        <v>10</v>
      </c>
    </row>
    <row r="65">
      <c r="A65" t="inlineStr">
        <is>
          <t>og70s</t>
        </is>
      </c>
      <c r="B65" t="inlineStr">
        <is>
          <t>O&amp;G (1970-80s)</t>
        </is>
      </c>
      <c r="C65" t="n">
        <v>1982.25</v>
      </c>
      <c r="D65">
        <f>C65-C24</f>
        <v/>
      </c>
      <c r="E65" s="3" t="n">
        <v>1.891</v>
      </c>
      <c r="F65" t="n">
        <v>1982</v>
      </c>
      <c r="G65" t="n">
        <v>10.25</v>
      </c>
    </row>
    <row r="66">
      <c r="A66" t="inlineStr">
        <is>
          <t>og70s</t>
        </is>
      </c>
      <c r="B66" t="inlineStr">
        <is>
          <t>O&amp;G (1970-80s)</t>
        </is>
      </c>
      <c r="C66" t="n">
        <v>1982.5</v>
      </c>
      <c r="D66">
        <f>C66-C24</f>
        <v/>
      </c>
      <c r="E66" s="3" t="n">
        <v>1.182</v>
      </c>
      <c r="F66" t="n">
        <v>1983</v>
      </c>
      <c r="G66" t="n">
        <v>10.5</v>
      </c>
    </row>
    <row r="67">
      <c r="A67" t="inlineStr">
        <is>
          <t>og70s</t>
        </is>
      </c>
      <c r="B67" t="inlineStr">
        <is>
          <t>O&amp;G (1970-80s)</t>
        </is>
      </c>
      <c r="C67" t="n">
        <v>1982.75</v>
      </c>
      <c r="D67">
        <f>C67-C24</f>
        <v/>
      </c>
      <c r="E67" s="3" t="n">
        <v>1.182</v>
      </c>
      <c r="F67" t="n">
        <v>1983</v>
      </c>
      <c r="G67" t="n">
        <v>10.75</v>
      </c>
    </row>
    <row r="68">
      <c r="A68" t="inlineStr">
        <is>
          <t>og70s</t>
        </is>
      </c>
      <c r="B68" t="inlineStr">
        <is>
          <t>O&amp;G (1970-80s)</t>
        </is>
      </c>
      <c r="C68" t="n">
        <v>1983</v>
      </c>
      <c r="D68">
        <f>C68-C24</f>
        <v/>
      </c>
      <c r="E68" s="3" t="n">
        <v>1.182</v>
      </c>
      <c r="F68" t="n">
        <v>1983</v>
      </c>
      <c r="G68" t="n">
        <v>11</v>
      </c>
    </row>
    <row r="69">
      <c r="A69" t="inlineStr">
        <is>
          <t>og70s</t>
        </is>
      </c>
      <c r="B69" t="inlineStr">
        <is>
          <t>O&amp;G (1970-80s)</t>
        </is>
      </c>
      <c r="C69" t="n">
        <v>1983.25</v>
      </c>
      <c r="D69">
        <f>C69-C24</f>
        <v/>
      </c>
      <c r="E69" s="3" t="n">
        <v>1.182</v>
      </c>
      <c r="F69" t="n">
        <v>1983</v>
      </c>
      <c r="G69" t="n">
        <v>11.25</v>
      </c>
    </row>
    <row r="70">
      <c r="A70" t="inlineStr">
        <is>
          <t>og70s</t>
        </is>
      </c>
      <c r="B70" t="inlineStr">
        <is>
          <t>O&amp;G (1970-80s)</t>
        </is>
      </c>
      <c r="C70" t="n">
        <v>1983.5</v>
      </c>
      <c r="D70">
        <f>C70-C24</f>
        <v/>
      </c>
      <c r="E70" s="3" t="n">
        <v>1.093</v>
      </c>
      <c r="F70" t="n">
        <v>1984</v>
      </c>
      <c r="G70" t="n">
        <v>11.5</v>
      </c>
    </row>
    <row r="71">
      <c r="A71" t="inlineStr">
        <is>
          <t>og70s</t>
        </is>
      </c>
      <c r="B71" t="inlineStr">
        <is>
          <t>O&amp;G (1970-80s)</t>
        </is>
      </c>
      <c r="C71" t="n">
        <v>1983.75</v>
      </c>
      <c r="D71">
        <f>C71-C24</f>
        <v/>
      </c>
      <c r="E71" s="3" t="n">
        <v>1.093</v>
      </c>
      <c r="F71" t="n">
        <v>1984</v>
      </c>
      <c r="G71" t="n">
        <v>11.75</v>
      </c>
    </row>
    <row r="72">
      <c r="A72" t="inlineStr">
        <is>
          <t>og70s</t>
        </is>
      </c>
      <c r="B72" t="inlineStr">
        <is>
          <t>O&amp;G (1970-80s)</t>
        </is>
      </c>
      <c r="C72" t="n">
        <v>1984</v>
      </c>
      <c r="D72">
        <f>C72-C24</f>
        <v/>
      </c>
      <c r="E72" s="3" t="n">
        <v>1.093</v>
      </c>
      <c r="F72" t="n">
        <v>1984</v>
      </c>
      <c r="G72" t="n">
        <v>12</v>
      </c>
    </row>
    <row r="73">
      <c r="A73" t="inlineStr">
        <is>
          <t>og70s</t>
        </is>
      </c>
      <c r="B73" t="inlineStr">
        <is>
          <t>O&amp;G (1970-80s)</t>
        </is>
      </c>
      <c r="C73" t="n">
        <v>1984.25</v>
      </c>
      <c r="D73">
        <f>C73-C24</f>
        <v/>
      </c>
      <c r="E73" s="3" t="n">
        <v>1.093</v>
      </c>
      <c r="F73" t="n">
        <v>1984</v>
      </c>
      <c r="G73" t="n">
        <v>12.25</v>
      </c>
    </row>
    <row r="74">
      <c r="A74" t="inlineStr">
        <is>
          <t>og70s</t>
        </is>
      </c>
      <c r="B74" t="inlineStr">
        <is>
          <t>O&amp;G (1970-80s)</t>
        </is>
      </c>
      <c r="C74" t="n">
        <v>1984.5</v>
      </c>
      <c r="D74">
        <f>C74-C24</f>
        <v/>
      </c>
      <c r="E74" s="3" t="n">
        <v>0.925</v>
      </c>
      <c r="F74" t="n">
        <v>1985</v>
      </c>
      <c r="G74" t="n">
        <v>12.5</v>
      </c>
    </row>
    <row r="75">
      <c r="A75" t="inlineStr">
        <is>
          <t>og70s</t>
        </is>
      </c>
      <c r="B75" t="inlineStr">
        <is>
          <t>O&amp;G (1970-80s)</t>
        </is>
      </c>
      <c r="C75" t="n">
        <v>1984.75</v>
      </c>
      <c r="D75">
        <f>C75-C24</f>
        <v/>
      </c>
      <c r="E75" s="3" t="n">
        <v>0.925</v>
      </c>
      <c r="F75" t="n">
        <v>1985</v>
      </c>
      <c r="G75" t="n">
        <v>12.75</v>
      </c>
    </row>
    <row r="76">
      <c r="A76" t="inlineStr">
        <is>
          <t>og70s</t>
        </is>
      </c>
      <c r="B76" t="inlineStr">
        <is>
          <t>O&amp;G (1970-80s)</t>
        </is>
      </c>
      <c r="C76" t="n">
        <v>1985</v>
      </c>
      <c r="D76">
        <f>C76-C24</f>
        <v/>
      </c>
      <c r="E76" s="3" t="n">
        <v>0.925</v>
      </c>
      <c r="F76" t="n">
        <v>1985</v>
      </c>
      <c r="G76" t="n">
        <v>13</v>
      </c>
    </row>
    <row r="77">
      <c r="A77" t="inlineStr">
        <is>
          <t>og70s</t>
        </is>
      </c>
      <c r="B77" t="inlineStr">
        <is>
          <t>O&amp;G (1970-80s)</t>
        </is>
      </c>
      <c r="C77" t="n">
        <v>1985.25</v>
      </c>
      <c r="D77">
        <f>C77-C24</f>
        <v/>
      </c>
      <c r="E77" s="3" t="n">
        <v>0.925</v>
      </c>
      <c r="F77" t="n">
        <v>1985</v>
      </c>
      <c r="G77" t="n">
        <v>13.25</v>
      </c>
    </row>
    <row r="78">
      <c r="A78" t="inlineStr">
        <is>
          <t>og70s</t>
        </is>
      </c>
      <c r="B78" t="inlineStr">
        <is>
          <t>O&amp;G (1970-80s)</t>
        </is>
      </c>
      <c r="C78" t="n">
        <v>1985.5</v>
      </c>
      <c r="D78">
        <f>C78-C24</f>
        <v/>
      </c>
      <c r="E78" s="3" t="n">
        <v>0.516</v>
      </c>
      <c r="F78" t="n">
        <v>1986</v>
      </c>
      <c r="G78" t="n">
        <v>13.5</v>
      </c>
    </row>
    <row r="79">
      <c r="A79" t="inlineStr">
        <is>
          <t>og70s</t>
        </is>
      </c>
      <c r="B79" t="inlineStr">
        <is>
          <t>O&amp;G (1970-80s)</t>
        </is>
      </c>
      <c r="C79" t="n">
        <v>1985.75</v>
      </c>
      <c r="D79">
        <f>C79-C24</f>
        <v/>
      </c>
      <c r="E79" s="3" t="n">
        <v>0.516</v>
      </c>
      <c r="F79" t="n">
        <v>1986</v>
      </c>
      <c r="G79" t="n">
        <v>13.75</v>
      </c>
    </row>
    <row r="80">
      <c r="A80" t="inlineStr">
        <is>
          <t>og70s</t>
        </is>
      </c>
      <c r="B80" t="inlineStr">
        <is>
          <t>O&amp;G (1970-80s)</t>
        </is>
      </c>
      <c r="C80" t="n">
        <v>1986</v>
      </c>
      <c r="D80">
        <f>C80-C24</f>
        <v/>
      </c>
      <c r="E80" s="3" t="n">
        <v>0.516</v>
      </c>
      <c r="F80" t="n">
        <v>1986</v>
      </c>
      <c r="G80" t="n">
        <v>14</v>
      </c>
    </row>
    <row r="81">
      <c r="A81" t="inlineStr">
        <is>
          <t>telecom</t>
        </is>
      </c>
      <c r="B81" t="inlineStr">
        <is>
          <t>Telecoms (1990s)</t>
        </is>
      </c>
      <c r="C81" t="n">
        <v>1995</v>
      </c>
      <c r="D81">
        <f>C81-C81</f>
        <v/>
      </c>
      <c r="E81" s="3" t="n">
        <v>1.054</v>
      </c>
      <c r="F81" t="n">
        <v>1995</v>
      </c>
      <c r="G81" t="n">
        <v>0</v>
      </c>
    </row>
    <row r="82">
      <c r="A82" t="inlineStr">
        <is>
          <t>telecom</t>
        </is>
      </c>
      <c r="B82" t="inlineStr">
        <is>
          <t>Telecoms (1990s)</t>
        </is>
      </c>
      <c r="C82" t="n">
        <v>1995.25</v>
      </c>
      <c r="D82">
        <f>C82-C81</f>
        <v/>
      </c>
      <c r="E82" s="3" t="n">
        <v>1.054</v>
      </c>
      <c r="F82" t="n">
        <v>1995</v>
      </c>
      <c r="G82" t="n">
        <v>0.25</v>
      </c>
    </row>
    <row r="83">
      <c r="A83" t="inlineStr">
        <is>
          <t>telecom</t>
        </is>
      </c>
      <c r="B83" t="inlineStr">
        <is>
          <t>Telecoms (1990s)</t>
        </is>
      </c>
      <c r="C83" t="n">
        <v>1995.5</v>
      </c>
      <c r="D83">
        <f>C83-C81</f>
        <v/>
      </c>
      <c r="E83" s="3" t="n">
        <v>1.083</v>
      </c>
      <c r="F83" t="n">
        <v>1996</v>
      </c>
      <c r="G83" t="n">
        <v>0.5</v>
      </c>
    </row>
    <row r="84">
      <c r="A84" t="inlineStr">
        <is>
          <t>telecom</t>
        </is>
      </c>
      <c r="B84" t="inlineStr">
        <is>
          <t>Telecoms (1990s)</t>
        </is>
      </c>
      <c r="C84" t="n">
        <v>1995.75</v>
      </c>
      <c r="D84">
        <f>C84-C81</f>
        <v/>
      </c>
      <c r="E84" s="3" t="n">
        <v>1.083</v>
      </c>
      <c r="F84" t="n">
        <v>1996</v>
      </c>
      <c r="G84" t="n">
        <v>0.75</v>
      </c>
    </row>
    <row r="85">
      <c r="A85" t="inlineStr">
        <is>
          <t>telecom</t>
        </is>
      </c>
      <c r="B85" t="inlineStr">
        <is>
          <t>Telecoms (1990s)</t>
        </is>
      </c>
      <c r="C85" t="n">
        <v>1996</v>
      </c>
      <c r="D85">
        <f>C85-C81</f>
        <v/>
      </c>
      <c r="E85" s="3" t="n">
        <v>1.083</v>
      </c>
      <c r="F85" t="n">
        <v>1996</v>
      </c>
      <c r="G85" t="n">
        <v>1</v>
      </c>
    </row>
    <row r="86">
      <c r="A86" t="inlineStr">
        <is>
          <t>telecom</t>
        </is>
      </c>
      <c r="B86" t="inlineStr">
        <is>
          <t>Telecoms (1990s)</t>
        </is>
      </c>
      <c r="C86" t="n">
        <v>1996.25</v>
      </c>
      <c r="D86">
        <f>C86-C81</f>
        <v/>
      </c>
      <c r="E86" s="3" t="n">
        <v>1.083</v>
      </c>
      <c r="F86" t="n">
        <v>1996</v>
      </c>
      <c r="G86" t="n">
        <v>1.25</v>
      </c>
    </row>
    <row r="87">
      <c r="A87" t="inlineStr">
        <is>
          <t>telecom</t>
        </is>
      </c>
      <c r="B87" t="inlineStr">
        <is>
          <t>Telecoms (1990s)</t>
        </is>
      </c>
      <c r="C87" t="n">
        <v>1996.5</v>
      </c>
      <c r="D87">
        <f>C87-C81</f>
        <v/>
      </c>
      <c r="E87" s="3" t="n">
        <v>1.098</v>
      </c>
      <c r="F87" t="n">
        <v>1997</v>
      </c>
      <c r="G87" t="n">
        <v>1.5</v>
      </c>
    </row>
    <row r="88">
      <c r="A88" t="inlineStr">
        <is>
          <t>telecom</t>
        </is>
      </c>
      <c r="B88" t="inlineStr">
        <is>
          <t>Telecoms (1990s)</t>
        </is>
      </c>
      <c r="C88" t="n">
        <v>1996.75</v>
      </c>
      <c r="D88">
        <f>C88-C81</f>
        <v/>
      </c>
      <c r="E88" s="3" t="n">
        <v>1.098</v>
      </c>
      <c r="F88" t="n">
        <v>1997</v>
      </c>
      <c r="G88" t="n">
        <v>1.75</v>
      </c>
    </row>
    <row r="89">
      <c r="A89" t="inlineStr">
        <is>
          <t>telecom</t>
        </is>
      </c>
      <c r="B89" t="inlineStr">
        <is>
          <t>Telecoms (1990s)</t>
        </is>
      </c>
      <c r="C89" t="n">
        <v>1997</v>
      </c>
      <c r="D89">
        <f>C89-C81</f>
        <v/>
      </c>
      <c r="E89" s="3" t="n">
        <v>1.098</v>
      </c>
      <c r="F89" t="n">
        <v>1997</v>
      </c>
      <c r="G89" t="n">
        <v>2</v>
      </c>
    </row>
    <row r="90">
      <c r="A90" t="inlineStr">
        <is>
          <t>telecom</t>
        </is>
      </c>
      <c r="B90" t="inlineStr">
        <is>
          <t>Telecoms (1990s)</t>
        </is>
      </c>
      <c r="C90" t="n">
        <v>1997.25</v>
      </c>
      <c r="D90">
        <f>C90-C81</f>
        <v/>
      </c>
      <c r="E90" s="3" t="n">
        <v>1.098</v>
      </c>
      <c r="F90" t="n">
        <v>1997</v>
      </c>
      <c r="G90" t="n">
        <v>2.25</v>
      </c>
    </row>
    <row r="91">
      <c r="A91" t="inlineStr">
        <is>
          <t>telecom</t>
        </is>
      </c>
      <c r="B91" t="inlineStr">
        <is>
          <t>Telecoms (1990s)</t>
        </is>
      </c>
      <c r="C91" t="n">
        <v>1997.5</v>
      </c>
      <c r="D91">
        <f>C91-C81</f>
        <v/>
      </c>
      <c r="E91" s="3" t="n">
        <v>1.135</v>
      </c>
      <c r="F91" t="n">
        <v>1998</v>
      </c>
      <c r="G91" t="n">
        <v>2.5</v>
      </c>
    </row>
    <row r="92">
      <c r="A92" t="inlineStr">
        <is>
          <t>telecom</t>
        </is>
      </c>
      <c r="B92" t="inlineStr">
        <is>
          <t>Telecoms (1990s)</t>
        </is>
      </c>
      <c r="C92" t="n">
        <v>1997.75</v>
      </c>
      <c r="D92">
        <f>C92-C81</f>
        <v/>
      </c>
      <c r="E92" s="3" t="n">
        <v>1.135</v>
      </c>
      <c r="F92" t="n">
        <v>1998</v>
      </c>
      <c r="G92" t="n">
        <v>2.75</v>
      </c>
    </row>
    <row r="93">
      <c r="A93" t="inlineStr">
        <is>
          <t>telecom</t>
        </is>
      </c>
      <c r="B93" t="inlineStr">
        <is>
          <t>Telecoms (1990s)</t>
        </is>
      </c>
      <c r="C93" t="n">
        <v>1998</v>
      </c>
      <c r="D93">
        <f>C93-C81</f>
        <v/>
      </c>
      <c r="E93" s="3" t="n">
        <v>1.135</v>
      </c>
      <c r="F93" t="n">
        <v>1998</v>
      </c>
      <c r="G93" t="n">
        <v>3</v>
      </c>
    </row>
    <row r="94">
      <c r="A94" t="inlineStr">
        <is>
          <t>telecom</t>
        </is>
      </c>
      <c r="B94" t="inlineStr">
        <is>
          <t>Telecoms (1990s)</t>
        </is>
      </c>
      <c r="C94" t="n">
        <v>1998.25</v>
      </c>
      <c r="D94">
        <f>C94-C81</f>
        <v/>
      </c>
      <c r="E94" s="3" t="n">
        <v>1.135</v>
      </c>
      <c r="F94" t="n">
        <v>1998</v>
      </c>
      <c r="G94" t="n">
        <v>3.25</v>
      </c>
    </row>
    <row r="95">
      <c r="A95" t="inlineStr">
        <is>
          <t>telecom</t>
        </is>
      </c>
      <c r="B95" t="inlineStr">
        <is>
          <t>Telecoms (1990s)</t>
        </is>
      </c>
      <c r="C95" t="n">
        <v>1998.5</v>
      </c>
      <c r="D95">
        <f>C95-C81</f>
        <v/>
      </c>
      <c r="E95" s="3" t="n">
        <v>1.285</v>
      </c>
      <c r="F95" t="n">
        <v>1999</v>
      </c>
      <c r="G95" t="n">
        <v>3.5</v>
      </c>
    </row>
    <row r="96">
      <c r="A96" t="inlineStr">
        <is>
          <t>telecom</t>
        </is>
      </c>
      <c r="B96" t="inlineStr">
        <is>
          <t>Telecoms (1990s)</t>
        </is>
      </c>
      <c r="C96" t="n">
        <v>1998.75</v>
      </c>
      <c r="D96">
        <f>C96-C81</f>
        <v/>
      </c>
      <c r="E96" s="3" t="n">
        <v>1.285</v>
      </c>
      <c r="F96" t="n">
        <v>1999</v>
      </c>
      <c r="G96" t="n">
        <v>3.75</v>
      </c>
    </row>
    <row r="97">
      <c r="A97" t="inlineStr">
        <is>
          <t>telecom</t>
        </is>
      </c>
      <c r="B97" t="inlineStr">
        <is>
          <t>Telecoms (1990s)</t>
        </is>
      </c>
      <c r="C97" t="n">
        <v>1999</v>
      </c>
      <c r="D97">
        <f>C97-C81</f>
        <v/>
      </c>
      <c r="E97" s="3" t="n">
        <v>1.285</v>
      </c>
      <c r="F97" t="n">
        <v>1999</v>
      </c>
      <c r="G97" t="n">
        <v>4</v>
      </c>
    </row>
    <row r="98">
      <c r="A98" t="inlineStr">
        <is>
          <t>telecom</t>
        </is>
      </c>
      <c r="B98" t="inlineStr">
        <is>
          <t>Telecoms (1990s)</t>
        </is>
      </c>
      <c r="C98" t="n">
        <v>1999.25</v>
      </c>
      <c r="D98">
        <f>C98-C81</f>
        <v/>
      </c>
      <c r="E98" s="3" t="n">
        <v>1.285</v>
      </c>
      <c r="F98" t="n">
        <v>1999</v>
      </c>
      <c r="G98" t="n">
        <v>4.25</v>
      </c>
    </row>
    <row r="99">
      <c r="A99" t="inlineStr">
        <is>
          <t>telecom</t>
        </is>
      </c>
      <c r="B99" t="inlineStr">
        <is>
          <t>Telecoms (1990s)</t>
        </is>
      </c>
      <c r="C99" t="n">
        <v>1999.5</v>
      </c>
      <c r="D99">
        <f>C99-C81</f>
        <v/>
      </c>
      <c r="E99" s="3" t="n">
        <v>1.54</v>
      </c>
      <c r="F99" t="n">
        <v>2000</v>
      </c>
      <c r="G99" t="n">
        <v>4.5</v>
      </c>
    </row>
    <row r="100">
      <c r="A100" t="inlineStr">
        <is>
          <t>telecom</t>
        </is>
      </c>
      <c r="B100" t="inlineStr">
        <is>
          <t>Telecoms (1990s)</t>
        </is>
      </c>
      <c r="C100" t="n">
        <v>1999.75</v>
      </c>
      <c r="D100">
        <f>C100-C81</f>
        <v/>
      </c>
      <c r="E100" s="3" t="n">
        <v>1.54</v>
      </c>
      <c r="F100" t="n">
        <v>2000</v>
      </c>
      <c r="G100" t="n">
        <v>4.75</v>
      </c>
    </row>
    <row r="101">
      <c r="A101" t="inlineStr">
        <is>
          <t>telecom</t>
        </is>
      </c>
      <c r="B101" t="inlineStr">
        <is>
          <t>Telecoms (1990s)</t>
        </is>
      </c>
      <c r="C101" t="n">
        <v>2000</v>
      </c>
      <c r="D101">
        <f>C101-C81</f>
        <v/>
      </c>
      <c r="E101" s="3" t="n">
        <v>1.54</v>
      </c>
      <c r="F101" t="n">
        <v>2000</v>
      </c>
      <c r="G101" t="n">
        <v>5</v>
      </c>
    </row>
    <row r="102">
      <c r="A102" t="inlineStr">
        <is>
          <t>telecom</t>
        </is>
      </c>
      <c r="B102" t="inlineStr">
        <is>
          <t>Telecoms (1990s)</t>
        </is>
      </c>
      <c r="C102" t="n">
        <v>2000.25</v>
      </c>
      <c r="D102">
        <f>C102-C81</f>
        <v/>
      </c>
      <c r="E102" s="3" t="n">
        <v>1.54</v>
      </c>
      <c r="F102" t="n">
        <v>2000</v>
      </c>
      <c r="G102" t="n">
        <v>5.25</v>
      </c>
    </row>
    <row r="103">
      <c r="A103" t="inlineStr">
        <is>
          <t>telecom</t>
        </is>
      </c>
      <c r="B103" t="inlineStr">
        <is>
          <t>Telecoms (1990s)</t>
        </is>
      </c>
      <c r="C103" t="n">
        <v>2000.5</v>
      </c>
      <c r="D103">
        <f>C103-C81</f>
        <v/>
      </c>
      <c r="E103" s="3" t="n">
        <v>1.337</v>
      </c>
      <c r="F103" t="n">
        <v>2001</v>
      </c>
      <c r="G103" t="n">
        <v>5.5</v>
      </c>
    </row>
    <row r="104">
      <c r="A104" t="inlineStr">
        <is>
          <t>telecom</t>
        </is>
      </c>
      <c r="B104" t="inlineStr">
        <is>
          <t>Telecoms (1990s)</t>
        </is>
      </c>
      <c r="C104" t="n">
        <v>2000.75</v>
      </c>
      <c r="D104">
        <f>C104-C81</f>
        <v/>
      </c>
      <c r="E104" s="3" t="n">
        <v>1.337</v>
      </c>
      <c r="F104" t="n">
        <v>2001</v>
      </c>
      <c r="G104" t="n">
        <v>5.75</v>
      </c>
    </row>
    <row r="105">
      <c r="A105" t="inlineStr">
        <is>
          <t>telecom</t>
        </is>
      </c>
      <c r="B105" t="inlineStr">
        <is>
          <t>Telecoms (1990s)</t>
        </is>
      </c>
      <c r="C105" t="n">
        <v>2001</v>
      </c>
      <c r="D105">
        <f>C105-C81</f>
        <v/>
      </c>
      <c r="E105" s="3" t="n">
        <v>1.337</v>
      </c>
      <c r="F105" t="n">
        <v>2001</v>
      </c>
      <c r="G105" t="n">
        <v>6</v>
      </c>
    </row>
    <row r="106">
      <c r="A106" t="inlineStr">
        <is>
          <t>telecom</t>
        </is>
      </c>
      <c r="B106" t="inlineStr">
        <is>
          <t>Telecoms (1990s)</t>
        </is>
      </c>
      <c r="C106" t="n">
        <v>2001.25</v>
      </c>
      <c r="D106">
        <f>C106-C81</f>
        <v/>
      </c>
      <c r="E106" s="3" t="n">
        <v>1.337</v>
      </c>
      <c r="F106" t="n">
        <v>2001</v>
      </c>
      <c r="G106" t="n">
        <v>6.25</v>
      </c>
    </row>
    <row r="107">
      <c r="A107" t="inlineStr">
        <is>
          <t>telecom</t>
        </is>
      </c>
      <c r="B107" t="inlineStr">
        <is>
          <t>Telecoms (1990s)</t>
        </is>
      </c>
      <c r="C107" t="n">
        <v>2001.5</v>
      </c>
      <c r="D107">
        <f>C107-C81</f>
        <v/>
      </c>
      <c r="E107" s="3" t="n">
        <v>0.91</v>
      </c>
      <c r="F107" t="n">
        <v>2002</v>
      </c>
      <c r="G107" t="n">
        <v>6.5</v>
      </c>
    </row>
    <row r="108">
      <c r="A108" t="inlineStr">
        <is>
          <t>telecom</t>
        </is>
      </c>
      <c r="B108" t="inlineStr">
        <is>
          <t>Telecoms (1990s)</t>
        </is>
      </c>
      <c r="C108" t="n">
        <v>2001.75</v>
      </c>
      <c r="D108">
        <f>C108-C81</f>
        <v/>
      </c>
      <c r="E108" s="3" t="n">
        <v>0.91</v>
      </c>
      <c r="F108" t="n">
        <v>2002</v>
      </c>
      <c r="G108" t="n">
        <v>6.75</v>
      </c>
    </row>
    <row r="109">
      <c r="A109" t="inlineStr">
        <is>
          <t>telecom</t>
        </is>
      </c>
      <c r="B109" t="inlineStr">
        <is>
          <t>Telecoms (1990s)</t>
        </is>
      </c>
      <c r="C109" t="n">
        <v>2002</v>
      </c>
      <c r="D109">
        <f>C109-C81</f>
        <v/>
      </c>
      <c r="E109" s="3" t="n">
        <v>0.91</v>
      </c>
      <c r="F109" t="n">
        <v>2002</v>
      </c>
      <c r="G109" t="n">
        <v>7</v>
      </c>
    </row>
    <row r="110">
      <c r="A110" t="inlineStr">
        <is>
          <t>telecom</t>
        </is>
      </c>
      <c r="B110" t="inlineStr">
        <is>
          <t>Telecoms (1990s)</t>
        </is>
      </c>
      <c r="C110" t="n">
        <v>2002.25</v>
      </c>
      <c r="D110">
        <f>C110-C81</f>
        <v/>
      </c>
      <c r="E110" s="3" t="n">
        <v>0.91</v>
      </c>
      <c r="F110" t="n">
        <v>2002</v>
      </c>
      <c r="G110" t="n">
        <v>7.25</v>
      </c>
    </row>
    <row r="111">
      <c r="A111" t="inlineStr">
        <is>
          <t>telecom</t>
        </is>
      </c>
      <c r="B111" t="inlineStr">
        <is>
          <t>Telecoms (1990s)</t>
        </is>
      </c>
      <c r="C111" t="n">
        <v>2002.5</v>
      </c>
      <c r="D111">
        <f>C111-C81</f>
        <v/>
      </c>
      <c r="E111" s="3" t="n">
        <v>0.789</v>
      </c>
      <c r="F111" t="n">
        <v>2003</v>
      </c>
      <c r="G111" t="n">
        <v>7.5</v>
      </c>
    </row>
    <row r="112">
      <c r="A112" t="inlineStr">
        <is>
          <t>shale</t>
        </is>
      </c>
      <c r="B112" t="inlineStr">
        <is>
          <t>O&amp;G (Shale)</t>
        </is>
      </c>
      <c r="C112" t="n">
        <v>2002.25</v>
      </c>
      <c r="D112">
        <f>C112-C112</f>
        <v/>
      </c>
      <c r="E112" s="3" t="n">
        <v>0.395</v>
      </c>
      <c r="F112" t="n">
        <v>2002</v>
      </c>
      <c r="G112" t="n">
        <v>0</v>
      </c>
    </row>
    <row r="113">
      <c r="A113" t="inlineStr">
        <is>
          <t>shale</t>
        </is>
      </c>
      <c r="B113" t="inlineStr">
        <is>
          <t>O&amp;G (Shale)</t>
        </is>
      </c>
      <c r="C113" t="n">
        <v>2002.5</v>
      </c>
      <c r="D113">
        <f>C113-C112</f>
        <v/>
      </c>
      <c r="E113" s="3" t="n">
        <v>0.468</v>
      </c>
      <c r="F113" t="n">
        <v>2003</v>
      </c>
      <c r="G113" t="n">
        <v>0.25</v>
      </c>
    </row>
    <row r="114">
      <c r="A114" t="inlineStr">
        <is>
          <t>shale</t>
        </is>
      </c>
      <c r="B114" t="inlineStr">
        <is>
          <t>O&amp;G (Shale)</t>
        </is>
      </c>
      <c r="C114" t="n">
        <v>2002.75</v>
      </c>
      <c r="D114">
        <f>C114-C112</f>
        <v/>
      </c>
      <c r="E114" s="3" t="n">
        <v>0.468</v>
      </c>
      <c r="F114" t="n">
        <v>2003</v>
      </c>
      <c r="G114" t="n">
        <v>0.5</v>
      </c>
    </row>
    <row r="115">
      <c r="A115" t="inlineStr">
        <is>
          <t>shale</t>
        </is>
      </c>
      <c r="B115" t="inlineStr">
        <is>
          <t>O&amp;G (Shale)</t>
        </is>
      </c>
      <c r="C115" t="n">
        <v>2003</v>
      </c>
      <c r="D115">
        <f>C115-C112</f>
        <v/>
      </c>
      <c r="E115" s="3" t="n">
        <v>0.468</v>
      </c>
      <c r="F115" t="n">
        <v>2003</v>
      </c>
      <c r="G115" t="n">
        <v>0.75</v>
      </c>
    </row>
    <row r="116">
      <c r="A116" t="inlineStr">
        <is>
          <t>shale</t>
        </is>
      </c>
      <c r="B116" t="inlineStr">
        <is>
          <t>O&amp;G (Shale)</t>
        </is>
      </c>
      <c r="C116" t="n">
        <v>2003.25</v>
      </c>
      <c r="D116">
        <f>C116-C112</f>
        <v/>
      </c>
      <c r="E116" s="3" t="n">
        <v>0.468</v>
      </c>
      <c r="F116" t="n">
        <v>2003</v>
      </c>
      <c r="G116" t="n">
        <v>1</v>
      </c>
    </row>
    <row r="117">
      <c r="A117" t="inlineStr">
        <is>
          <t>shale</t>
        </is>
      </c>
      <c r="B117" t="inlineStr">
        <is>
          <t>O&amp;G (Shale)</t>
        </is>
      </c>
      <c r="C117" t="n">
        <v>2003.5</v>
      </c>
      <c r="D117">
        <f>C117-C112</f>
        <v/>
      </c>
      <c r="E117" s="3" t="n">
        <v>0.505</v>
      </c>
      <c r="F117" t="n">
        <v>2004</v>
      </c>
      <c r="G117" t="n">
        <v>1.25</v>
      </c>
    </row>
    <row r="118">
      <c r="A118" t="inlineStr">
        <is>
          <t>shale</t>
        </is>
      </c>
      <c r="B118" t="inlineStr">
        <is>
          <t>O&amp;G (Shale)</t>
        </is>
      </c>
      <c r="C118" t="n">
        <v>2003.75</v>
      </c>
      <c r="D118">
        <f>C118-C112</f>
        <v/>
      </c>
      <c r="E118" s="3" t="n">
        <v>0.505</v>
      </c>
      <c r="F118" t="n">
        <v>2004</v>
      </c>
      <c r="G118" t="n">
        <v>1.5</v>
      </c>
    </row>
    <row r="119">
      <c r="A119" t="inlineStr">
        <is>
          <t>shale</t>
        </is>
      </c>
      <c r="B119" t="inlineStr">
        <is>
          <t>O&amp;G (Shale)</t>
        </is>
      </c>
      <c r="C119" t="n">
        <v>2004</v>
      </c>
      <c r="D119">
        <f>C119-C112</f>
        <v/>
      </c>
      <c r="E119" s="3" t="n">
        <v>0.505</v>
      </c>
      <c r="F119" t="n">
        <v>2004</v>
      </c>
      <c r="G119" t="n">
        <v>1.75</v>
      </c>
    </row>
    <row r="120">
      <c r="A120" t="inlineStr">
        <is>
          <t>shale</t>
        </is>
      </c>
      <c r="B120" t="inlineStr">
        <is>
          <t>O&amp;G (Shale)</t>
        </is>
      </c>
      <c r="C120" t="n">
        <v>2004.25</v>
      </c>
      <c r="D120">
        <f>C120-C112</f>
        <v/>
      </c>
      <c r="E120" s="3" t="n">
        <v>0.505</v>
      </c>
      <c r="F120" t="n">
        <v>2004</v>
      </c>
      <c r="G120" t="n">
        <v>2</v>
      </c>
    </row>
    <row r="121">
      <c r="A121" t="inlineStr">
        <is>
          <t>shale</t>
        </is>
      </c>
      <c r="B121" t="inlineStr">
        <is>
          <t>O&amp;G (Shale)</t>
        </is>
      </c>
      <c r="C121" t="n">
        <v>2004.5</v>
      </c>
      <c r="D121">
        <f>C121-C112</f>
        <v/>
      </c>
      <c r="E121" s="3" t="n">
        <v>0.653</v>
      </c>
      <c r="F121" t="n">
        <v>2005</v>
      </c>
      <c r="G121" t="n">
        <v>2.25</v>
      </c>
    </row>
    <row r="122">
      <c r="A122" t="inlineStr">
        <is>
          <t>shale</t>
        </is>
      </c>
      <c r="B122" t="inlineStr">
        <is>
          <t>O&amp;G (Shale)</t>
        </is>
      </c>
      <c r="C122" t="n">
        <v>2004.75</v>
      </c>
      <c r="D122">
        <f>C122-C112</f>
        <v/>
      </c>
      <c r="E122" s="3" t="n">
        <v>0.653</v>
      </c>
      <c r="F122" t="n">
        <v>2005</v>
      </c>
      <c r="G122" t="n">
        <v>2.5</v>
      </c>
    </row>
    <row r="123">
      <c r="A123" t="inlineStr">
        <is>
          <t>shale</t>
        </is>
      </c>
      <c r="B123" t="inlineStr">
        <is>
          <t>O&amp;G (Shale)</t>
        </is>
      </c>
      <c r="C123" t="n">
        <v>2005</v>
      </c>
      <c r="D123">
        <f>C123-C112</f>
        <v/>
      </c>
      <c r="E123" s="3" t="n">
        <v>0.653</v>
      </c>
      <c r="F123" t="n">
        <v>2005</v>
      </c>
      <c r="G123" t="n">
        <v>2.75</v>
      </c>
    </row>
    <row r="124">
      <c r="A124" t="inlineStr">
        <is>
          <t>shale</t>
        </is>
      </c>
      <c r="B124" t="inlineStr">
        <is>
          <t>O&amp;G (Shale)</t>
        </is>
      </c>
      <c r="C124" t="n">
        <v>2005.25</v>
      </c>
      <c r="D124">
        <f>C124-C112</f>
        <v/>
      </c>
      <c r="E124" s="3" t="n">
        <v>0.653</v>
      </c>
      <c r="F124" t="n">
        <v>2005</v>
      </c>
      <c r="G124" t="n">
        <v>3</v>
      </c>
    </row>
    <row r="125">
      <c r="A125" t="inlineStr">
        <is>
          <t>shale</t>
        </is>
      </c>
      <c r="B125" t="inlineStr">
        <is>
          <t>O&amp;G (Shale)</t>
        </is>
      </c>
      <c r="C125" t="n">
        <v>2005.5</v>
      </c>
      <c r="D125">
        <f>C125-C112</f>
        <v/>
      </c>
      <c r="E125" s="3" t="n">
        <v>0.866</v>
      </c>
      <c r="F125" t="n">
        <v>2006</v>
      </c>
      <c r="G125" t="n">
        <v>3.25</v>
      </c>
    </row>
    <row r="126">
      <c r="A126" t="inlineStr">
        <is>
          <t>shale</t>
        </is>
      </c>
      <c r="B126" t="inlineStr">
        <is>
          <t>O&amp;G (Shale)</t>
        </is>
      </c>
      <c r="C126" t="n">
        <v>2005.75</v>
      </c>
      <c r="D126">
        <f>C126-C112</f>
        <v/>
      </c>
      <c r="E126" s="3" t="n">
        <v>0.866</v>
      </c>
      <c r="F126" t="n">
        <v>2006</v>
      </c>
      <c r="G126" t="n">
        <v>3.5</v>
      </c>
    </row>
    <row r="127">
      <c r="A127" t="inlineStr">
        <is>
          <t>shale</t>
        </is>
      </c>
      <c r="B127" t="inlineStr">
        <is>
          <t>O&amp;G (Shale)</t>
        </is>
      </c>
      <c r="C127" t="n">
        <v>2006</v>
      </c>
      <c r="D127">
        <f>C127-C112</f>
        <v/>
      </c>
      <c r="E127" s="3" t="n">
        <v>0.866</v>
      </c>
      <c r="F127" t="n">
        <v>2006</v>
      </c>
      <c r="G127" t="n">
        <v>3.75</v>
      </c>
    </row>
    <row r="128">
      <c r="A128" t="inlineStr">
        <is>
          <t>shale</t>
        </is>
      </c>
      <c r="B128" t="inlineStr">
        <is>
          <t>O&amp;G (Shale)</t>
        </is>
      </c>
      <c r="C128" t="n">
        <v>2006.25</v>
      </c>
      <c r="D128">
        <f>C128-C112</f>
        <v/>
      </c>
      <c r="E128" s="3" t="n">
        <v>0.866</v>
      </c>
      <c r="F128" t="n">
        <v>2006</v>
      </c>
      <c r="G128" t="n">
        <v>4</v>
      </c>
    </row>
    <row r="129">
      <c r="A129" t="inlineStr">
        <is>
          <t>shale</t>
        </is>
      </c>
      <c r="B129" t="inlineStr">
        <is>
          <t>O&amp;G (Shale)</t>
        </is>
      </c>
      <c r="C129" t="n">
        <v>2006.5</v>
      </c>
      <c r="D129">
        <f>C129-C112</f>
        <v/>
      </c>
      <c r="E129" s="3" t="n">
        <v>0.95</v>
      </c>
      <c r="F129" t="n">
        <v>2007</v>
      </c>
      <c r="G129" t="n">
        <v>4.25</v>
      </c>
    </row>
    <row r="130">
      <c r="A130" t="inlineStr">
        <is>
          <t>shale</t>
        </is>
      </c>
      <c r="B130" t="inlineStr">
        <is>
          <t>O&amp;G (Shale)</t>
        </is>
      </c>
      <c r="C130" t="n">
        <v>2006.75</v>
      </c>
      <c r="D130">
        <f>C130-C112</f>
        <v/>
      </c>
      <c r="E130" s="3" t="n">
        <v>0.95</v>
      </c>
      <c r="F130" t="n">
        <v>2007</v>
      </c>
      <c r="G130" t="n">
        <v>4.5</v>
      </c>
    </row>
    <row r="131">
      <c r="A131" t="inlineStr">
        <is>
          <t>shale</t>
        </is>
      </c>
      <c r="B131" t="inlineStr">
        <is>
          <t>O&amp;G (Shale)</t>
        </is>
      </c>
      <c r="C131" t="n">
        <v>2007</v>
      </c>
      <c r="D131">
        <f>C131-C112</f>
        <v/>
      </c>
      <c r="E131" s="3" t="n">
        <v>0.95</v>
      </c>
      <c r="F131" t="n">
        <v>2007</v>
      </c>
      <c r="G131" t="n">
        <v>4.75</v>
      </c>
    </row>
    <row r="132">
      <c r="A132" t="inlineStr">
        <is>
          <t>shale</t>
        </is>
      </c>
      <c r="B132" t="inlineStr">
        <is>
          <t>O&amp;G (Shale)</t>
        </is>
      </c>
      <c r="C132" t="n">
        <v>2007.25</v>
      </c>
      <c r="D132">
        <f>C132-C112</f>
        <v/>
      </c>
      <c r="E132" s="3" t="n">
        <v>0.95</v>
      </c>
      <c r="F132" t="n">
        <v>2007</v>
      </c>
      <c r="G132" t="n">
        <v>5</v>
      </c>
    </row>
    <row r="133">
      <c r="A133" t="inlineStr">
        <is>
          <t>shale</t>
        </is>
      </c>
      <c r="B133" t="inlineStr">
        <is>
          <t>O&amp;G (Shale)</t>
        </is>
      </c>
      <c r="C133" t="n">
        <v>2007.5</v>
      </c>
      <c r="D133">
        <f>C133-C112</f>
        <v/>
      </c>
      <c r="E133" s="3" t="n">
        <v>1.114</v>
      </c>
      <c r="F133" t="n">
        <v>2008</v>
      </c>
      <c r="G133" t="n">
        <v>5.25</v>
      </c>
    </row>
    <row r="134">
      <c r="A134" t="inlineStr">
        <is>
          <t>shale</t>
        </is>
      </c>
      <c r="B134" t="inlineStr">
        <is>
          <t>O&amp;G (Shale)</t>
        </is>
      </c>
      <c r="C134" t="n">
        <v>2007.75</v>
      </c>
      <c r="D134">
        <f>C134-C112</f>
        <v/>
      </c>
      <c r="E134" s="3" t="n">
        <v>1.114</v>
      </c>
      <c r="F134" t="n">
        <v>2008</v>
      </c>
      <c r="G134" t="n">
        <v>5.5</v>
      </c>
    </row>
    <row r="135">
      <c r="A135" t="inlineStr">
        <is>
          <t>shale</t>
        </is>
      </c>
      <c r="B135" t="inlineStr">
        <is>
          <t>O&amp;G (Shale)</t>
        </is>
      </c>
      <c r="C135" t="n">
        <v>2008</v>
      </c>
      <c r="D135">
        <f>C135-C112</f>
        <v/>
      </c>
      <c r="E135" s="3" t="n">
        <v>1.114</v>
      </c>
      <c r="F135" t="n">
        <v>2008</v>
      </c>
      <c r="G135" t="n">
        <v>5.75</v>
      </c>
    </row>
    <row r="136">
      <c r="A136" t="inlineStr">
        <is>
          <t>shale</t>
        </is>
      </c>
      <c r="B136" t="inlineStr">
        <is>
          <t>O&amp;G (Shale)</t>
        </is>
      </c>
      <c r="C136" t="n">
        <v>2008.25</v>
      </c>
      <c r="D136">
        <f>C136-C112</f>
        <v/>
      </c>
      <c r="E136" s="3" t="n">
        <v>1.114</v>
      </c>
      <c r="F136" t="n">
        <v>2008</v>
      </c>
      <c r="G136" t="n">
        <v>6</v>
      </c>
    </row>
    <row r="137">
      <c r="A137" t="inlineStr">
        <is>
          <t>shale</t>
        </is>
      </c>
      <c r="B137" t="inlineStr">
        <is>
          <t>O&amp;G (Shale)</t>
        </is>
      </c>
      <c r="C137" t="n">
        <v>2008.5</v>
      </c>
      <c r="D137">
        <f>C137-C112</f>
        <v/>
      </c>
      <c r="E137" s="3" t="n">
        <v>0.775</v>
      </c>
      <c r="F137" t="n">
        <v>2009</v>
      </c>
      <c r="G137" t="n">
        <v>6.25</v>
      </c>
    </row>
    <row r="138">
      <c r="A138" t="inlineStr">
        <is>
          <t>shale</t>
        </is>
      </c>
      <c r="B138" t="inlineStr">
        <is>
          <t>O&amp;G (Shale)</t>
        </is>
      </c>
      <c r="C138" t="n">
        <v>2008.75</v>
      </c>
      <c r="D138">
        <f>C138-C112</f>
        <v/>
      </c>
      <c r="E138" s="3" t="n">
        <v>0.775</v>
      </c>
      <c r="F138" t="n">
        <v>2009</v>
      </c>
      <c r="G138" t="n">
        <v>6.5</v>
      </c>
    </row>
    <row r="139">
      <c r="A139" t="inlineStr">
        <is>
          <t>shale</t>
        </is>
      </c>
      <c r="B139" t="inlineStr">
        <is>
          <t>O&amp;G (Shale)</t>
        </is>
      </c>
      <c r="C139" t="n">
        <v>2009</v>
      </c>
      <c r="D139">
        <f>C139-C112</f>
        <v/>
      </c>
      <c r="E139" s="3" t="n">
        <v>0.775</v>
      </c>
      <c r="F139" t="n">
        <v>2009</v>
      </c>
      <c r="G139" t="n">
        <v>6.75</v>
      </c>
    </row>
    <row r="140">
      <c r="A140" t="inlineStr">
        <is>
          <t>shale</t>
        </is>
      </c>
      <c r="B140" t="inlineStr">
        <is>
          <t>O&amp;G (Shale)</t>
        </is>
      </c>
      <c r="C140" t="n">
        <v>2009.25</v>
      </c>
      <c r="D140">
        <f>C140-C112</f>
        <v/>
      </c>
      <c r="E140" s="3" t="n">
        <v>0.775</v>
      </c>
      <c r="F140" t="n">
        <v>2009</v>
      </c>
      <c r="G140" t="n">
        <v>7</v>
      </c>
    </row>
    <row r="141">
      <c r="A141" t="inlineStr">
        <is>
          <t>shale</t>
        </is>
      </c>
      <c r="B141" t="inlineStr">
        <is>
          <t>O&amp;G (Shale)</t>
        </is>
      </c>
      <c r="C141" t="n">
        <v>2009.5</v>
      </c>
      <c r="D141">
        <f>C141-C112</f>
        <v/>
      </c>
      <c r="E141" s="3" t="n">
        <v>0.852</v>
      </c>
      <c r="F141" t="n">
        <v>2010</v>
      </c>
      <c r="G141" t="n">
        <v>7.25</v>
      </c>
    </row>
    <row r="142">
      <c r="A142" t="inlineStr">
        <is>
          <t>shale</t>
        </is>
      </c>
      <c r="B142" t="inlineStr">
        <is>
          <t>O&amp;G (Shale)</t>
        </is>
      </c>
      <c r="C142" t="n">
        <v>2009.75</v>
      </c>
      <c r="D142">
        <f>C142-C112</f>
        <v/>
      </c>
      <c r="E142" s="3" t="n">
        <v>0.852</v>
      </c>
      <c r="F142" t="n">
        <v>2010</v>
      </c>
      <c r="G142" t="n">
        <v>7.5</v>
      </c>
    </row>
    <row r="143">
      <c r="A143" t="inlineStr">
        <is>
          <t>shale</t>
        </is>
      </c>
      <c r="B143" t="inlineStr">
        <is>
          <t>O&amp;G (Shale)</t>
        </is>
      </c>
      <c r="C143" t="n">
        <v>2010</v>
      </c>
      <c r="D143">
        <f>C143-C112</f>
        <v/>
      </c>
      <c r="E143" s="3" t="n">
        <v>0.852</v>
      </c>
      <c r="F143" t="n">
        <v>2010</v>
      </c>
      <c r="G143" t="n">
        <v>7.75</v>
      </c>
    </row>
    <row r="144">
      <c r="A144" t="inlineStr">
        <is>
          <t>shale</t>
        </is>
      </c>
      <c r="B144" t="inlineStr">
        <is>
          <t>O&amp;G (Shale)</t>
        </is>
      </c>
      <c r="C144" t="n">
        <v>2010.25</v>
      </c>
      <c r="D144">
        <f>C144-C112</f>
        <v/>
      </c>
      <c r="E144" s="3" t="n">
        <v>0.852</v>
      </c>
      <c r="F144" t="n">
        <v>2010</v>
      </c>
      <c r="G144" t="n">
        <v>8</v>
      </c>
    </row>
    <row r="145">
      <c r="A145" t="inlineStr">
        <is>
          <t>shale</t>
        </is>
      </c>
      <c r="B145" t="inlineStr">
        <is>
          <t>O&amp;G (Shale)</t>
        </is>
      </c>
      <c r="C145" t="n">
        <v>2010.5</v>
      </c>
      <c r="D145">
        <f>C145-C112</f>
        <v/>
      </c>
      <c r="E145" s="3" t="n">
        <v>1.034</v>
      </c>
      <c r="F145" t="n">
        <v>2011</v>
      </c>
      <c r="G145" t="n">
        <v>8.25</v>
      </c>
    </row>
    <row r="146">
      <c r="A146" t="inlineStr">
        <is>
          <t>shale</t>
        </is>
      </c>
      <c r="B146" t="inlineStr">
        <is>
          <t>O&amp;G (Shale)</t>
        </is>
      </c>
      <c r="C146" t="n">
        <v>2010.75</v>
      </c>
      <c r="D146">
        <f>C146-C112</f>
        <v/>
      </c>
      <c r="E146" s="3" t="n">
        <v>1.034</v>
      </c>
      <c r="F146" t="n">
        <v>2011</v>
      </c>
      <c r="G146" t="n">
        <v>8.5</v>
      </c>
    </row>
    <row r="147">
      <c r="A147" t="inlineStr">
        <is>
          <t>shale</t>
        </is>
      </c>
      <c r="B147" t="inlineStr">
        <is>
          <t>O&amp;G (Shale)</t>
        </is>
      </c>
      <c r="C147" t="n">
        <v>2011</v>
      </c>
      <c r="D147">
        <f>C147-C112</f>
        <v/>
      </c>
      <c r="E147" s="3" t="n">
        <v>1.034</v>
      </c>
      <c r="F147" t="n">
        <v>2011</v>
      </c>
      <c r="G147" t="n">
        <v>8.75</v>
      </c>
    </row>
    <row r="148">
      <c r="A148" t="inlineStr">
        <is>
          <t>shale</t>
        </is>
      </c>
      <c r="B148" t="inlineStr">
        <is>
          <t>O&amp;G (Shale)</t>
        </is>
      </c>
      <c r="C148" t="n">
        <v>2011.25</v>
      </c>
      <c r="D148">
        <f>C148-C112</f>
        <v/>
      </c>
      <c r="E148" s="3" t="n">
        <v>1.034</v>
      </c>
      <c r="F148" t="n">
        <v>2011</v>
      </c>
      <c r="G148" t="n">
        <v>9</v>
      </c>
    </row>
    <row r="149">
      <c r="A149" t="inlineStr">
        <is>
          <t>shale</t>
        </is>
      </c>
      <c r="B149" t="inlineStr">
        <is>
          <t>O&amp;G (Shale)</t>
        </is>
      </c>
      <c r="C149" t="n">
        <v>2011.5</v>
      </c>
      <c r="D149">
        <f>C149-C112</f>
        <v/>
      </c>
      <c r="E149" s="3" t="n">
        <v>1.259</v>
      </c>
      <c r="F149" t="n">
        <v>2012</v>
      </c>
      <c r="G149" t="n">
        <v>9.25</v>
      </c>
    </row>
    <row r="150">
      <c r="A150" t="inlineStr">
        <is>
          <t>shale</t>
        </is>
      </c>
      <c r="B150" t="inlineStr">
        <is>
          <t>O&amp;G (Shale)</t>
        </is>
      </c>
      <c r="C150" t="n">
        <v>2011.75</v>
      </c>
      <c r="D150">
        <f>C150-C112</f>
        <v/>
      </c>
      <c r="E150" s="3" t="n">
        <v>1.259</v>
      </c>
      <c r="F150" t="n">
        <v>2012</v>
      </c>
      <c r="G150" t="n">
        <v>9.5</v>
      </c>
    </row>
    <row r="151">
      <c r="A151" t="inlineStr">
        <is>
          <t>shale</t>
        </is>
      </c>
      <c r="B151" t="inlineStr">
        <is>
          <t>O&amp;G (Shale)</t>
        </is>
      </c>
      <c r="C151" t="n">
        <v>2012</v>
      </c>
      <c r="D151">
        <f>C151-C112</f>
        <v/>
      </c>
      <c r="E151" s="3" t="n">
        <v>1.259</v>
      </c>
      <c r="F151" t="n">
        <v>2012</v>
      </c>
      <c r="G151" t="n">
        <v>9.75</v>
      </c>
    </row>
    <row r="152">
      <c r="A152" t="inlineStr">
        <is>
          <t>shale</t>
        </is>
      </c>
      <c r="B152" t="inlineStr">
        <is>
          <t>O&amp;G (Shale)</t>
        </is>
      </c>
      <c r="C152" t="n">
        <v>2012.25</v>
      </c>
      <c r="D152">
        <f>C152-C112</f>
        <v/>
      </c>
      <c r="E152" s="3" t="n">
        <v>1.259</v>
      </c>
      <c r="F152" t="n">
        <v>2012</v>
      </c>
      <c r="G152" t="n">
        <v>10</v>
      </c>
    </row>
    <row r="153">
      <c r="A153" t="inlineStr">
        <is>
          <t>shale</t>
        </is>
      </c>
      <c r="B153" t="inlineStr">
        <is>
          <t>O&amp;G (Shale)</t>
        </is>
      </c>
      <c r="C153" t="n">
        <v>2012.5</v>
      </c>
      <c r="D153">
        <f>C153-C112</f>
        <v/>
      </c>
      <c r="E153" s="3" t="n">
        <v>1.249</v>
      </c>
      <c r="F153" t="n">
        <v>2013</v>
      </c>
      <c r="G153" t="n">
        <v>10.25</v>
      </c>
    </row>
    <row r="154">
      <c r="A154" t="inlineStr">
        <is>
          <t>shale</t>
        </is>
      </c>
      <c r="B154" t="inlineStr">
        <is>
          <t>O&amp;G (Shale)</t>
        </is>
      </c>
      <c r="C154" t="n">
        <v>2012.75</v>
      </c>
      <c r="D154">
        <f>C154-C112</f>
        <v/>
      </c>
      <c r="E154" s="3" t="n">
        <v>1.249</v>
      </c>
      <c r="F154" t="n">
        <v>2013</v>
      </c>
      <c r="G154" t="n">
        <v>10.5</v>
      </c>
    </row>
    <row r="155">
      <c r="A155" t="inlineStr">
        <is>
          <t>shale</t>
        </is>
      </c>
      <c r="B155" t="inlineStr">
        <is>
          <t>O&amp;G (Shale)</t>
        </is>
      </c>
      <c r="C155" t="n">
        <v>2013</v>
      </c>
      <c r="D155">
        <f>C155-C112</f>
        <v/>
      </c>
      <c r="E155" s="3" t="n">
        <v>1.249</v>
      </c>
      <c r="F155" t="n">
        <v>2013</v>
      </c>
      <c r="G155" t="n">
        <v>10.75</v>
      </c>
    </row>
    <row r="156">
      <c r="A156" t="inlineStr">
        <is>
          <t>shale</t>
        </is>
      </c>
      <c r="B156" t="inlineStr">
        <is>
          <t>O&amp;G (Shale)</t>
        </is>
      </c>
      <c r="C156" t="n">
        <v>2013.25</v>
      </c>
      <c r="D156">
        <f>C156-C112</f>
        <v/>
      </c>
      <c r="E156" s="3" t="n">
        <v>1.249</v>
      </c>
      <c r="F156" t="n">
        <v>2013</v>
      </c>
      <c r="G156" t="n">
        <v>11</v>
      </c>
    </row>
    <row r="157">
      <c r="A157" t="inlineStr">
        <is>
          <t>shale</t>
        </is>
      </c>
      <c r="B157" t="inlineStr">
        <is>
          <t>O&amp;G (Shale)</t>
        </is>
      </c>
      <c r="C157" t="n">
        <v>2013.5</v>
      </c>
      <c r="D157">
        <f>C157-C112</f>
        <v/>
      </c>
      <c r="E157" s="3" t="n">
        <v>1.415</v>
      </c>
      <c r="F157" t="n">
        <v>2014</v>
      </c>
      <c r="G157" t="n">
        <v>11.25</v>
      </c>
    </row>
    <row r="158">
      <c r="A158" t="inlineStr">
        <is>
          <t>shale</t>
        </is>
      </c>
      <c r="B158" t="inlineStr">
        <is>
          <t>O&amp;G (Shale)</t>
        </is>
      </c>
      <c r="C158" t="n">
        <v>2013.75</v>
      </c>
      <c r="D158">
        <f>C158-C112</f>
        <v/>
      </c>
      <c r="E158" s="3" t="n">
        <v>1.415</v>
      </c>
      <c r="F158" t="n">
        <v>2014</v>
      </c>
      <c r="G158" t="n">
        <v>11.5</v>
      </c>
    </row>
    <row r="159">
      <c r="A159" t="inlineStr">
        <is>
          <t>shale</t>
        </is>
      </c>
      <c r="B159" t="inlineStr">
        <is>
          <t>O&amp;G (Shale)</t>
        </is>
      </c>
      <c r="C159" t="n">
        <v>2014</v>
      </c>
      <c r="D159">
        <f>C159-C112</f>
        <v/>
      </c>
      <c r="E159" s="3" t="n">
        <v>1.415</v>
      </c>
      <c r="F159" t="n">
        <v>2014</v>
      </c>
      <c r="G159" t="n">
        <v>11.75</v>
      </c>
    </row>
    <row r="160">
      <c r="A160" t="inlineStr">
        <is>
          <t>shale</t>
        </is>
      </c>
      <c r="B160" t="inlineStr">
        <is>
          <t>O&amp;G (Shale)</t>
        </is>
      </c>
      <c r="C160" t="n">
        <v>2014.25</v>
      </c>
      <c r="D160">
        <f>C160-C112</f>
        <v/>
      </c>
      <c r="E160" s="3" t="n">
        <v>1.415</v>
      </c>
      <c r="F160" t="n">
        <v>2014</v>
      </c>
      <c r="G160" t="n">
        <v>12</v>
      </c>
    </row>
    <row r="161">
      <c r="A161" t="inlineStr">
        <is>
          <t>shale</t>
        </is>
      </c>
      <c r="B161" t="inlineStr">
        <is>
          <t>O&amp;G (Shale)</t>
        </is>
      </c>
      <c r="C161" t="n">
        <v>2014.5</v>
      </c>
      <c r="D161">
        <f>C161-C112</f>
        <v/>
      </c>
      <c r="E161" s="3" t="n">
        <v>0.979</v>
      </c>
      <c r="F161" t="n">
        <v>2015</v>
      </c>
      <c r="G161" t="n">
        <v>12.25</v>
      </c>
    </row>
    <row r="162">
      <c r="A162" t="inlineStr">
        <is>
          <t>shale</t>
        </is>
      </c>
      <c r="B162" t="inlineStr">
        <is>
          <t>O&amp;G (Shale)</t>
        </is>
      </c>
      <c r="C162" t="n">
        <v>2014.75</v>
      </c>
      <c r="D162">
        <f>C162-C112</f>
        <v/>
      </c>
      <c r="E162" s="3" t="n">
        <v>0.979</v>
      </c>
      <c r="F162" t="n">
        <v>2015</v>
      </c>
      <c r="G162" t="n">
        <v>12.5</v>
      </c>
    </row>
    <row r="163">
      <c r="A163" t="inlineStr">
        <is>
          <t>shale</t>
        </is>
      </c>
      <c r="B163" t="inlineStr">
        <is>
          <t>O&amp;G (Shale)</t>
        </is>
      </c>
      <c r="C163" t="n">
        <v>2015</v>
      </c>
      <c r="D163">
        <f>C163-C112</f>
        <v/>
      </c>
      <c r="E163" s="3" t="n">
        <v>0.979</v>
      </c>
      <c r="F163" t="n">
        <v>2015</v>
      </c>
      <c r="G163" t="n">
        <v>12.75</v>
      </c>
    </row>
    <row r="164">
      <c r="A164" t="inlineStr">
        <is>
          <t>shale</t>
        </is>
      </c>
      <c r="B164" t="inlineStr">
        <is>
          <t>O&amp;G (Shale)</t>
        </is>
      </c>
      <c r="C164" t="n">
        <v>2015.25</v>
      </c>
      <c r="D164">
        <f>C164-C112</f>
        <v/>
      </c>
      <c r="E164" s="3" t="n">
        <v>0.979</v>
      </c>
      <c r="F164" t="n">
        <v>2015</v>
      </c>
      <c r="G164" t="n">
        <v>13</v>
      </c>
    </row>
    <row r="165">
      <c r="A165" t="inlineStr">
        <is>
          <t>shale</t>
        </is>
      </c>
      <c r="B165" t="inlineStr">
        <is>
          <t>O&amp;G (Shale)</t>
        </is>
      </c>
      <c r="C165" t="n">
        <v>2015.5</v>
      </c>
      <c r="D165">
        <f>C165-C112</f>
        <v/>
      </c>
      <c r="E165" s="3" t="n">
        <v>0.5600000000000001</v>
      </c>
      <c r="F165" t="n">
        <v>2016</v>
      </c>
      <c r="G165" t="n">
        <v>13.25</v>
      </c>
    </row>
    <row r="166">
      <c r="A166" t="inlineStr">
        <is>
          <t>shale</t>
        </is>
      </c>
      <c r="B166" t="inlineStr">
        <is>
          <t>O&amp;G (Shale)</t>
        </is>
      </c>
      <c r="C166" t="n">
        <v>2015.75</v>
      </c>
      <c r="D166">
        <f>C166-C112</f>
        <v/>
      </c>
      <c r="E166" s="3" t="n">
        <v>0.5600000000000001</v>
      </c>
      <c r="F166" t="n">
        <v>2016</v>
      </c>
      <c r="G166" t="n">
        <v>13.5</v>
      </c>
    </row>
    <row r="167">
      <c r="A167" t="inlineStr">
        <is>
          <t>shale</t>
        </is>
      </c>
      <c r="B167" t="inlineStr">
        <is>
          <t>O&amp;G (Shale)</t>
        </is>
      </c>
      <c r="C167" t="n">
        <v>2016</v>
      </c>
      <c r="D167">
        <f>C167-C112</f>
        <v/>
      </c>
      <c r="E167" s="3" t="n">
        <v>0.5600000000000001</v>
      </c>
      <c r="F167" t="n">
        <v>2016</v>
      </c>
      <c r="G167" t="n">
        <v>13.75</v>
      </c>
    </row>
    <row r="168">
      <c r="A168" t="inlineStr">
        <is>
          <t>shale</t>
        </is>
      </c>
      <c r="B168" t="inlineStr">
        <is>
          <t>O&amp;G (Shale)</t>
        </is>
      </c>
      <c r="C168" t="n">
        <v>2016.25</v>
      </c>
      <c r="D168">
        <f>C168-C112</f>
        <v/>
      </c>
      <c r="E168" s="3" t="n">
        <v>0.5600000000000001</v>
      </c>
      <c r="F168" t="n">
        <v>2016</v>
      </c>
      <c r="G168" t="n">
        <v>14</v>
      </c>
    </row>
    <row r="169">
      <c r="A169" t="inlineStr">
        <is>
          <t>hyperLA</t>
        </is>
      </c>
      <c r="B169" t="inlineStr">
        <is>
          <t>Hyperscalers (lease adjusted)</t>
        </is>
      </c>
      <c r="C169" t="n">
        <v>2021.5</v>
      </c>
      <c r="D169">
        <f>C169-C169</f>
        <v/>
      </c>
      <c r="E169" s="3" t="n">
        <v>0.616</v>
      </c>
      <c r="G169" t="n">
        <v>0</v>
      </c>
    </row>
    <row r="170">
      <c r="A170" t="inlineStr">
        <is>
          <t>hyperLA</t>
        </is>
      </c>
      <c r="B170" t="inlineStr">
        <is>
          <t>Hyperscalers (lease adjusted)</t>
        </is>
      </c>
      <c r="C170" t="n">
        <v>2021.75</v>
      </c>
      <c r="D170">
        <f>C170-C169</f>
        <v/>
      </c>
      <c r="E170" s="3" t="n">
        <v>0.637</v>
      </c>
      <c r="G170" t="n">
        <v>0.25</v>
      </c>
    </row>
    <row r="171">
      <c r="A171" t="inlineStr">
        <is>
          <t>hyperLA</t>
        </is>
      </c>
      <c r="B171" t="inlineStr">
        <is>
          <t>Hyperscalers (lease adjusted)</t>
        </is>
      </c>
      <c r="C171" t="n">
        <v>2022</v>
      </c>
      <c r="D171">
        <f>C171-C169</f>
        <v/>
      </c>
      <c r="E171" s="3" t="n">
        <v>0.64</v>
      </c>
      <c r="G171" t="n">
        <v>0.5</v>
      </c>
    </row>
    <row r="172">
      <c r="A172" t="inlineStr">
        <is>
          <t>hyperLA</t>
        </is>
      </c>
      <c r="B172" t="inlineStr">
        <is>
          <t>Hyperscalers (lease adjusted)</t>
        </is>
      </c>
      <c r="C172" t="n">
        <v>2022.25</v>
      </c>
      <c r="D172">
        <f>C172-C169</f>
        <v/>
      </c>
      <c r="E172" s="3" t="n">
        <v>0.655</v>
      </c>
      <c r="G172" t="n">
        <v>0.75</v>
      </c>
    </row>
    <row r="173">
      <c r="A173" t="inlineStr">
        <is>
          <t>hyperLA</t>
        </is>
      </c>
      <c r="B173" t="inlineStr">
        <is>
          <t>Hyperscalers (lease adjusted)</t>
        </is>
      </c>
      <c r="C173" t="n">
        <v>2022.5</v>
      </c>
      <c r="D173">
        <f>C173-C169</f>
        <v/>
      </c>
      <c r="E173" s="3" t="n">
        <v>0.627</v>
      </c>
      <c r="G173" t="n">
        <v>1</v>
      </c>
    </row>
    <row r="174">
      <c r="A174" t="inlineStr">
        <is>
          <t>hyperLA</t>
        </is>
      </c>
      <c r="B174" t="inlineStr">
        <is>
          <t>Hyperscalers (lease adjusted)</t>
        </is>
      </c>
      <c r="C174" t="n">
        <v>2022.75</v>
      </c>
      <c r="D174">
        <f>C174-C169</f>
        <v/>
      </c>
      <c r="E174" s="3" t="n">
        <v>0.614</v>
      </c>
      <c r="G174" t="n">
        <v>1.25</v>
      </c>
    </row>
    <row r="175">
      <c r="A175" t="inlineStr">
        <is>
          <t>hyperLA</t>
        </is>
      </c>
      <c r="B175" t="inlineStr">
        <is>
          <t>Hyperscalers (lease adjusted)</t>
        </is>
      </c>
      <c r="C175" t="n">
        <v>2023</v>
      </c>
      <c r="D175">
        <f>C175-C169</f>
        <v/>
      </c>
      <c r="E175" s="3" t="n">
        <v>0.592</v>
      </c>
      <c r="G175" t="n">
        <v>1.5</v>
      </c>
    </row>
    <row r="176">
      <c r="A176" t="inlineStr">
        <is>
          <t>hyperLA</t>
        </is>
      </c>
      <c r="B176" t="inlineStr">
        <is>
          <t>Hyperscalers (lease adjusted)</t>
        </is>
      </c>
      <c r="C176" t="n">
        <v>2023.25</v>
      </c>
      <c r="D176">
        <f>C176-C169</f>
        <v/>
      </c>
      <c r="E176" s="3" t="n">
        <v>0.595</v>
      </c>
      <c r="G176" t="n">
        <v>1.75</v>
      </c>
    </row>
    <row r="177">
      <c r="A177" t="inlineStr">
        <is>
          <t>hyperLA</t>
        </is>
      </c>
      <c r="B177" t="inlineStr">
        <is>
          <t>Hyperscalers (lease adjusted)</t>
        </is>
      </c>
      <c r="C177" t="n">
        <v>2023.5</v>
      </c>
      <c r="D177">
        <f>C177-C169</f>
        <v/>
      </c>
      <c r="E177" s="3" t="n">
        <v>0.596</v>
      </c>
      <c r="G177" t="n">
        <v>2</v>
      </c>
    </row>
    <row r="178">
      <c r="A178" t="inlineStr">
        <is>
          <t>hyperLA</t>
        </is>
      </c>
      <c r="B178" t="inlineStr">
        <is>
          <t>Hyperscalers (lease adjusted)</t>
        </is>
      </c>
      <c r="C178" t="n">
        <v>2023.75</v>
      </c>
      <c r="D178">
        <f>C178-C169</f>
        <v/>
      </c>
      <c r="E178" s="3" t="n">
        <v>0.6860000000000001</v>
      </c>
      <c r="G178" t="n">
        <v>2.25</v>
      </c>
    </row>
    <row r="179">
      <c r="A179" t="inlineStr">
        <is>
          <t>hyperLA</t>
        </is>
      </c>
      <c r="B179" t="inlineStr">
        <is>
          <t>Hyperscalers (lease adjusted)</t>
        </is>
      </c>
      <c r="C179" t="n">
        <v>2024</v>
      </c>
      <c r="D179">
        <f>C179-C169</f>
        <v/>
      </c>
      <c r="E179" s="3" t="n">
        <v>0.78</v>
      </c>
      <c r="G179" t="n">
        <v>2.5</v>
      </c>
    </row>
    <row r="180">
      <c r="A180" t="inlineStr">
        <is>
          <t>hyperLA</t>
        </is>
      </c>
      <c r="B180" t="inlineStr">
        <is>
          <t>Hyperscalers (lease adjusted)</t>
        </is>
      </c>
      <c r="C180" t="n">
        <v>2024.25</v>
      </c>
      <c r="D180">
        <f>C180-C169</f>
        <v/>
      </c>
      <c r="E180" s="3" t="n">
        <v>0.896</v>
      </c>
      <c r="G180" t="n">
        <v>2.75</v>
      </c>
    </row>
    <row r="181">
      <c r="A181" t="inlineStr">
        <is>
          <t>hyperLA</t>
        </is>
      </c>
      <c r="B181" t="inlineStr">
        <is>
          <t>Hyperscalers (lease adjusted)</t>
        </is>
      </c>
      <c r="C181" t="n">
        <v>2024.5</v>
      </c>
      <c r="D181">
        <f>C181-C169</f>
        <v/>
      </c>
      <c r="E181" s="3" t="n">
        <v>1.013</v>
      </c>
      <c r="G181" t="n">
        <v>3</v>
      </c>
    </row>
    <row r="182">
      <c r="A182" t="inlineStr">
        <is>
          <t>hyperLA</t>
        </is>
      </c>
      <c r="B182" t="inlineStr">
        <is>
          <t>Hyperscalers (lease adjusted)</t>
        </is>
      </c>
      <c r="C182" t="n">
        <v>2024.75</v>
      </c>
      <c r="D182">
        <f>C182-C169</f>
        <v/>
      </c>
      <c r="E182" s="3" t="n">
        <v>1.147</v>
      </c>
      <c r="G182" t="n">
        <v>3.25</v>
      </c>
    </row>
    <row r="183">
      <c r="A183" t="inlineStr">
        <is>
          <t>hyperLA</t>
        </is>
      </c>
      <c r="B183" t="inlineStr">
        <is>
          <t>Hyperscalers (lease adjusted)</t>
        </is>
      </c>
      <c r="C183" t="n">
        <v>2025</v>
      </c>
      <c r="D183">
        <f>C183-C169</f>
        <v/>
      </c>
      <c r="E183" s="3" t="n">
        <v>1.334</v>
      </c>
      <c r="G183" t="n">
        <v>3.5</v>
      </c>
    </row>
    <row r="184">
      <c r="A184" t="inlineStr">
        <is>
          <t>hyperLA</t>
        </is>
      </c>
      <c r="B184" t="inlineStr">
        <is>
          <t>Hyperscalers (lease adjusted)</t>
        </is>
      </c>
      <c r="C184" t="n">
        <v>2025.25</v>
      </c>
      <c r="D184">
        <f>C184-C169</f>
        <v/>
      </c>
      <c r="E184" s="3" t="n">
        <v>1.558</v>
      </c>
      <c r="G184" t="n">
        <v>3.75</v>
      </c>
    </row>
    <row r="185">
      <c r="A185" t="inlineStr">
        <is>
          <t>hyperLA</t>
        </is>
      </c>
      <c r="B185" t="inlineStr">
        <is>
          <t>Hyperscalers (lease adjusted)</t>
        </is>
      </c>
      <c r="C185" t="n">
        <v>2025.5</v>
      </c>
      <c r="D185">
        <f>C185-C169</f>
        <v/>
      </c>
      <c r="E185" s="3" t="n">
        <v>1.702</v>
      </c>
      <c r="G185" t="n">
        <v>4</v>
      </c>
    </row>
    <row r="186">
      <c r="A186" t="inlineStr">
        <is>
          <t>hyper</t>
        </is>
      </c>
      <c r="B186" t="inlineStr">
        <is>
          <t>Hyperscalers</t>
        </is>
      </c>
      <c r="C186" t="n">
        <v>2021.5</v>
      </c>
      <c r="D186">
        <f>C186-C186</f>
        <v/>
      </c>
      <c r="E186" s="3" t="n">
        <v>0.537</v>
      </c>
      <c r="G186" t="n">
        <v>0</v>
      </c>
    </row>
    <row r="187">
      <c r="A187" t="inlineStr">
        <is>
          <t>hyper</t>
        </is>
      </c>
      <c r="B187" t="inlineStr">
        <is>
          <t>Hyperscalers</t>
        </is>
      </c>
      <c r="C187" t="n">
        <v>2021.75</v>
      </c>
      <c r="D187">
        <f>C187-C186</f>
        <v/>
      </c>
      <c r="E187" s="3" t="n">
        <v>0.5639999999999999</v>
      </c>
      <c r="G187" t="n">
        <v>0.25</v>
      </c>
    </row>
    <row r="188">
      <c r="A188" t="inlineStr">
        <is>
          <t>hyper</t>
        </is>
      </c>
      <c r="B188" t="inlineStr">
        <is>
          <t>Hyperscalers</t>
        </is>
      </c>
      <c r="C188" t="n">
        <v>2022</v>
      </c>
      <c r="D188">
        <f>C188-C186</f>
        <v/>
      </c>
      <c r="E188" s="3" t="n">
        <v>0.595</v>
      </c>
      <c r="G188" t="n">
        <v>0.5</v>
      </c>
    </row>
    <row r="189">
      <c r="A189" t="inlineStr">
        <is>
          <t>hyper</t>
        </is>
      </c>
      <c r="B189" t="inlineStr">
        <is>
          <t>Hyperscalers</t>
        </is>
      </c>
      <c r="C189" t="n">
        <v>2022.25</v>
      </c>
      <c r="D189">
        <f>C189-C186</f>
        <v/>
      </c>
      <c r="E189" s="3" t="n">
        <v>0.611</v>
      </c>
      <c r="G189" t="n">
        <v>0.75</v>
      </c>
    </row>
    <row r="190">
      <c r="A190" t="inlineStr">
        <is>
          <t>hyper</t>
        </is>
      </c>
      <c r="B190" t="inlineStr">
        <is>
          <t>Hyperscalers</t>
        </is>
      </c>
      <c r="C190" t="n">
        <v>2022.5</v>
      </c>
      <c r="D190">
        <f>C190-C186</f>
        <v/>
      </c>
      <c r="E190" s="3" t="n">
        <v>0.569</v>
      </c>
      <c r="G190" t="n">
        <v>1</v>
      </c>
    </row>
    <row r="191">
      <c r="A191" t="inlineStr">
        <is>
          <t>hyper</t>
        </is>
      </c>
      <c r="B191" t="inlineStr">
        <is>
          <t>Hyperscalers</t>
        </is>
      </c>
      <c r="C191" t="n">
        <v>2022.75</v>
      </c>
      <c r="D191">
        <f>C191-C186</f>
        <v/>
      </c>
      <c r="E191" s="3" t="n">
        <v>0.555</v>
      </c>
      <c r="G191" t="n">
        <v>1.25</v>
      </c>
    </row>
    <row r="192">
      <c r="A192" t="inlineStr">
        <is>
          <t>hyper</t>
        </is>
      </c>
      <c r="B192" t="inlineStr">
        <is>
          <t>Hyperscalers</t>
        </is>
      </c>
      <c r="C192" t="n">
        <v>2023</v>
      </c>
      <c r="D192">
        <f>C192-C186</f>
        <v/>
      </c>
      <c r="E192" s="3" t="n">
        <v>0.542</v>
      </c>
      <c r="G192" t="n">
        <v>1.5</v>
      </c>
    </row>
    <row r="193">
      <c r="A193" t="inlineStr">
        <is>
          <t>hyper</t>
        </is>
      </c>
      <c r="B193" t="inlineStr">
        <is>
          <t>Hyperscalers</t>
        </is>
      </c>
      <c r="C193" t="n">
        <v>2023.25</v>
      </c>
      <c r="D193">
        <f>C193-C186</f>
        <v/>
      </c>
      <c r="E193" s="3" t="n">
        <v>0.551</v>
      </c>
      <c r="G193" t="n">
        <v>1.75</v>
      </c>
    </row>
    <row r="194">
      <c r="A194" t="inlineStr">
        <is>
          <t>hyper</t>
        </is>
      </c>
      <c r="B194" t="inlineStr">
        <is>
          <t>Hyperscalers</t>
        </is>
      </c>
      <c r="C194" t="n">
        <v>2023.5</v>
      </c>
      <c r="D194">
        <f>C194-C186</f>
        <v/>
      </c>
      <c r="E194" s="3" t="n">
        <v>0.5620000000000001</v>
      </c>
      <c r="G194" t="n">
        <v>2</v>
      </c>
    </row>
    <row r="195">
      <c r="A195" t="inlineStr">
        <is>
          <t>hyper</t>
        </is>
      </c>
      <c r="B195" t="inlineStr">
        <is>
          <t>Hyperscalers</t>
        </is>
      </c>
      <c r="C195" t="n">
        <v>2023.75</v>
      </c>
      <c r="D195">
        <f>C195-C186</f>
        <v/>
      </c>
      <c r="E195" s="3" t="n">
        <v>0.63</v>
      </c>
      <c r="G195" t="n">
        <v>2.25</v>
      </c>
    </row>
    <row r="196">
      <c r="A196" t="inlineStr">
        <is>
          <t>hyper</t>
        </is>
      </c>
      <c r="B196" t="inlineStr">
        <is>
          <t>Hyperscalers</t>
        </is>
      </c>
      <c r="C196" t="n">
        <v>2024</v>
      </c>
      <c r="D196">
        <f>C196-C186</f>
        <v/>
      </c>
      <c r="E196" s="3" t="n">
        <v>0.715</v>
      </c>
      <c r="G196" t="n">
        <v>2.5</v>
      </c>
    </row>
    <row r="197">
      <c r="A197" t="inlineStr">
        <is>
          <t>hyper</t>
        </is>
      </c>
      <c r="B197" t="inlineStr">
        <is>
          <t>Hyperscalers</t>
        </is>
      </c>
      <c r="C197" t="n">
        <v>2024.25</v>
      </c>
      <c r="D197">
        <f>C197-C186</f>
        <v/>
      </c>
      <c r="E197" s="3" t="n">
        <v>0.829</v>
      </c>
      <c r="G197" t="n">
        <v>2.75</v>
      </c>
    </row>
    <row r="198">
      <c r="A198" t="inlineStr">
        <is>
          <t>hyper</t>
        </is>
      </c>
      <c r="B198" t="inlineStr">
        <is>
          <t>Hyperscalers</t>
        </is>
      </c>
      <c r="C198" t="n">
        <v>2024.5</v>
      </c>
      <c r="D198">
        <f>C198-C186</f>
        <v/>
      </c>
      <c r="E198" s="3" t="n">
        <v>0.901</v>
      </c>
      <c r="G198" t="n">
        <v>3</v>
      </c>
    </row>
    <row r="199">
      <c r="A199" t="inlineStr">
        <is>
          <t>hyper</t>
        </is>
      </c>
      <c r="B199" t="inlineStr">
        <is>
          <t>Hyperscalers</t>
        </is>
      </c>
      <c r="C199" t="n">
        <v>2024.75</v>
      </c>
      <c r="D199">
        <f>C199-C186</f>
        <v/>
      </c>
      <c r="E199" s="3" t="n">
        <v>1.036</v>
      </c>
      <c r="G199" t="n">
        <v>3.25</v>
      </c>
    </row>
    <row r="200">
      <c r="A200" t="inlineStr">
        <is>
          <t>hyper</t>
        </is>
      </c>
      <c r="B200" t="inlineStr">
        <is>
          <t>Hyperscalers</t>
        </is>
      </c>
      <c r="C200" t="n">
        <v>2025</v>
      </c>
      <c r="D200">
        <f>C200-C186</f>
        <v/>
      </c>
      <c r="E200" s="3" t="n">
        <v>1.187</v>
      </c>
      <c r="G200" t="n">
        <v>3.5</v>
      </c>
    </row>
    <row r="201">
      <c r="A201" t="inlineStr">
        <is>
          <t>hyper</t>
        </is>
      </c>
      <c r="B201" t="inlineStr">
        <is>
          <t>Hyperscalers</t>
        </is>
      </c>
      <c r="C201" t="n">
        <v>2025.25</v>
      </c>
      <c r="D201">
        <f>C201-C186</f>
        <v/>
      </c>
      <c r="E201" s="3" t="n">
        <v>1.379</v>
      </c>
      <c r="G201" t="n">
        <v>3.75</v>
      </c>
    </row>
    <row r="202">
      <c r="A202" t="inlineStr">
        <is>
          <t>hyper</t>
        </is>
      </c>
      <c r="B202" t="inlineStr">
        <is>
          <t>Hyperscalers</t>
        </is>
      </c>
      <c r="C202" t="n">
        <v>2025.5</v>
      </c>
      <c r="D202">
        <f>C202-C186</f>
        <v/>
      </c>
      <c r="E202" s="3" t="n">
        <v>1.536</v>
      </c>
      <c r="G20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Year</t>
        </is>
      </c>
      <c r="B1" s="2" t="inlineStr">
        <is>
          <t>US railroads (1900 onwards)</t>
        </is>
      </c>
      <c r="C1" s="2" t="inlineStr">
        <is>
          <t>O&amp;G (1970-80s)</t>
        </is>
      </c>
      <c r="D1" s="2" t="inlineStr">
        <is>
          <t>Telecoms (1990s)</t>
        </is>
      </c>
      <c r="E1" s="2" t="inlineStr">
        <is>
          <t>O&amp;G (Shale)</t>
        </is>
      </c>
    </row>
    <row r="2">
      <c r="A2" t="n">
        <v>1899</v>
      </c>
      <c r="B2" s="3" t="n">
        <v>1.169</v>
      </c>
    </row>
    <row r="3">
      <c r="A3" t="n">
        <v>1900</v>
      </c>
      <c r="B3" s="3" t="n">
        <v>1.247</v>
      </c>
    </row>
    <row r="4">
      <c r="A4" t="n">
        <v>1901</v>
      </c>
      <c r="B4" s="3" t="n">
        <v>1.047</v>
      </c>
    </row>
    <row r="5">
      <c r="A5" t="n">
        <v>1902</v>
      </c>
      <c r="B5" s="3" t="n">
        <v>1.068</v>
      </c>
    </row>
    <row r="6">
      <c r="A6" t="n">
        <v>1903</v>
      </c>
      <c r="B6" s="3" t="n">
        <v>1.068</v>
      </c>
    </row>
    <row r="7">
      <c r="A7" t="n">
        <v>1904</v>
      </c>
      <c r="B7" s="3" t="n">
        <v>1.252</v>
      </c>
    </row>
    <row r="8">
      <c r="A8" t="n">
        <v>1905</v>
      </c>
      <c r="B8" s="3" t="n">
        <v>1.49</v>
      </c>
    </row>
    <row r="9">
      <c r="A9" t="n">
        <v>1906</v>
      </c>
      <c r="B9" s="3" t="n">
        <v>1.798</v>
      </c>
    </row>
    <row r="10">
      <c r="A10" t="n">
        <v>1907</v>
      </c>
      <c r="B10" s="3" t="n">
        <v>2.026</v>
      </c>
    </row>
    <row r="11">
      <c r="A11" t="n">
        <v>1908</v>
      </c>
      <c r="B11" s="3" t="n">
        <v>2.221</v>
      </c>
    </row>
    <row r="12">
      <c r="A12" t="n">
        <v>1909</v>
      </c>
      <c r="B12" s="3" t="n">
        <v>2.115</v>
      </c>
    </row>
    <row r="13">
      <c r="A13" t="n">
        <v>1910</v>
      </c>
      <c r="B13" s="3" t="n">
        <v>2.303</v>
      </c>
    </row>
    <row r="14">
      <c r="A14" t="n">
        <v>1911</v>
      </c>
      <c r="B14" s="3" t="n">
        <v>2.117</v>
      </c>
    </row>
    <row r="15">
      <c r="A15" t="n">
        <v>1912</v>
      </c>
      <c r="B15" s="3" t="n">
        <v>1.998</v>
      </c>
    </row>
    <row r="16">
      <c r="A16" t="n">
        <v>1913</v>
      </c>
      <c r="B16" s="3" t="n">
        <v>1.979</v>
      </c>
    </row>
    <row r="17">
      <c r="A17" t="n">
        <v>1914</v>
      </c>
      <c r="B17" s="3" t="n">
        <v>1.418</v>
      </c>
    </row>
    <row r="18">
      <c r="A18" t="n">
        <v>1915</v>
      </c>
      <c r="B18" s="3" t="n">
        <v>0.79</v>
      </c>
    </row>
    <row r="19">
      <c r="A19" t="n">
        <v>1916</v>
      </c>
      <c r="B19" s="3" t="n">
        <v>0.8159999999999999</v>
      </c>
    </row>
    <row r="20">
      <c r="A20" t="n">
        <v>1917</v>
      </c>
      <c r="B20" s="3" t="n">
        <v>1.013</v>
      </c>
    </row>
    <row r="21">
      <c r="A21" t="n">
        <v>1918</v>
      </c>
      <c r="B21" s="3" t="n">
        <v>0.78</v>
      </c>
    </row>
    <row r="22">
      <c r="A22" t="n">
        <v>1919</v>
      </c>
      <c r="B22" s="3" t="n">
        <v>0.508</v>
      </c>
    </row>
    <row r="23">
      <c r="A23" t="n">
        <v>1920</v>
      </c>
      <c r="B23" s="3" t="n">
        <v>0.726</v>
      </c>
    </row>
    <row r="24">
      <c r="A24" t="n">
        <v>1972</v>
      </c>
      <c r="C24" s="3" t="n">
        <v>0.379</v>
      </c>
    </row>
    <row r="25">
      <c r="A25" t="n">
        <v>1973</v>
      </c>
      <c r="C25" s="3" t="n">
        <v>0.391</v>
      </c>
    </row>
    <row r="26">
      <c r="A26" t="n">
        <v>1974</v>
      </c>
      <c r="C26" s="3" t="n">
        <v>0.495</v>
      </c>
    </row>
    <row r="27">
      <c r="A27" t="n">
        <v>1975</v>
      </c>
      <c r="C27" s="3" t="n">
        <v>0.665</v>
      </c>
    </row>
    <row r="28">
      <c r="A28" t="n">
        <v>1976</v>
      </c>
      <c r="C28" s="3" t="n">
        <v>0.7</v>
      </c>
    </row>
    <row r="29">
      <c r="A29" t="n">
        <v>1977</v>
      </c>
      <c r="C29" s="3" t="n">
        <v>0.722</v>
      </c>
    </row>
    <row r="30">
      <c r="A30" t="n">
        <v>1978</v>
      </c>
      <c r="C30" s="3" t="n">
        <v>0.909</v>
      </c>
    </row>
    <row r="31">
      <c r="A31" t="n">
        <v>1979</v>
      </c>
      <c r="C31" s="3" t="n">
        <v>1.064</v>
      </c>
    </row>
    <row r="32">
      <c r="A32" t="n">
        <v>1980</v>
      </c>
      <c r="C32" s="3" t="n">
        <v>1.425</v>
      </c>
    </row>
    <row r="33">
      <c r="A33" t="n">
        <v>1981</v>
      </c>
      <c r="C33" s="3" t="n">
        <v>1.972</v>
      </c>
    </row>
    <row r="34">
      <c r="A34" t="n">
        <v>1982</v>
      </c>
      <c r="C34" s="3" t="n">
        <v>1.891</v>
      </c>
    </row>
    <row r="35">
      <c r="A35" t="n">
        <v>1983</v>
      </c>
      <c r="C35" s="3" t="n">
        <v>1.182</v>
      </c>
    </row>
    <row r="36">
      <c r="A36" t="n">
        <v>1984</v>
      </c>
      <c r="C36" s="3" t="n">
        <v>1.093</v>
      </c>
    </row>
    <row r="37">
      <c r="A37" t="n">
        <v>1985</v>
      </c>
      <c r="C37" s="3" t="n">
        <v>0.925</v>
      </c>
    </row>
    <row r="38">
      <c r="A38" t="n">
        <v>1986</v>
      </c>
      <c r="C38" s="3" t="n">
        <v>0.516</v>
      </c>
    </row>
    <row r="39">
      <c r="A39" t="n">
        <v>1995</v>
      </c>
      <c r="D39" s="3" t="n">
        <v>1.054</v>
      </c>
    </row>
    <row r="40">
      <c r="A40" t="n">
        <v>1996</v>
      </c>
      <c r="D40" s="3" t="n">
        <v>1.083</v>
      </c>
    </row>
    <row r="41">
      <c r="A41" t="n">
        <v>1997</v>
      </c>
      <c r="D41" s="3" t="n">
        <v>1.098</v>
      </c>
    </row>
    <row r="42">
      <c r="A42" t="n">
        <v>1998</v>
      </c>
      <c r="D42" s="3" t="n">
        <v>1.135</v>
      </c>
    </row>
    <row r="43">
      <c r="A43" t="n">
        <v>1999</v>
      </c>
      <c r="D43" s="3" t="n">
        <v>1.285</v>
      </c>
    </row>
    <row r="44">
      <c r="A44" t="n">
        <v>2000</v>
      </c>
      <c r="D44" s="3" t="n">
        <v>1.54</v>
      </c>
    </row>
    <row r="45">
      <c r="A45" t="n">
        <v>2001</v>
      </c>
      <c r="D45" s="3" t="n">
        <v>1.337</v>
      </c>
    </row>
    <row r="46">
      <c r="A46" t="n">
        <v>2002</v>
      </c>
      <c r="D46" s="3" t="n">
        <v>0.91</v>
      </c>
      <c r="E46" s="3" t="n">
        <v>0.395</v>
      </c>
    </row>
    <row r="47">
      <c r="A47" t="n">
        <v>2003</v>
      </c>
      <c r="D47" s="3" t="n">
        <v>0.789</v>
      </c>
      <c r="E47" s="3" t="n">
        <v>0.468</v>
      </c>
    </row>
    <row r="48">
      <c r="A48" t="n">
        <v>2004</v>
      </c>
      <c r="E48" s="3" t="n">
        <v>0.505</v>
      </c>
    </row>
    <row r="49">
      <c r="A49" t="n">
        <v>2005</v>
      </c>
      <c r="E49" s="3" t="n">
        <v>0.653</v>
      </c>
    </row>
    <row r="50">
      <c r="A50" t="n">
        <v>2006</v>
      </c>
      <c r="E50" s="3" t="n">
        <v>0.866</v>
      </c>
    </row>
    <row r="51">
      <c r="A51" t="n">
        <v>2007</v>
      </c>
      <c r="E51" s="3" t="n">
        <v>0.95</v>
      </c>
    </row>
    <row r="52">
      <c r="A52" t="n">
        <v>2008</v>
      </c>
      <c r="E52" s="3" t="n">
        <v>1.114</v>
      </c>
    </row>
    <row r="53">
      <c r="A53" t="n">
        <v>2009</v>
      </c>
      <c r="E53" s="3" t="n">
        <v>0.775</v>
      </c>
    </row>
    <row r="54">
      <c r="A54" t="n">
        <v>2010</v>
      </c>
      <c r="E54" s="3" t="n">
        <v>0.852</v>
      </c>
    </row>
    <row r="55">
      <c r="A55" t="n">
        <v>2011</v>
      </c>
      <c r="E55" s="3" t="n">
        <v>1.034</v>
      </c>
    </row>
    <row r="56">
      <c r="A56" t="n">
        <v>2012</v>
      </c>
      <c r="E56" s="3" t="n">
        <v>1.259</v>
      </c>
    </row>
    <row r="57">
      <c r="A57" t="n">
        <v>2013</v>
      </c>
      <c r="E57" s="3" t="n">
        <v>1.249</v>
      </c>
    </row>
    <row r="58">
      <c r="A58" t="n">
        <v>2014</v>
      </c>
      <c r="E58" s="3" t="n">
        <v>1.415</v>
      </c>
    </row>
    <row r="59">
      <c r="A59" t="n">
        <v>2015</v>
      </c>
      <c r="E59" s="3" t="n">
        <v>0.979</v>
      </c>
    </row>
    <row r="60">
      <c r="A60" t="n">
        <v>2016</v>
      </c>
      <c r="E60" s="3" t="n">
        <v>0.5600000000000001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4" customWidth="1" min="5" max="5"/>
  </cols>
  <sheetData>
    <row r="1">
      <c r="A1" s="2" t="inlineStr">
        <is>
          <t>Trailing 4 quarters to</t>
        </is>
      </c>
      <c r="B1" s="2" t="inlineStr">
        <is>
          <t>Position (year)</t>
        </is>
      </c>
      <c r="C1" s="2" t="inlineStr">
        <is>
          <t>Hyperscalers</t>
        </is>
      </c>
      <c r="D1" s="2" t="inlineStr">
        <is>
          <t>Hyperscalers (lease adjusted)</t>
        </is>
      </c>
      <c r="E1" s="2" t="inlineStr">
        <is>
          <t>Lease adjustment (pp)</t>
        </is>
      </c>
    </row>
    <row r="2">
      <c r="A2" t="inlineStr">
        <is>
          <t>TTM to 2022Q1</t>
        </is>
      </c>
      <c r="B2" t="n">
        <v>2021.5</v>
      </c>
      <c r="C2" s="3" t="n">
        <v>0.537</v>
      </c>
      <c r="D2" s="3" t="n">
        <v>0.616</v>
      </c>
      <c r="E2" s="3">
        <f>D2-C2</f>
        <v/>
      </c>
    </row>
    <row r="3">
      <c r="A3" t="inlineStr">
        <is>
          <t>TTM to 2022Q2</t>
        </is>
      </c>
      <c r="B3" t="n">
        <v>2021.75</v>
      </c>
      <c r="C3" s="3" t="n">
        <v>0.5639999999999999</v>
      </c>
      <c r="D3" s="3" t="n">
        <v>0.637</v>
      </c>
      <c r="E3" s="3">
        <f>D3-C3</f>
        <v/>
      </c>
    </row>
    <row r="4">
      <c r="A4" t="inlineStr">
        <is>
          <t>TTM to 2022Q3</t>
        </is>
      </c>
      <c r="B4" t="n">
        <v>2022</v>
      </c>
      <c r="C4" s="3" t="n">
        <v>0.595</v>
      </c>
      <c r="D4" s="3" t="n">
        <v>0.64</v>
      </c>
      <c r="E4" s="3">
        <f>D4-C4</f>
        <v/>
      </c>
    </row>
    <row r="5">
      <c r="A5" t="inlineStr">
        <is>
          <t>TTM to 2022Q4</t>
        </is>
      </c>
      <c r="B5" t="n">
        <v>2022.25</v>
      </c>
      <c r="C5" s="3" t="n">
        <v>0.611</v>
      </c>
      <c r="D5" s="3" t="n">
        <v>0.655</v>
      </c>
      <c r="E5" s="3">
        <f>D5-C5</f>
        <v/>
      </c>
    </row>
    <row r="6">
      <c r="A6" t="inlineStr">
        <is>
          <t>TTM to 2023Q1</t>
        </is>
      </c>
      <c r="B6" t="n">
        <v>2022.5</v>
      </c>
      <c r="C6" s="3" t="n">
        <v>0.569</v>
      </c>
      <c r="D6" s="3" t="n">
        <v>0.627</v>
      </c>
      <c r="E6" s="3">
        <f>D6-C6</f>
        <v/>
      </c>
    </row>
    <row r="7">
      <c r="A7" t="inlineStr">
        <is>
          <t>TTM to 2023Q2</t>
        </is>
      </c>
      <c r="B7" t="n">
        <v>2022.75</v>
      </c>
      <c r="C7" s="3" t="n">
        <v>0.555</v>
      </c>
      <c r="D7" s="3" t="n">
        <v>0.614</v>
      </c>
      <c r="E7" s="3">
        <f>D7-C7</f>
        <v/>
      </c>
    </row>
    <row r="8">
      <c r="A8" t="inlineStr">
        <is>
          <t>TTM to 2023Q3</t>
        </is>
      </c>
      <c r="B8" t="n">
        <v>2023</v>
      </c>
      <c r="C8" s="3" t="n">
        <v>0.542</v>
      </c>
      <c r="D8" s="3" t="n">
        <v>0.592</v>
      </c>
      <c r="E8" s="3">
        <f>D8-C8</f>
        <v/>
      </c>
    </row>
    <row r="9">
      <c r="A9" t="inlineStr">
        <is>
          <t>TTM to 2023Q4</t>
        </is>
      </c>
      <c r="B9" t="n">
        <v>2023.25</v>
      </c>
      <c r="C9" s="3" t="n">
        <v>0.551</v>
      </c>
      <c r="D9" s="3" t="n">
        <v>0.595</v>
      </c>
      <c r="E9" s="3">
        <f>D9-C9</f>
        <v/>
      </c>
    </row>
    <row r="10">
      <c r="A10" t="inlineStr">
        <is>
          <t>TTM to 2024Q1</t>
        </is>
      </c>
      <c r="B10" t="n">
        <v>2023.5</v>
      </c>
      <c r="C10" s="3" t="n">
        <v>0.5620000000000001</v>
      </c>
      <c r="D10" s="3" t="n">
        <v>0.596</v>
      </c>
      <c r="E10" s="3">
        <f>D10-C10</f>
        <v/>
      </c>
    </row>
    <row r="11">
      <c r="A11" t="inlineStr">
        <is>
          <t>TTM to 2024Q2</t>
        </is>
      </c>
      <c r="B11" t="n">
        <v>2023.75</v>
      </c>
      <c r="C11" s="3" t="n">
        <v>0.63</v>
      </c>
      <c r="D11" s="3" t="n">
        <v>0.6860000000000001</v>
      </c>
      <c r="E11" s="3">
        <f>D11-C11</f>
        <v/>
      </c>
    </row>
    <row r="12">
      <c r="A12" t="inlineStr">
        <is>
          <t>TTM to 2024Q3</t>
        </is>
      </c>
      <c r="B12" t="n">
        <v>2024</v>
      </c>
      <c r="C12" s="3" t="n">
        <v>0.715</v>
      </c>
      <c r="D12" s="3" t="n">
        <v>0.78</v>
      </c>
      <c r="E12" s="3">
        <f>D12-C12</f>
        <v/>
      </c>
    </row>
    <row r="13">
      <c r="A13" t="inlineStr">
        <is>
          <t>TTM to 2024Q4</t>
        </is>
      </c>
      <c r="B13" t="n">
        <v>2024.25</v>
      </c>
      <c r="C13" s="3" t="n">
        <v>0.829</v>
      </c>
      <c r="D13" s="3" t="n">
        <v>0.896</v>
      </c>
      <c r="E13" s="3">
        <f>D13-C13</f>
        <v/>
      </c>
    </row>
    <row r="14">
      <c r="A14" t="inlineStr">
        <is>
          <t>TTM to 2025Q1</t>
        </is>
      </c>
      <c r="B14" t="n">
        <v>2024.5</v>
      </c>
      <c r="C14" s="3" t="n">
        <v>0.901</v>
      </c>
      <c r="D14" s="3" t="n">
        <v>1.013</v>
      </c>
      <c r="E14" s="3">
        <f>D14-C14</f>
        <v/>
      </c>
    </row>
    <row r="15">
      <c r="A15" t="inlineStr">
        <is>
          <t>TTM to 2025Q2</t>
        </is>
      </c>
      <c r="B15" t="n">
        <v>2024.75</v>
      </c>
      <c r="C15" s="3" t="n">
        <v>1.036</v>
      </c>
      <c r="D15" s="3" t="n">
        <v>1.147</v>
      </c>
      <c r="E15" s="3">
        <f>D15-C15</f>
        <v/>
      </c>
    </row>
    <row r="16">
      <c r="A16" t="inlineStr">
        <is>
          <t>TTM to 2025Q3</t>
        </is>
      </c>
      <c r="B16" t="n">
        <v>2025</v>
      </c>
      <c r="C16" s="3" t="n">
        <v>1.187</v>
      </c>
      <c r="D16" s="3" t="n">
        <v>1.334</v>
      </c>
      <c r="E16" s="3">
        <f>D16-C16</f>
        <v/>
      </c>
    </row>
    <row r="17">
      <c r="A17" t="inlineStr">
        <is>
          <t>TTM to 2025Q4</t>
        </is>
      </c>
      <c r="B17" t="n">
        <v>2025.25</v>
      </c>
      <c r="C17" s="3" t="n">
        <v>1.379</v>
      </c>
      <c r="D17" s="3" t="n">
        <v>1.558</v>
      </c>
      <c r="E17" s="3">
        <f>D17-C17</f>
        <v/>
      </c>
    </row>
    <row r="18">
      <c r="A18" t="inlineStr">
        <is>
          <t>TTM to 2026Q1</t>
        </is>
      </c>
      <c r="B18" t="n">
        <v>2025.5</v>
      </c>
      <c r="C18" s="3" t="n">
        <v>1.536</v>
      </c>
      <c r="D18" s="3" t="n">
        <v>1.702</v>
      </c>
      <c r="E18" s="3">
        <f>D18-C18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4" customWidth="1" min="7" max="7"/>
    <col width="14" customWidth="1" min="8" max="8"/>
    <col width="11" customWidth="1" min="9" max="9"/>
  </cols>
  <sheetData>
    <row r="1">
      <c r="A1" s="2" t="inlineStr">
        <is>
          <t>TTM to</t>
        </is>
      </c>
      <c r="B1" s="2" t="inlineStr">
        <is>
          <t>MSFT</t>
        </is>
      </c>
      <c r="C1" s="2" t="inlineStr">
        <is>
          <t>GOOGL</t>
        </is>
      </c>
      <c r="D1" s="2" t="inlineStr">
        <is>
          <t>AMZN</t>
        </is>
      </c>
      <c r="E1" s="2" t="inlineStr">
        <is>
          <t>META</t>
        </is>
      </c>
      <c r="F1" s="2" t="inlineStr">
        <is>
          <t>ORCL</t>
        </is>
      </c>
      <c r="G1" s="2" t="inlineStr">
        <is>
          <t>Capex, 5 names ($bn)</t>
        </is>
      </c>
      <c r="H1" s="2" t="inlineStr">
        <is>
          <t>BEA GDP, TTM ($bn)</t>
        </is>
      </c>
      <c r="I1" s="2" t="inlineStr">
        <is>
          <t>% of US GDP</t>
        </is>
      </c>
    </row>
    <row r="2">
      <c r="A2" t="inlineStr">
        <is>
          <t>2020Q4</t>
        </is>
      </c>
      <c r="B2" s="6" t="n">
        <v>17.6</v>
      </c>
      <c r="C2" s="6" t="n">
        <v>22.3</v>
      </c>
      <c r="D2" s="6" t="n">
        <v>40.1</v>
      </c>
      <c r="E2" s="6" t="n">
        <v>15.2</v>
      </c>
      <c r="F2" s="6" t="n">
        <v>1.8</v>
      </c>
      <c r="G2" s="6">
        <f>SUM(B2:F2)</f>
        <v/>
      </c>
      <c r="H2" s="13" t="n">
        <v>21375</v>
      </c>
      <c r="I2" s="3">
        <f>G2/H2*100</f>
        <v/>
      </c>
    </row>
    <row r="3">
      <c r="A3" t="inlineStr">
        <is>
          <t>2021Q1</t>
        </is>
      </c>
      <c r="B3" s="6" t="n">
        <v>18.9</v>
      </c>
      <c r="C3" s="6" t="n">
        <v>22.2</v>
      </c>
      <c r="D3" s="6" t="n">
        <v>45.4</v>
      </c>
      <c r="E3" s="6" t="n">
        <v>15.9</v>
      </c>
      <c r="F3" s="6" t="n">
        <v>1.9</v>
      </c>
      <c r="G3" s="6">
        <f>SUM(B3:F3)</f>
        <v/>
      </c>
      <c r="H3" s="13" t="n">
        <v>21614</v>
      </c>
      <c r="I3" s="3">
        <f>G3/H3*100</f>
        <v/>
      </c>
    </row>
    <row r="4">
      <c r="A4" t="inlineStr">
        <is>
          <t>2021Q2</t>
        </is>
      </c>
      <c r="B4" s="6" t="n">
        <v>20.6</v>
      </c>
      <c r="C4" s="6" t="n">
        <v>22.3</v>
      </c>
      <c r="D4" s="6" t="n">
        <v>52.3</v>
      </c>
      <c r="E4" s="6" t="n">
        <v>17.3</v>
      </c>
      <c r="F4" s="6" t="n">
        <v>2.1</v>
      </c>
      <c r="G4" s="6">
        <f>SUM(B4:F4)</f>
        <v/>
      </c>
      <c r="H4" s="13" t="n">
        <v>22488</v>
      </c>
      <c r="I4" s="3">
        <f>G4/H4*100</f>
        <v/>
      </c>
    </row>
    <row r="5">
      <c r="A5" t="inlineStr">
        <is>
          <t>2021Q3</t>
        </is>
      </c>
      <c r="B5" s="6" t="n">
        <v>21.5</v>
      </c>
      <c r="C5" s="6" t="n">
        <v>23.7</v>
      </c>
      <c r="D5" s="6" t="n">
        <v>56.9</v>
      </c>
      <c r="E5" s="6" t="n">
        <v>18</v>
      </c>
      <c r="F5" s="6" t="n">
        <v>2.8</v>
      </c>
      <c r="G5" s="6">
        <f>SUM(B5:F5)</f>
        <v/>
      </c>
      <c r="H5" s="13" t="n">
        <v>23062</v>
      </c>
      <c r="I5" s="3">
        <f>G5/H5*100</f>
        <v/>
      </c>
    </row>
    <row r="6">
      <c r="A6" t="inlineStr">
        <is>
          <t>2021Q4</t>
        </is>
      </c>
      <c r="B6" s="6" t="n">
        <v>23.2</v>
      </c>
      <c r="C6" s="6" t="n">
        <v>24.6</v>
      </c>
      <c r="D6" s="6" t="n">
        <v>61.1</v>
      </c>
      <c r="E6" s="6" t="n">
        <v>18.7</v>
      </c>
      <c r="F6" s="6" t="n">
        <v>3.1</v>
      </c>
      <c r="G6" s="6">
        <f>SUM(B6:F6)</f>
        <v/>
      </c>
      <c r="H6" s="13" t="n">
        <v>23746</v>
      </c>
      <c r="I6" s="3">
        <f>G6/H6*100</f>
        <v/>
      </c>
    </row>
    <row r="7">
      <c r="A7" t="inlineStr">
        <is>
          <t>2022Q1</t>
        </is>
      </c>
      <c r="B7" s="6" t="n">
        <v>23.5</v>
      </c>
      <c r="C7" s="6" t="n">
        <v>28.5</v>
      </c>
      <c r="D7" s="6" t="n">
        <v>63.9</v>
      </c>
      <c r="E7" s="6" t="n">
        <v>19.8</v>
      </c>
      <c r="F7" s="6" t="n">
        <v>3.8</v>
      </c>
      <c r="G7" s="6">
        <f>SUM(B7:F7)</f>
        <v/>
      </c>
      <c r="H7" s="13" t="n">
        <v>24385</v>
      </c>
      <c r="I7" s="3">
        <f>G7/H7*100</f>
        <v/>
      </c>
    </row>
    <row r="8">
      <c r="A8" t="inlineStr">
        <is>
          <t>2022Q2</t>
        </is>
      </c>
      <c r="B8" s="6" t="n">
        <v>23.9</v>
      </c>
      <c r="C8" s="6" t="n">
        <v>29.8</v>
      </c>
      <c r="D8" s="6" t="n">
        <v>65.40000000000001</v>
      </c>
      <c r="E8" s="6" t="n">
        <v>22.8</v>
      </c>
      <c r="F8" s="6" t="n">
        <v>4.5</v>
      </c>
      <c r="G8" s="6">
        <f>SUM(B8:F8)</f>
        <v/>
      </c>
      <c r="H8" s="13" t="n">
        <v>24988</v>
      </c>
      <c r="I8" s="3">
        <f>G8/H8*100</f>
        <v/>
      </c>
    </row>
    <row r="9">
      <c r="A9" t="inlineStr">
        <is>
          <t>2022Q3</t>
        </is>
      </c>
      <c r="B9" s="6" t="n">
        <v>24.4</v>
      </c>
      <c r="C9" s="6" t="n">
        <v>30.3</v>
      </c>
      <c r="D9" s="6" t="n">
        <v>66</v>
      </c>
      <c r="E9" s="6" t="n">
        <v>27.8</v>
      </c>
      <c r="F9" s="6" t="n">
        <v>5.2</v>
      </c>
      <c r="G9" s="6">
        <f>SUM(B9:F9)</f>
        <v/>
      </c>
      <c r="H9" s="13" t="n">
        <v>25572</v>
      </c>
      <c r="I9" s="3">
        <f>G9/H9*100</f>
        <v/>
      </c>
    </row>
    <row r="10">
      <c r="A10" t="inlineStr">
        <is>
          <t>2022Q4</t>
        </is>
      </c>
      <c r="B10" s="6" t="n">
        <v>24.8</v>
      </c>
      <c r="C10" s="6" t="n">
        <v>31.5</v>
      </c>
      <c r="D10" s="6" t="n">
        <v>63.6</v>
      </c>
      <c r="E10" s="6" t="n">
        <v>31.2</v>
      </c>
      <c r="F10" s="6" t="n">
        <v>6.7</v>
      </c>
      <c r="G10" s="6">
        <f>SUM(B10:F10)</f>
        <v/>
      </c>
      <c r="H10" s="13" t="n">
        <v>26060</v>
      </c>
      <c r="I10" s="3">
        <f>G10/H10*100</f>
        <v/>
      </c>
    </row>
    <row r="11">
      <c r="A11" t="inlineStr">
        <is>
          <t>2023Q1</t>
        </is>
      </c>
      <c r="B11" s="6" t="n">
        <v>26</v>
      </c>
      <c r="C11" s="6" t="n">
        <v>28</v>
      </c>
      <c r="D11" s="6" t="n">
        <v>62.9</v>
      </c>
      <c r="E11" s="6" t="n">
        <v>32.6</v>
      </c>
      <c r="F11" s="6" t="n">
        <v>8.199999999999999</v>
      </c>
      <c r="G11" s="6">
        <f>SUM(B11:F11)</f>
        <v/>
      </c>
      <c r="H11" s="13" t="n">
        <v>26555</v>
      </c>
      <c r="I11" s="3">
        <f>G11/H11*100</f>
        <v/>
      </c>
    </row>
    <row r="12">
      <c r="A12" t="inlineStr">
        <is>
          <t>2023Q2</t>
        </is>
      </c>
      <c r="B12" s="6" t="n">
        <v>28.1</v>
      </c>
      <c r="C12" s="6" t="n">
        <v>28</v>
      </c>
      <c r="D12" s="6" t="n">
        <v>58.6</v>
      </c>
      <c r="E12" s="6" t="n">
        <v>31.1</v>
      </c>
      <c r="F12" s="6" t="n">
        <v>8.699999999999999</v>
      </c>
      <c r="G12" s="6">
        <f>SUM(B12:F12)</f>
        <v/>
      </c>
      <c r="H12" s="13" t="n">
        <v>26971</v>
      </c>
      <c r="I12" s="3">
        <f>G12/H12*100</f>
        <v/>
      </c>
    </row>
    <row r="13">
      <c r="A13" t="inlineStr">
        <is>
          <t>2023Q3</t>
        </is>
      </c>
      <c r="B13" s="6" t="n">
        <v>31.7</v>
      </c>
      <c r="C13" s="6" t="n">
        <v>28.8</v>
      </c>
      <c r="D13" s="6" t="n">
        <v>54.7</v>
      </c>
      <c r="E13" s="6" t="n">
        <v>28.3</v>
      </c>
      <c r="F13" s="6" t="n">
        <v>8.300000000000001</v>
      </c>
      <c r="G13" s="6">
        <f>SUM(B13:F13)</f>
        <v/>
      </c>
      <c r="H13" s="13" t="n">
        <v>27403</v>
      </c>
      <c r="I13" s="3">
        <f>G13/H13*100</f>
        <v/>
      </c>
    </row>
    <row r="14">
      <c r="A14" t="inlineStr">
        <is>
          <t>2023Q4</t>
        </is>
      </c>
      <c r="B14" s="6" t="n">
        <v>35.2</v>
      </c>
      <c r="C14" s="6" t="n">
        <v>32.3</v>
      </c>
      <c r="D14" s="6" t="n">
        <v>52.7</v>
      </c>
      <c r="E14" s="6" t="n">
        <v>27</v>
      </c>
      <c r="F14" s="6" t="n">
        <v>6.9</v>
      </c>
      <c r="G14" s="6">
        <f>SUM(B14:F14)</f>
        <v/>
      </c>
      <c r="H14" s="13" t="n">
        <v>27826</v>
      </c>
      <c r="I14" s="3">
        <f>G14/H14*100</f>
        <v/>
      </c>
    </row>
    <row r="15">
      <c r="A15" t="inlineStr">
        <is>
          <t>2024Q1</t>
        </is>
      </c>
      <c r="B15" s="6" t="n">
        <v>39.5</v>
      </c>
      <c r="C15" s="6" t="n">
        <v>38</v>
      </c>
      <c r="D15" s="6" t="n">
        <v>53.4</v>
      </c>
      <c r="E15" s="6" t="n">
        <v>26.6</v>
      </c>
      <c r="F15" s="6" t="n">
        <v>6</v>
      </c>
      <c r="G15" s="6">
        <f>SUM(B15:F15)</f>
        <v/>
      </c>
      <c r="H15" s="13" t="n">
        <v>28214</v>
      </c>
      <c r="I15" s="3">
        <f>G15/H15*100</f>
        <v/>
      </c>
    </row>
    <row r="16">
      <c r="A16" t="inlineStr">
        <is>
          <t>2024Q2</t>
        </is>
      </c>
      <c r="B16" s="6" t="n">
        <v>44.5</v>
      </c>
      <c r="C16" s="6" t="n">
        <v>44.3</v>
      </c>
      <c r="D16" s="6" t="n">
        <v>59.6</v>
      </c>
      <c r="E16" s="6" t="n">
        <v>28.7</v>
      </c>
      <c r="F16" s="6" t="n">
        <v>6.9</v>
      </c>
      <c r="G16" s="6">
        <f>SUM(B16:F16)</f>
        <v/>
      </c>
      <c r="H16" s="13" t="n">
        <v>28639</v>
      </c>
      <c r="I16" s="3">
        <f>G16/H16*100</f>
        <v/>
      </c>
    </row>
    <row r="17">
      <c r="A17" t="inlineStr">
        <is>
          <t>2024Q3</t>
        </is>
      </c>
      <c r="B17" s="6" t="n">
        <v>49.5</v>
      </c>
      <c r="C17" s="6" t="n">
        <v>49.3</v>
      </c>
      <c r="D17" s="6" t="n">
        <v>69.8</v>
      </c>
      <c r="E17" s="6" t="n">
        <v>30.4</v>
      </c>
      <c r="F17" s="6" t="n">
        <v>7.9</v>
      </c>
      <c r="G17" s="6">
        <f>SUM(B17:F17)</f>
        <v/>
      </c>
      <c r="H17" s="13" t="n">
        <v>29015</v>
      </c>
      <c r="I17" s="3">
        <f>G17/H17*100</f>
        <v/>
      </c>
    </row>
    <row r="18">
      <c r="A18" t="inlineStr">
        <is>
          <t>2024Q4</t>
        </is>
      </c>
      <c r="B18" s="6" t="n">
        <v>55.6</v>
      </c>
      <c r="C18" s="6" t="n">
        <v>52.5</v>
      </c>
      <c r="D18" s="6" t="n">
        <v>83</v>
      </c>
      <c r="E18" s="6" t="n">
        <v>37.3</v>
      </c>
      <c r="F18" s="6" t="n">
        <v>10.7</v>
      </c>
      <c r="G18" s="6">
        <f>SUM(B18:F18)</f>
        <v/>
      </c>
      <c r="H18" s="13" t="n">
        <v>29381</v>
      </c>
      <c r="I18" s="3">
        <f>G18/H18*100</f>
        <v/>
      </c>
    </row>
    <row r="19">
      <c r="A19" t="inlineStr">
        <is>
          <t>2025Q1</t>
        </is>
      </c>
      <c r="B19" s="6" t="n">
        <v>61.3</v>
      </c>
      <c r="C19" s="6" t="n">
        <v>57.7</v>
      </c>
      <c r="D19" s="6" t="n">
        <v>93.09999999999999</v>
      </c>
      <c r="E19" s="6" t="n">
        <v>43.8</v>
      </c>
      <c r="F19" s="6" t="n">
        <v>14.9</v>
      </c>
      <c r="G19" s="6">
        <f>SUM(B19:F19)</f>
        <v/>
      </c>
      <c r="H19" s="13" t="n">
        <v>29726</v>
      </c>
      <c r="I19" s="3">
        <f>G19/H19*100</f>
        <v/>
      </c>
    </row>
    <row r="20">
      <c r="A20" t="inlineStr">
        <is>
          <t>2025Q2</t>
        </is>
      </c>
      <c r="B20" s="6" t="n">
        <v>64.59999999999999</v>
      </c>
      <c r="C20" s="6" t="n">
        <v>67</v>
      </c>
      <c r="D20" s="6" t="n">
        <v>107.7</v>
      </c>
      <c r="E20" s="6" t="n">
        <v>52.2</v>
      </c>
      <c r="F20" s="6" t="n">
        <v>21.2</v>
      </c>
      <c r="G20" s="6">
        <f>SUM(B20:F20)</f>
        <v/>
      </c>
      <c r="H20" s="13" t="n">
        <v>30075</v>
      </c>
      <c r="I20" s="3">
        <f>G20/H20*100</f>
        <v/>
      </c>
    </row>
    <row r="21">
      <c r="A21" t="inlineStr">
        <is>
          <t>2025Q3</t>
        </is>
      </c>
      <c r="B21" s="6" t="n">
        <v>69</v>
      </c>
      <c r="C21" s="6" t="n">
        <v>77.90000000000001</v>
      </c>
      <c r="D21" s="6" t="n">
        <v>120.1</v>
      </c>
      <c r="E21" s="6" t="n">
        <v>62.7</v>
      </c>
      <c r="F21" s="6" t="n">
        <v>27.4</v>
      </c>
      <c r="G21" s="6">
        <f>SUM(B21:F21)</f>
        <v/>
      </c>
      <c r="H21" s="13" t="n">
        <v>30478</v>
      </c>
      <c r="I21" s="3">
        <f>G21/H21*100</f>
        <v/>
      </c>
    </row>
    <row r="22">
      <c r="A22" t="inlineStr">
        <is>
          <t>2025Q4</t>
        </is>
      </c>
      <c r="B22" s="6" t="n">
        <v>83.09999999999999</v>
      </c>
      <c r="C22" s="6" t="n">
        <v>91.40000000000001</v>
      </c>
      <c r="D22" s="6" t="n">
        <v>131.8</v>
      </c>
      <c r="E22" s="6" t="n">
        <v>69.7</v>
      </c>
      <c r="F22" s="6" t="n">
        <v>35.5</v>
      </c>
      <c r="G22" s="6">
        <f>SUM(B22:F22)</f>
        <v/>
      </c>
      <c r="H22" s="13" t="n">
        <v>30861</v>
      </c>
      <c r="I22" s="3">
        <f>G22/H22*100</f>
        <v/>
      </c>
    </row>
    <row r="23">
      <c r="A23" t="inlineStr">
        <is>
          <t>2026Q1</t>
        </is>
      </c>
      <c r="B23" s="6" t="n">
        <v>97.2</v>
      </c>
      <c r="C23" s="6" t="n">
        <v>109.9</v>
      </c>
      <c r="D23" s="6" t="n">
        <v>151</v>
      </c>
      <c r="E23" s="6" t="n">
        <v>75.7</v>
      </c>
      <c r="F23" s="6" t="n">
        <v>48.2</v>
      </c>
      <c r="G23" s="6">
        <f>SUM(B23:F23)</f>
        <v/>
      </c>
      <c r="H23" s="13" t="n">
        <v>31295</v>
      </c>
      <c r="I23" s="3">
        <f>G23/H23*100</f>
        <v/>
      </c>
    </row>
    <row r="24">
      <c r="A24" t="inlineStr">
        <is>
          <t>2026Q2</t>
        </is>
      </c>
      <c r="B24" s="6" t="n">
        <v>115.9</v>
      </c>
      <c r="C24" s="6" t="n">
        <v>132.4</v>
      </c>
      <c r="D24" s="6" t="n">
        <v>173</v>
      </c>
      <c r="E24" s="6" t="n">
        <v>89.3</v>
      </c>
      <c r="F24" s="6" t="n">
        <v>55.7</v>
      </c>
      <c r="G24" s="6">
        <f>SUM(B24:F24)</f>
        <v/>
      </c>
      <c r="H24" s="13" t="n">
        <v>31778</v>
      </c>
      <c r="I24" s="3">
        <f>G24/H24*100</f>
        <v/>
      </c>
    </row>
    <row r="26">
      <c r="A26" t="inlineStr">
        <is>
          <t>SEC XBRL purchases of property &amp; equipment (Amazon: PaymentsToAcquireProductiveAssets), discrete quarters from YTD filings; Oracle's Aug/Nov/Feb/May quarters go in the calendar quarter they end in; GDP = BEA NIPA A191RC. Runs past the exhibit's last point (TTM to 2026Q1).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Source: BofA Institute, 'Can the AI buildout keep building?' (27 Aug 2026), Exhibit 2, page 2 - file 20260827_Can the AI buildout keep building (BofA Institute).pdf.</t>
        </is>
      </c>
    </row>
    <row r="2">
      <c r="A2" t="inlineStr">
        <is>
          <t>Exhibit source line: BofA Global Research, BEA, and National Bureau of Economic Research.</t>
        </is>
      </c>
    </row>
    <row r="3">
      <c r="A3" t="inlineStr">
        <is>
          <t>Method: the chart is vector art. Every vertex of the six stroked paths was read with PyMuPDF and converted with the chart's</t>
        </is>
      </c>
    </row>
    <row r="4">
      <c r="A4" t="inlineStr">
        <is>
          <t>own gridlines (0%/1%/2%/3%) and axis labels, so values are exact to about 0.001pp (bofa-capex-cycles/extract_pdf.py).</t>
        </is>
      </c>
    </row>
    <row r="5">
      <c r="A5" t="inlineStr">
        <is>
          <t>Post-1970 series are plotted three quarters early on a quarterly grid: annual year Y fills positions Y-0.5..Y+0.25, and the</t>
        </is>
      </c>
    </row>
    <row r="6">
      <c r="A6" t="inlineStr">
        <is>
          <t>hyperscaler point at position P is the four quarters ending P+0.75 (labelled 'TTM to ...').</t>
        </is>
      </c>
    </row>
    <row r="7">
      <c r="A7" t="inlineStr">
        <is>
          <t>First-hand rebuild of every panel: 'First-hand vs PDF' sheet (scripts in bofa-capex-cycles/firsthand/).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2026-10-15T06:55:34Z</dcterms:created>
  <dcterms:modified xmlns:dcterms="http://purl.org/dc/terms/" xmlns:xsi="http://www.w3.org/2001/XMLSchema-instance" xsi:type="dcterms:W3CDTF">2026-10-15T06:55:34Z</dcterms:modified>
</cp:coreProperties>
</file>