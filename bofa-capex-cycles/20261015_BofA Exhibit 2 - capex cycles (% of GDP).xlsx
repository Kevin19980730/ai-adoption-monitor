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vertipoint-my.sharepoint.com/personal/kevin_liu_vertipoint_onmicrosoft_com/Documents/Desktop/Claude/bofa-capex-cycles/"/>
    </mc:Choice>
  </mc:AlternateContent>
  <xr:revisionPtr revIDLastSave="1" documentId="11_6ECD6BBBF7B2AE362349808752A6B3EDB7178A22" xr6:coauthVersionLast="47" xr6:coauthVersionMax="47" xr10:uidLastSave="{B78A49FB-EBAE-4DD8-A5FE-097B19A490CA}"/>
  <bookViews>
    <workbookView xWindow="28845" yWindow="-16410" windowWidth="29040" windowHeight="16440" activeTab="3" xr2:uid="{00000000-000D-0000-FFFF-FFFF00000000}"/>
  </bookViews>
  <sheets>
    <sheet name="Summary" sheetId="1" r:id="rId1"/>
    <sheet name="Summary (first-hand)" sheetId="2" r:id="rId2"/>
    <sheet name="First-hand vs PDF" sheetId="3" r:id="rId3"/>
    <sheet name="First-hand detail" sheetId="4" r:id="rId4"/>
    <sheet name="Chart points" sheetId="5" r:id="rId5"/>
    <sheet name="Annual" sheetId="6" r:id="rId6"/>
    <sheet name="Hyperscalers" sheetId="7" r:id="rId7"/>
    <sheet name="Oracle fiscal quarters" sheetId="8" r:id="rId8"/>
    <sheet name="Hyperscalers first-hand" sheetId="9" r:id="rId9"/>
    <sheet name="Annual (first-hand)" sheetId="10" r:id="rId10"/>
    <sheet name="Chart points (first-hand)" sheetId="11" r:id="rId11"/>
    <sheet name="Not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4" i="11" l="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J27" i="9"/>
  <c r="F27" i="9"/>
  <c r="G27" i="9" s="1"/>
  <c r="J26" i="9"/>
  <c r="E79" i="4" s="1"/>
  <c r="F26" i="9"/>
  <c r="G26" i="9" s="1"/>
  <c r="J25" i="9"/>
  <c r="E78" i="4" s="1"/>
  <c r="F25" i="9"/>
  <c r="G25" i="9" s="1"/>
  <c r="J24" i="9"/>
  <c r="E77" i="4" s="1"/>
  <c r="F24" i="9"/>
  <c r="G24" i="9" s="1"/>
  <c r="I27" i="9" s="1"/>
  <c r="J23" i="9"/>
  <c r="E76" i="4" s="1"/>
  <c r="F23" i="9"/>
  <c r="G23" i="9" s="1"/>
  <c r="I26" i="9" s="1"/>
  <c r="J22" i="9"/>
  <c r="E75" i="4" s="1"/>
  <c r="F22" i="9"/>
  <c r="G22" i="9" s="1"/>
  <c r="J21" i="9"/>
  <c r="E74" i="4" s="1"/>
  <c r="F21" i="9"/>
  <c r="G21" i="9" s="1"/>
  <c r="J20" i="9"/>
  <c r="E73" i="4" s="1"/>
  <c r="F20" i="9"/>
  <c r="G20" i="9" s="1"/>
  <c r="J19" i="9"/>
  <c r="E72" i="4" s="1"/>
  <c r="F19" i="9"/>
  <c r="G19" i="9" s="1"/>
  <c r="I22" i="9" s="1"/>
  <c r="J18" i="9"/>
  <c r="E71" i="4" s="1"/>
  <c r="F18" i="9"/>
  <c r="G18" i="9" s="1"/>
  <c r="I21" i="9" s="1"/>
  <c r="J17" i="9"/>
  <c r="E70" i="4" s="1"/>
  <c r="F17" i="9"/>
  <c r="G17" i="9" s="1"/>
  <c r="J16" i="9"/>
  <c r="E69" i="4" s="1"/>
  <c r="F16" i="9"/>
  <c r="G16" i="9" s="1"/>
  <c r="J15" i="9"/>
  <c r="F15" i="9"/>
  <c r="G15" i="9" s="1"/>
  <c r="I18" i="9" s="1"/>
  <c r="J14" i="9"/>
  <c r="F14" i="9"/>
  <c r="G14" i="9" s="1"/>
  <c r="I17" i="9" s="1"/>
  <c r="J13" i="9"/>
  <c r="F13" i="9"/>
  <c r="G13" i="9" s="1"/>
  <c r="J12" i="9"/>
  <c r="F12" i="9"/>
  <c r="G12" i="9" s="1"/>
  <c r="I15" i="9" s="1"/>
  <c r="J11" i="9"/>
  <c r="F11" i="9"/>
  <c r="G11" i="9" s="1"/>
  <c r="I14" i="9" s="1"/>
  <c r="J10" i="9"/>
  <c r="F10" i="9"/>
  <c r="G10" i="9" s="1"/>
  <c r="I13" i="9" s="1"/>
  <c r="J9" i="9"/>
  <c r="F9" i="9"/>
  <c r="G9" i="9" s="1"/>
  <c r="I12" i="9" s="1"/>
  <c r="J8" i="9"/>
  <c r="F8" i="9"/>
  <c r="G8" i="9" s="1"/>
  <c r="J7" i="9"/>
  <c r="F7" i="9"/>
  <c r="G7" i="9" s="1"/>
  <c r="J6" i="9"/>
  <c r="F6" i="9"/>
  <c r="G6" i="9" s="1"/>
  <c r="J5" i="9"/>
  <c r="F5" i="9"/>
  <c r="G5" i="9" s="1"/>
  <c r="I8" i="9" s="1"/>
  <c r="K8" i="9" s="1"/>
  <c r="F4" i="9"/>
  <c r="G4" i="9" s="1"/>
  <c r="I7" i="9" s="1"/>
  <c r="K7" i="9" s="1"/>
  <c r="F3" i="9"/>
  <c r="G3" i="9" s="1"/>
  <c r="I6" i="9" s="1"/>
  <c r="K6" i="9" s="1"/>
  <c r="F2" i="9"/>
  <c r="G2" i="9" s="1"/>
  <c r="I5" i="9" s="1"/>
  <c r="K5" i="9" s="1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E68" i="4"/>
  <c r="E67" i="4"/>
  <c r="E66" i="4"/>
  <c r="E65" i="4"/>
  <c r="E64" i="4"/>
  <c r="E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J2" i="4" s="1"/>
  <c r="K2" i="4" s="1"/>
  <c r="K9" i="2"/>
  <c r="G10" i="1"/>
  <c r="I10" i="1" s="1"/>
  <c r="E10" i="1"/>
  <c r="D10" i="1"/>
  <c r="C10" i="1"/>
  <c r="B10" i="1"/>
  <c r="G9" i="1"/>
  <c r="I9" i="1" s="1"/>
  <c r="E9" i="1"/>
  <c r="D9" i="1"/>
  <c r="C9" i="1"/>
  <c r="B9" i="1"/>
  <c r="E8" i="1"/>
  <c r="C8" i="1"/>
  <c r="G8" i="1" s="1"/>
  <c r="I8" i="1" s="1"/>
  <c r="B8" i="1"/>
  <c r="D8" i="1" s="1"/>
  <c r="E7" i="1"/>
  <c r="C7" i="1"/>
  <c r="G7" i="1" s="1"/>
  <c r="I7" i="1" s="1"/>
  <c r="B7" i="1"/>
  <c r="D7" i="1" s="1"/>
  <c r="E6" i="1"/>
  <c r="C6" i="1"/>
  <c r="G6" i="1" s="1"/>
  <c r="I6" i="1" s="1"/>
  <c r="B6" i="1"/>
  <c r="D6" i="1" s="1"/>
  <c r="E5" i="1"/>
  <c r="C5" i="1"/>
  <c r="G5" i="1" s="1"/>
  <c r="I5" i="1" s="1"/>
  <c r="B5" i="1"/>
  <c r="D5" i="1" s="1"/>
  <c r="K27" i="9" l="1"/>
  <c r="E119" i="11" s="1"/>
  <c r="R27" i="9"/>
  <c r="S27" i="9" s="1"/>
  <c r="E124" i="11" s="1"/>
  <c r="K26" i="9"/>
  <c r="R26" i="9"/>
  <c r="S26" i="9" s="1"/>
  <c r="E123" i="11" s="1"/>
  <c r="C79" i="4"/>
  <c r="H79" i="4" s="1"/>
  <c r="J79" i="4" s="1"/>
  <c r="K79" i="4" s="1"/>
  <c r="K22" i="9"/>
  <c r="C75" i="4"/>
  <c r="H75" i="4" s="1"/>
  <c r="J75" i="4" s="1"/>
  <c r="K75" i="4" s="1"/>
  <c r="K21" i="9"/>
  <c r="C74" i="4"/>
  <c r="H74" i="4" s="1"/>
  <c r="J74" i="4" s="1"/>
  <c r="K74" i="4" s="1"/>
  <c r="R21" i="9"/>
  <c r="S21" i="9" s="1"/>
  <c r="E121" i="11" s="1"/>
  <c r="K18" i="9"/>
  <c r="C71" i="4"/>
  <c r="H71" i="4" s="1"/>
  <c r="J71" i="4" s="1"/>
  <c r="K71" i="4" s="1"/>
  <c r="K17" i="9"/>
  <c r="R17" i="9"/>
  <c r="S17" i="9" s="1"/>
  <c r="C70" i="4"/>
  <c r="H70" i="4" s="1"/>
  <c r="J70" i="4" s="1"/>
  <c r="K70" i="4" s="1"/>
  <c r="K15" i="9"/>
  <c r="C68" i="4"/>
  <c r="H68" i="4" s="1"/>
  <c r="J68" i="4" s="1"/>
  <c r="K68" i="4" s="1"/>
  <c r="K14" i="9"/>
  <c r="C67" i="4"/>
  <c r="H67" i="4" s="1"/>
  <c r="J67" i="4" s="1"/>
  <c r="K67" i="4" s="1"/>
  <c r="K13" i="9"/>
  <c r="C66" i="4"/>
  <c r="H66" i="4" s="1"/>
  <c r="J66" i="4" s="1"/>
  <c r="K66" i="4" s="1"/>
  <c r="K12" i="9"/>
  <c r="C65" i="4"/>
  <c r="H65" i="4" s="1"/>
  <c r="J65" i="4" s="1"/>
  <c r="K65" i="4" s="1"/>
  <c r="E71" i="11"/>
  <c r="E70" i="11"/>
  <c r="D47" i="10"/>
  <c r="J62" i="4"/>
  <c r="K62" i="4" s="1"/>
  <c r="E69" i="11"/>
  <c r="E68" i="11"/>
  <c r="J61" i="4"/>
  <c r="K61" i="4" s="1"/>
  <c r="D46" i="10"/>
  <c r="D45" i="10"/>
  <c r="E67" i="11"/>
  <c r="J60" i="4"/>
  <c r="K60" i="4" s="1"/>
  <c r="E66" i="11"/>
  <c r="D44" i="10"/>
  <c r="E65" i="11"/>
  <c r="E64" i="11"/>
  <c r="J59" i="4"/>
  <c r="K59" i="4" s="1"/>
  <c r="E63" i="11"/>
  <c r="E62" i="11"/>
  <c r="D43" i="10"/>
  <c r="J58" i="4"/>
  <c r="K58" i="4" s="1"/>
  <c r="J57" i="4"/>
  <c r="K57" i="4" s="1"/>
  <c r="E61" i="11"/>
  <c r="D42" i="10"/>
  <c r="E60" i="11"/>
  <c r="D41" i="10"/>
  <c r="J56" i="4"/>
  <c r="K56" i="4" s="1"/>
  <c r="E58" i="11"/>
  <c r="E59" i="11"/>
  <c r="D40" i="10"/>
  <c r="E57" i="11"/>
  <c r="E56" i="11"/>
  <c r="J55" i="4"/>
  <c r="K55" i="4" s="1"/>
  <c r="E55" i="11"/>
  <c r="E54" i="11"/>
  <c r="J54" i="4"/>
  <c r="K54" i="4" s="1"/>
  <c r="D39" i="10"/>
  <c r="E100" i="11"/>
  <c r="E101" i="11"/>
  <c r="E60" i="10"/>
  <c r="J53" i="4"/>
  <c r="K53" i="4" s="1"/>
  <c r="E99" i="11"/>
  <c r="E98" i="11"/>
  <c r="J52" i="4"/>
  <c r="K52" i="4" s="1"/>
  <c r="E59" i="10"/>
  <c r="E97" i="11"/>
  <c r="E96" i="11"/>
  <c r="J51" i="4"/>
  <c r="K51" i="4" s="1"/>
  <c r="E58" i="10"/>
  <c r="E95" i="11"/>
  <c r="E94" i="11"/>
  <c r="J50" i="4"/>
  <c r="K50" i="4" s="1"/>
  <c r="E57" i="10"/>
  <c r="E93" i="11"/>
  <c r="E92" i="11"/>
  <c r="J49" i="4"/>
  <c r="K49" i="4" s="1"/>
  <c r="E56" i="10"/>
  <c r="E91" i="11"/>
  <c r="E90" i="11"/>
  <c r="E55" i="10"/>
  <c r="J48" i="4"/>
  <c r="K48" i="4" s="1"/>
  <c r="E54" i="10"/>
  <c r="E88" i="11"/>
  <c r="E89" i="11"/>
  <c r="J47" i="4"/>
  <c r="K47" i="4" s="1"/>
  <c r="E87" i="11"/>
  <c r="E86" i="11"/>
  <c r="E53" i="10"/>
  <c r="J46" i="4"/>
  <c r="K46" i="4" s="1"/>
  <c r="E52" i="10"/>
  <c r="E84" i="11"/>
  <c r="E85" i="11"/>
  <c r="J45" i="4"/>
  <c r="K45" i="4" s="1"/>
  <c r="E51" i="10"/>
  <c r="E82" i="11"/>
  <c r="E83" i="11"/>
  <c r="J44" i="4"/>
  <c r="K44" i="4" s="1"/>
  <c r="E50" i="10"/>
  <c r="E81" i="11"/>
  <c r="E80" i="11"/>
  <c r="J43" i="4"/>
  <c r="K43" i="4" s="1"/>
  <c r="E49" i="10"/>
  <c r="E78" i="11"/>
  <c r="E79" i="11"/>
  <c r="J42" i="4"/>
  <c r="K42" i="4" s="1"/>
  <c r="E48" i="10"/>
  <c r="E77" i="11"/>
  <c r="J41" i="4"/>
  <c r="K41" i="4" s="1"/>
  <c r="E76" i="11"/>
  <c r="E47" i="10"/>
  <c r="J40" i="4"/>
  <c r="K40" i="4" s="1"/>
  <c r="E75" i="11"/>
  <c r="E74" i="11"/>
  <c r="E73" i="11"/>
  <c r="E72" i="11"/>
  <c r="J39" i="4"/>
  <c r="K39" i="4" s="1"/>
  <c r="E46" i="10"/>
  <c r="E53" i="11"/>
  <c r="J38" i="4"/>
  <c r="K38" i="4" s="1"/>
  <c r="C38" i="10"/>
  <c r="E52" i="11"/>
  <c r="J37" i="4"/>
  <c r="K37" i="4" s="1"/>
  <c r="C37" i="10"/>
  <c r="E51" i="11"/>
  <c r="E50" i="11"/>
  <c r="J36" i="4"/>
  <c r="K36" i="4" s="1"/>
  <c r="C36" i="10"/>
  <c r="E49" i="11"/>
  <c r="E48" i="11"/>
  <c r="E47" i="11"/>
  <c r="E46" i="11"/>
  <c r="C35" i="10"/>
  <c r="J35" i="4"/>
  <c r="K35" i="4" s="1"/>
  <c r="C34" i="10"/>
  <c r="E44" i="11"/>
  <c r="J34" i="4"/>
  <c r="K34" i="4" s="1"/>
  <c r="E45" i="11"/>
  <c r="E43" i="11"/>
  <c r="E42" i="11"/>
  <c r="C33" i="10"/>
  <c r="J33" i="4"/>
  <c r="K33" i="4" s="1"/>
  <c r="C32" i="10"/>
  <c r="J32" i="4"/>
  <c r="K32" i="4" s="1"/>
  <c r="E41" i="11"/>
  <c r="E40" i="11"/>
  <c r="E39" i="11"/>
  <c r="C31" i="10"/>
  <c r="E38" i="11"/>
  <c r="J31" i="4"/>
  <c r="K31" i="4" s="1"/>
  <c r="J30" i="4"/>
  <c r="K30" i="4" s="1"/>
  <c r="E37" i="11"/>
  <c r="E36" i="11"/>
  <c r="C30" i="10"/>
  <c r="J29" i="4"/>
  <c r="K29" i="4" s="1"/>
  <c r="E35" i="11"/>
  <c r="C29" i="10"/>
  <c r="E34" i="11"/>
  <c r="J28" i="4"/>
  <c r="K28" i="4" s="1"/>
  <c r="C28" i="10"/>
  <c r="E33" i="11"/>
  <c r="E32" i="11"/>
  <c r="J27" i="4"/>
  <c r="K27" i="4" s="1"/>
  <c r="C27" i="10"/>
  <c r="E30" i="11"/>
  <c r="E31" i="11"/>
  <c r="C26" i="10"/>
  <c r="E29" i="11"/>
  <c r="E28" i="11"/>
  <c r="J26" i="4"/>
  <c r="K26" i="4" s="1"/>
  <c r="C25" i="10"/>
  <c r="J25" i="4"/>
  <c r="K25" i="4" s="1"/>
  <c r="E26" i="11"/>
  <c r="E27" i="11"/>
  <c r="C24" i="10"/>
  <c r="J24" i="4"/>
  <c r="K24" i="4" s="1"/>
  <c r="E24" i="11"/>
  <c r="E25" i="11"/>
  <c r="J23" i="4"/>
  <c r="K23" i="4" s="1"/>
  <c r="B23" i="10"/>
  <c r="E23" i="11"/>
  <c r="B22" i="10"/>
  <c r="E22" i="11"/>
  <c r="J22" i="4"/>
  <c r="K22" i="4" s="1"/>
  <c r="E21" i="11"/>
  <c r="B21" i="10"/>
  <c r="J21" i="4"/>
  <c r="K21" i="4" s="1"/>
  <c r="B20" i="10"/>
  <c r="E20" i="11"/>
  <c r="J20" i="4"/>
  <c r="K20" i="4" s="1"/>
  <c r="B19" i="10"/>
  <c r="E19" i="11"/>
  <c r="J19" i="4"/>
  <c r="K19" i="4" s="1"/>
  <c r="B18" i="10"/>
  <c r="J18" i="4"/>
  <c r="K18" i="4" s="1"/>
  <c r="E18" i="11"/>
  <c r="B17" i="10"/>
  <c r="E17" i="11"/>
  <c r="J17" i="4"/>
  <c r="K17" i="4" s="1"/>
  <c r="E16" i="11"/>
  <c r="J16" i="4"/>
  <c r="K16" i="4" s="1"/>
  <c r="B16" i="10"/>
  <c r="J15" i="4"/>
  <c r="K15" i="4" s="1"/>
  <c r="B15" i="10"/>
  <c r="E15" i="11"/>
  <c r="E14" i="11"/>
  <c r="J14" i="4"/>
  <c r="K14" i="4" s="1"/>
  <c r="B14" i="10"/>
  <c r="E13" i="11"/>
  <c r="B13" i="10"/>
  <c r="J13" i="4"/>
  <c r="K13" i="4" s="1"/>
  <c r="J12" i="4"/>
  <c r="K12" i="4" s="1"/>
  <c r="E12" i="11"/>
  <c r="B12" i="10"/>
  <c r="E11" i="11"/>
  <c r="J11" i="4"/>
  <c r="K11" i="4" s="1"/>
  <c r="B11" i="10"/>
  <c r="B10" i="10"/>
  <c r="J10" i="4"/>
  <c r="K10" i="4" s="1"/>
  <c r="E10" i="11"/>
  <c r="E9" i="11"/>
  <c r="J9" i="4"/>
  <c r="K9" i="4" s="1"/>
  <c r="B9" i="10"/>
  <c r="J8" i="4"/>
  <c r="K8" i="4" s="1"/>
  <c r="E8" i="11"/>
  <c r="B8" i="10"/>
  <c r="E7" i="11"/>
  <c r="J7" i="4"/>
  <c r="K7" i="4" s="1"/>
  <c r="B7" i="10"/>
  <c r="J6" i="4"/>
  <c r="K6" i="4" s="1"/>
  <c r="E6" i="11"/>
  <c r="B6" i="10"/>
  <c r="J5" i="4"/>
  <c r="K5" i="4" s="1"/>
  <c r="E5" i="11"/>
  <c r="B5" i="10"/>
  <c r="E4" i="11"/>
  <c r="J4" i="4"/>
  <c r="K4" i="4" s="1"/>
  <c r="B4" i="10"/>
  <c r="J3" i="4"/>
  <c r="K3" i="4" s="1"/>
  <c r="B3" i="10"/>
  <c r="E3" i="11"/>
  <c r="E2" i="11"/>
  <c r="B2" i="10"/>
  <c r="J10" i="1"/>
  <c r="H10" i="1"/>
  <c r="F10" i="1"/>
  <c r="J9" i="1"/>
  <c r="H9" i="1"/>
  <c r="F9" i="1"/>
  <c r="K8" i="2"/>
  <c r="H8" i="1"/>
  <c r="F8" i="1"/>
  <c r="J8" i="1" s="1"/>
  <c r="F7" i="1"/>
  <c r="J7" i="1" s="1"/>
  <c r="K7" i="2"/>
  <c r="H7" i="1"/>
  <c r="F6" i="1"/>
  <c r="J6" i="1" s="1"/>
  <c r="K6" i="2"/>
  <c r="H6" i="1"/>
  <c r="H5" i="1"/>
  <c r="F5" i="1"/>
  <c r="J5" i="1" s="1"/>
  <c r="K5" i="2"/>
  <c r="I25" i="9"/>
  <c r="I24" i="9"/>
  <c r="I23" i="9"/>
  <c r="I20" i="9"/>
  <c r="I19" i="9"/>
  <c r="I16" i="9"/>
  <c r="I11" i="9"/>
  <c r="I9" i="9"/>
  <c r="K9" i="9" s="1"/>
  <c r="I10" i="9"/>
  <c r="E4" i="3" l="1"/>
  <c r="D4" i="3"/>
  <c r="M26" i="9"/>
  <c r="E118" i="11"/>
  <c r="E114" i="11"/>
  <c r="M22" i="9"/>
  <c r="E113" i="11"/>
  <c r="M21" i="9"/>
  <c r="M18" i="9"/>
  <c r="E110" i="11"/>
  <c r="M17" i="9"/>
  <c r="E109" i="11"/>
  <c r="D10" i="2"/>
  <c r="E120" i="11"/>
  <c r="B10" i="2"/>
  <c r="M15" i="9"/>
  <c r="E107" i="11"/>
  <c r="M14" i="9"/>
  <c r="E106" i="11"/>
  <c r="M13" i="9"/>
  <c r="E105" i="11"/>
  <c r="M12" i="9"/>
  <c r="E104" i="11"/>
  <c r="D7" i="3"/>
  <c r="E7" i="3"/>
  <c r="B7" i="2"/>
  <c r="D7" i="2" s="1"/>
  <c r="C7" i="2"/>
  <c r="G7" i="2" s="1"/>
  <c r="E7" i="2"/>
  <c r="E6" i="3"/>
  <c r="D6" i="3"/>
  <c r="B8" i="2"/>
  <c r="D8" i="2" s="1"/>
  <c r="C8" i="2"/>
  <c r="G8" i="2" s="1"/>
  <c r="E8" i="2"/>
  <c r="B6" i="2"/>
  <c r="D6" i="2" s="1"/>
  <c r="C6" i="2"/>
  <c r="G6" i="2" s="1"/>
  <c r="E6" i="2"/>
  <c r="D5" i="3"/>
  <c r="E5" i="3"/>
  <c r="B5" i="2"/>
  <c r="D5" i="2" s="1"/>
  <c r="C5" i="2"/>
  <c r="G5" i="2" s="1"/>
  <c r="E5" i="2"/>
  <c r="R25" i="9"/>
  <c r="S25" i="9" s="1"/>
  <c r="E10" i="2" s="1"/>
  <c r="K25" i="9"/>
  <c r="C78" i="4"/>
  <c r="H78" i="4" s="1"/>
  <c r="J78" i="4" s="1"/>
  <c r="K78" i="4" s="1"/>
  <c r="C77" i="4"/>
  <c r="H77" i="4" s="1"/>
  <c r="J77" i="4" s="1"/>
  <c r="K77" i="4" s="1"/>
  <c r="K24" i="9"/>
  <c r="C76" i="4"/>
  <c r="H76" i="4" s="1"/>
  <c r="J76" i="4" s="1"/>
  <c r="K76" i="4" s="1"/>
  <c r="K23" i="9"/>
  <c r="K20" i="9"/>
  <c r="C73" i="4"/>
  <c r="H73" i="4" s="1"/>
  <c r="J73" i="4" s="1"/>
  <c r="K73" i="4" s="1"/>
  <c r="K19" i="9"/>
  <c r="C72" i="4"/>
  <c r="H72" i="4" s="1"/>
  <c r="J72" i="4" s="1"/>
  <c r="K72" i="4" s="1"/>
  <c r="C69" i="4"/>
  <c r="H69" i="4" s="1"/>
  <c r="J69" i="4" s="1"/>
  <c r="K69" i="4" s="1"/>
  <c r="K16" i="9"/>
  <c r="C64" i="4"/>
  <c r="H64" i="4" s="1"/>
  <c r="J64" i="4" s="1"/>
  <c r="K64" i="4" s="1"/>
  <c r="K11" i="9"/>
  <c r="C63" i="4"/>
  <c r="H63" i="4" s="1"/>
  <c r="J63" i="4" s="1"/>
  <c r="K63" i="4" s="1"/>
  <c r="K10" i="9"/>
  <c r="I7" i="2" l="1"/>
  <c r="I6" i="2"/>
  <c r="F10" i="2"/>
  <c r="H10" i="2"/>
  <c r="J10" i="2"/>
  <c r="F7" i="2"/>
  <c r="J7" i="2" s="1"/>
  <c r="H7" i="2"/>
  <c r="L7" i="2"/>
  <c r="F8" i="2"/>
  <c r="J8" i="2" s="1"/>
  <c r="H8" i="2"/>
  <c r="L8" i="2"/>
  <c r="F6" i="2"/>
  <c r="J6" i="2" s="1"/>
  <c r="H6" i="2"/>
  <c r="L6" i="2"/>
  <c r="F5" i="2"/>
  <c r="J5" i="2" s="1"/>
  <c r="H5" i="2"/>
  <c r="L5" i="2"/>
  <c r="G10" i="2"/>
  <c r="I10" i="2" s="1"/>
  <c r="C10" i="2"/>
  <c r="E122" i="11"/>
  <c r="M25" i="9"/>
  <c r="E117" i="11"/>
  <c r="M24" i="9"/>
  <c r="E116" i="11"/>
  <c r="M23" i="9"/>
  <c r="E115" i="11"/>
  <c r="E112" i="11"/>
  <c r="M20" i="9"/>
  <c r="M19" i="9"/>
  <c r="E111" i="11"/>
  <c r="E108" i="11"/>
  <c r="M16" i="9"/>
  <c r="M11" i="9"/>
  <c r="E103" i="11"/>
  <c r="E8" i="3"/>
  <c r="D8" i="3"/>
  <c r="M10" i="9"/>
  <c r="E102" i="11"/>
  <c r="B9" i="2"/>
  <c r="C9" i="2"/>
  <c r="D9" i="2"/>
  <c r="E9" i="2"/>
  <c r="G9" i="2"/>
  <c r="I9" i="2" s="1"/>
  <c r="I5" i="2"/>
  <c r="I8" i="2"/>
  <c r="F9" i="2" l="1"/>
  <c r="H9" i="2"/>
  <c r="L9" i="2"/>
  <c r="J9" i="2"/>
</calcChain>
</file>

<file path=xl/sharedStrings.xml><?xml version="1.0" encoding="utf-8"?>
<sst xmlns="http://schemas.openxmlformats.org/spreadsheetml/2006/main" count="1284" uniqueCount="288">
  <si>
    <t>BofA Exhibit 2: Hyperscaler capex is late cycle, measured at a macro level</t>
  </si>
  <si>
    <t>Sector capex as % of US GDP through each cycle's speculative build phase. Values read exactly from the PDF's vector chart.</t>
  </si>
  <si>
    <t>Cycle</t>
  </si>
  <si>
    <t>Start</t>
  </si>
  <si>
    <t>End</t>
  </si>
  <si>
    <t>Start value</t>
  </si>
  <si>
    <t>Peak</t>
  </si>
  <si>
    <t>Peak year / quarter</t>
  </si>
  <si>
    <t>Last value</t>
  </si>
  <si>
    <t>Peak ÷ start</t>
  </si>
  <si>
    <t>Fall from peak to last</t>
  </si>
  <si>
    <t>Years start → peak</t>
  </si>
  <si>
    <t>US railroads (1900 onwards)</t>
  </si>
  <si>
    <t>O&amp;G (1970-80s)</t>
  </si>
  <si>
    <t>Telecoms (1990s)</t>
  </si>
  <si>
    <t>O&amp;G (Shale)</t>
  </si>
  <si>
    <t>Hyperscalers</t>
  </si>
  <si>
    <t>Hyperscalers (lease adjusted)</t>
  </si>
  <si>
    <t>Hyperscaler start/end are quarterly chart positions (2021.5 = mid-2021). Annual series: each year's value is drawn from mid-year Y-1 to Q1 of Y; the year column uses Y.</t>
  </si>
  <si>
    <t>Exhibit 2 rebuilt from first-hand data: sector capex as % of US GDP</t>
  </si>
  <si>
    <t>Same layout as Summary, but every number comes from the primary sources (NBER tables, BEA Fixed Assets and NIPA, SEC filings, SpaceX prospectus) via the First-hand detail and Hyperscalers first-hand sheets - no BofA input.</t>
  </si>
  <si>
    <t>BofA exhibit peak</t>
  </si>
  <si>
    <t>Peak: first-hand - BofA (pp)</t>
  </si>
  <si>
    <t>US railroads (1900 onwards) (first-hand)</t>
  </si>
  <si>
    <t>O&amp;G (1970-80s) (first-hand)</t>
  </si>
  <si>
    <t>Telecoms (1990s) (first-hand)</t>
  </si>
  <si>
    <t>O&amp;G (Shale) (first-hand)</t>
  </si>
  <si>
    <t>Five hyperscalers (first-hand)</t>
  </si>
  <si>
    <t>Five + CoreWeave + Nebius + SpaceX AI (first-hand)</t>
  </si>
  <si>
    <t>Annual series are calendar years (drawn as steps across each year). Hyperscalers are trailing-four-quarter capex over trailing-four-quarter GDP at the true quarter end, from the TTM to 2022Q1 (BofA's first point) to the latest filing; BofA plots the same numbers three quarters earlier and stops at the TTM to 2026Q1, so its peak is one quarter older. BofA's lease-adjusted line cannot be rebuilt from filings; the second hyperscaler line adds CoreWeave, Nebius and SpaceX's AI segment instead, shown where the reported periods cover the four quarters (aligned on the five's start).</t>
  </si>
  <si>
    <t>Every panel rebuilt from the first-hand sources behind the footnote, compared with the PDF vector values</t>
  </si>
  <si>
    <t>Panel</t>
  </si>
  <si>
    <t>First-hand definition</t>
  </si>
  <si>
    <t>Points</t>
  </si>
  <si>
    <t>Max |diff| (pp)</t>
  </si>
  <si>
    <t>Mean |diff| (pp)</t>
  </si>
  <si>
    <t>Verdict</t>
  </si>
  <si>
    <t>Railroads</t>
  </si>
  <si>
    <t>NBER: Ulmer (1960) Table C-1 col.4 / Kuznets &amp; Jenks (1961) R-22 col.1, R-2 col.7 (1929 prices)</t>
  </si>
  <si>
    <t>Exact</t>
  </si>
  <si>
    <t>O&amp;G 1970s-80s</t>
  </si>
  <si>
    <t>BEA Fixed Assets: investment by industry 2110+2130+4860, all assets / GDP</t>
  </si>
  <si>
    <t>O&amp;G shale</t>
  </si>
  <si>
    <t>Telecoms</t>
  </si>
  <si>
    <t>BEA Fixed Assets: investment by industry 5130, all assets / GDP</t>
  </si>
  <si>
    <t>SEC XBRL capex MSFT+GOOGL+AMZN+META+ORCL, TTM / BEA GDP TTM</t>
  </si>
  <si>
    <t>Matches (RMSE 0.017pp, Oracle calendarised)</t>
  </si>
  <si>
    <t>Not reproducible from filings: the gap to reported capex is 1-2.5x the finance-lease additions companies tag; finance + principal repayments or operating-lease additions do not fit either. Treat it as BofA's own estimate.</t>
  </si>
  <si>
    <t>Not reproducible</t>
  </si>
  <si>
    <t>Dating convention found in the process: BofA plots every post-1970 point three quarters EARLY. A point drawn at position P</t>
  </si>
  <si>
    <t>is the four quarters ending at P+0.75: the hyperscaler point drawn at mid-2021 is TTM to 2022Q1, the last one (mid-2025)</t>
  </si>
  <si>
    <t>is TTM to 2026Q1. Annual year Y is drawn from Y-0.5 to Y+0.25 for the same reason.</t>
  </si>
  <si>
    <t>O&amp;G is broader than drilling: BEA investment by the oil &amp; gas extraction, support-activities-for-mining and pipeline</t>
  </si>
  <si>
    <t>industries, all asset types including intellectual property products. Telecoms is the broadcasting &amp; telecoms industry, all assets.</t>
  </si>
  <si>
    <t>BEA vintage used here: Fixed Assets detailed investment updated 30 Sep 2026 and current NIPA GDP; identical to BofA's for these years.</t>
  </si>
  <si>
    <t>Series</t>
  </si>
  <si>
    <t>Period</t>
  </si>
  <si>
    <t>Numerator</t>
  </si>
  <si>
    <t>Numerator unit</t>
  </si>
  <si>
    <t>Denominator</t>
  </si>
  <si>
    <t>Denominator unit</t>
  </si>
  <si>
    <t>Scale</t>
  </si>
  <si>
    <t>First-hand (% GDP)</t>
  </si>
  <si>
    <t>PDF vector (% GDP)</t>
  </si>
  <si>
    <t>Difference (pp)</t>
  </si>
  <si>
    <t>|Difference|</t>
  </si>
  <si>
    <t>First-hand source</t>
  </si>
  <si>
    <t>rail</t>
  </si>
  <si>
    <t>1899</t>
  </si>
  <si>
    <t>$m, 1929 prices (C-1 col.4)</t>
  </si>
  <si>
    <t>$bn, 1929 prices (GNP Variant I)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</si>
  <si>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</si>
  <si>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</si>
  <si>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</si>
  <si>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</si>
  <si>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</si>
  <si>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</si>
  <si>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</si>
  <si>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</si>
  <si>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</si>
  <si>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</si>
  <si>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</si>
  <si>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</si>
  <si>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</si>
  <si>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</si>
  <si>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</si>
  <si>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</si>
  <si>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</si>
  <si>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</si>
  <si>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</si>
  <si>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</si>
  <si>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</si>
  <si>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og70s</t>
  </si>
  <si>
    <t>1972</t>
  </si>
  <si>
    <t>$m, BEA investment, industries 2110+2130+4860</t>
  </si>
  <si>
    <t>$m, BEA GDP (A191RC)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</si>
  <si>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</si>
  <si>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</si>
  <si>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</si>
  <si>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</si>
  <si>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</si>
  <si>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</si>
  <si>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</si>
  <si>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</si>
  <si>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</si>
  <si>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</si>
  <si>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</si>
  <si>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</si>
  <si>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</si>
  <si>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</si>
  <si>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shale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</si>
  <si>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</si>
  <si>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</si>
  <si>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</si>
  <si>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</si>
  <si>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</si>
  <si>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</si>
  <si>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</si>
  <si>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</si>
  <si>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</si>
  <si>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</si>
  <si>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</si>
  <si>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</si>
  <si>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</si>
  <si>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</si>
  <si>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</si>
  <si>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telecom</t>
  </si>
  <si>
    <t>1995</t>
  </si>
  <si>
    <t>$m, BEA investment, industry 5130</t>
  </si>
  <si>
    <t>1996</t>
  </si>
  <si>
    <t>1997</t>
  </si>
  <si>
    <t>1998</t>
  </si>
  <si>
    <t>1999</t>
  </si>
  <si>
    <t>2000</t>
  </si>
  <si>
    <t>2001</t>
  </si>
  <si>
    <t>hyper</t>
  </si>
  <si>
    <t>TTM to 2022Q1</t>
  </si>
  <si>
    <t>$bn, TTM capex of the five (SEC)</t>
  </si>
  <si>
    <t>$bn, TTM BEA GDP</t>
  </si>
  <si>
    <t>TTM to 2022Q2</t>
  </si>
  <si>
    <t>TTM to 2022Q3</t>
  </si>
  <si>
    <t>TTM to 2022Q4</t>
  </si>
  <si>
    <t>TTM to 2023Q1</t>
  </si>
  <si>
    <t>TTM to 2023Q2</t>
  </si>
  <si>
    <t>TTM to 2023Q3</t>
  </si>
  <si>
    <t>TTM to 2023Q4</t>
  </si>
  <si>
    <t>TTM to 2024Q1</t>
  </si>
  <si>
    <t>TTM to 2024Q2</t>
  </si>
  <si>
    <t>TTM to 2024Q3</t>
  </si>
  <si>
    <t>TTM to 2024Q4</t>
  </si>
  <si>
    <t>TTM to 2025Q1</t>
  </si>
  <si>
    <t>TTM to 2025Q2</t>
  </si>
  <si>
    <t>TTM to 2025Q3</t>
  </si>
  <si>
    <t>TTM to 2025Q4</t>
  </si>
  <si>
    <t>TTM to 2026Q1</t>
  </si>
  <si>
    <t>Label</t>
  </si>
  <si>
    <t>Chart position (year)</t>
  </si>
  <si>
    <t>Years since cycle start</t>
  </si>
  <si>
    <t>% of US GDP</t>
  </si>
  <si>
    <t>Year (annual series)</t>
  </si>
  <si>
    <t>hyperLA</t>
  </si>
  <si>
    <t>Year</t>
  </si>
  <si>
    <t>Trailing 4 quarters to</t>
  </si>
  <si>
    <t>Position (year)</t>
  </si>
  <si>
    <t>Lease adjustment (pp)</t>
  </si>
  <si>
    <t>Fiscal quarter ends</t>
  </si>
  <si>
    <t>Oracle capex ($bn)</t>
  </si>
  <si>
    <t>Months covered</t>
  </si>
  <si>
    <t>2019-11-30</t>
  </si>
  <si>
    <t>Sep 2019 - Nov 2019</t>
  </si>
  <si>
    <t>2020-02-29</t>
  </si>
  <si>
    <t>Dec 2019 - Feb 2020</t>
  </si>
  <si>
    <t>2020-05-31</t>
  </si>
  <si>
    <t>Mar 2020 - May 2020</t>
  </si>
  <si>
    <t>2020-08-31</t>
  </si>
  <si>
    <t>Jun 2020 - Aug 2020</t>
  </si>
  <si>
    <t>2020-11-30</t>
  </si>
  <si>
    <t>Sep 2020 - Nov 2020</t>
  </si>
  <si>
    <t>2021-02-28</t>
  </si>
  <si>
    <t>Dec 2020 - Feb 2021</t>
  </si>
  <si>
    <t>2021-05-31</t>
  </si>
  <si>
    <t>Mar 2021 - May 2021</t>
  </si>
  <si>
    <t>2021-08-31</t>
  </si>
  <si>
    <t>Jun 2021 - Aug 2021</t>
  </si>
  <si>
    <t>2021-11-30</t>
  </si>
  <si>
    <t>Sep 2021 - Nov 2021</t>
  </si>
  <si>
    <t>2022-02-28</t>
  </si>
  <si>
    <t>Dec 2021 - Feb 2022</t>
  </si>
  <si>
    <t>2022-05-31</t>
  </si>
  <si>
    <t>Mar 2022 - May 2022</t>
  </si>
  <si>
    <t>2022-08-31</t>
  </si>
  <si>
    <t>Jun 2022 - Aug 2022</t>
  </si>
  <si>
    <t>2022-11-30</t>
  </si>
  <si>
    <t>Sep 2022 - Nov 2022</t>
  </si>
  <si>
    <t>2023-02-28</t>
  </si>
  <si>
    <t>Dec 2022 - Feb 2023</t>
  </si>
  <si>
    <t>2023-05-31</t>
  </si>
  <si>
    <t>Mar 2023 - May 2023</t>
  </si>
  <si>
    <t>2023-08-31</t>
  </si>
  <si>
    <t>Jun 2023 - Aug 2023</t>
  </si>
  <si>
    <t>2023-11-30</t>
  </si>
  <si>
    <t>Sep 2023 - Nov 2023</t>
  </si>
  <si>
    <t>2024-02-29</t>
  </si>
  <si>
    <t>Dec 2023 - Feb 2024</t>
  </si>
  <si>
    <t>2024-05-31</t>
  </si>
  <si>
    <t>Mar 2024 - May 2024</t>
  </si>
  <si>
    <t>2024-08-31</t>
  </si>
  <si>
    <t>Jun 2024 - Aug 2024</t>
  </si>
  <si>
    <t>2024-11-30</t>
  </si>
  <si>
    <t>Sep 2024 - Nov 2024</t>
  </si>
  <si>
    <t>2025-02-28</t>
  </si>
  <si>
    <t>Dec 2024 - Feb 2025</t>
  </si>
  <si>
    <t>2025-05-31</t>
  </si>
  <si>
    <t>Mar 2025 - May 2025</t>
  </si>
  <si>
    <t>2025-08-31</t>
  </si>
  <si>
    <t>Jun 2025 - Aug 2025</t>
  </si>
  <si>
    <t>2025-11-30</t>
  </si>
  <si>
    <t>Sep 2025 - Nov 2025</t>
  </si>
  <si>
    <t>2026-02-28</t>
  </si>
  <si>
    <t>Dec 2025 - Feb 2026</t>
  </si>
  <si>
    <t>2026-05-31</t>
  </si>
  <si>
    <t>Mar 2026 - May 2026</t>
  </si>
  <si>
    <t>2026-08-31</t>
  </si>
  <si>
    <t>Jun 2026 - Aug 2026</t>
  </si>
  <si>
    <t>Discrete quarters from Oracle's 10-Q year-to-date cash flows (Q4 = fiscal year minus 9 months), SEC XBRL PaymentsToAcquirePropertyPlantAndEquipment. Fiscal year ends 31 May.</t>
  </si>
  <si>
    <t>Calendar quarter</t>
  </si>
  <si>
    <t>MSFT</t>
  </si>
  <si>
    <t>GOOGL</t>
  </si>
  <si>
    <t>AMZN</t>
  </si>
  <si>
    <t>META</t>
  </si>
  <si>
    <t>ORCL (calendarised)</t>
  </si>
  <si>
    <t>Capex, 5 names</t>
  </si>
  <si>
    <t>BEA GDP, SAAR</t>
  </si>
  <si>
    <t>TTM capex</t>
  </si>
  <si>
    <t>TTM GDP</t>
  </si>
  <si>
    <t>TTM capex % of GDP</t>
  </si>
  <si>
    <t>BofA chart (PDF)</t>
  </si>
  <si>
    <t>BofA - first-hand (pp)</t>
  </si>
  <si>
    <t>CoreWeave</t>
  </si>
  <si>
    <t>Nebius</t>
  </si>
  <si>
    <t>SpaceX AI segment</t>
  </si>
  <si>
    <t>Reported period (if not one quarter)</t>
  </si>
  <si>
    <t>TTM capex, 8 names</t>
  </si>
  <si>
    <t>TTM 8 names % of GDP</t>
  </si>
  <si>
    <t>All $bn. Blue = inputs as filed (SEC 10-Q/10-K/20-F/6-K, SpaceX IPO prospectus, BEA NIPA A191RC); black = formulas. Columns B-M = BofA's five-name definition; N-S add CoreWeave, Nebius and SpaceX's AI segment (xAI).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</si>
  <si>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</si>
  <si>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</si>
  <si>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</si>
  <si>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</si>
  <si>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</si>
  <si>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</si>
  <si>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</si>
  <si>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</si>
  <si>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</si>
  <si>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</si>
  <si>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</si>
  <si>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</si>
  <si>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</si>
  <si>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</si>
  <si>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</si>
  <si>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</si>
  <si>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CoreWeave: FY2023; Nebius: FY2023; SpaceX AI: FY2023</t>
  </si>
  <si>
    <t>2024Q1</t>
  </si>
  <si>
    <t>2024Q2</t>
  </si>
  <si>
    <t>2024Q3</t>
  </si>
  <si>
    <t>Nebius: 2024Q1-2024Q3</t>
  </si>
  <si>
    <t>2024Q4</t>
  </si>
  <si>
    <t>SpaceX AI: FY2024</t>
  </si>
  <si>
    <t>2025Q1</t>
  </si>
  <si>
    <t>2025Q2</t>
  </si>
  <si>
    <t>2025Q3</t>
  </si>
  <si>
    <t>2025Q4</t>
  </si>
  <si>
    <t>SpaceX AI: H2 2025</t>
  </si>
  <si>
    <t>2026Q1</t>
  </si>
  <si>
    <t>2026Q2</t>
  </si>
  <si>
    <t>Oracle's fiscal quarters end Feb/May/Aug/Nov; each calendar quarter = 2/3 x the Oracle quarter ending in its second month + 1/3 x the next Oracle quarter (Oracle fiscal quarters sheet). The others end on calendar quarter ends (Microsoft's June fiscal year included). Discrete quarters come from year-to-date cash flows (Q4 = year minus 9 months).</t>
  </si>
  <si>
    <t>BofA's chart plots each point three quarters early: its last point (drawn at mid-2025) is the TTM to 2026Q1.</t>
  </si>
  <si>
    <t>CoreWeave: SEC XBRL purchases of property &amp; equipment (quarterly from 2024, FY2023 annual). Nebius: 20-F XBRL fiscal years and 6-K interim statements / earnings releases (purchases of property and equipment and intangible assets; 9M 2024 is one period). SpaceX AI segment (xAI): segment capital expenditures, SpaceX IPO prospectus 424B4 (12 Jun 2026) for FY2023, FY2024, Q1 2025, FY2025 and Q1 2026, 10-Q XBRL (SegmentExpenditureAdditionToLongLivedAssets, AI segment) after. SpaceX never reported Q3 or Q4 2025 alone, so H2 2025 (= FY2025 - H1 2025) is one period in the 2025Q4 row; 7-name TTM is shown only where periods tile the window.</t>
  </si>
  <si>
    <t>Calendar position (year)</t>
  </si>
  <si>
    <t>five</t>
  </si>
  <si>
    <t>seven</t>
  </si>
  <si>
    <t>Source: BofA Institute, 'Can the AI buildout keep building?' (27 Aug 2026), Exhibit 2, page 2 - file 20260827_Can the AI buildout keep building (BofA Institute).pdf.</t>
  </si>
  <si>
    <t>Exhibit source line: BofA Global Research, BEA, and National Bureau of Economic Research.</t>
  </si>
  <si>
    <t>Method: the chart is vector art. Every vertex of the six stroked paths was read with PyMuPDF and converted with the chart's</t>
  </si>
  <si>
    <t>own gridlines (0%/1%/2%/3%) and axis labels, so values are exact to about 0.001pp (bofa-capex-cycles/extract_pdf.py).</t>
  </si>
  <si>
    <t>Post-1970 series are plotted three quarters early on a quarterly grid: annual year Y fills positions Y-0.5..Y+0.25, and the</t>
  </si>
  <si>
    <t>hyperscaler point at position P is the four quarters ending P+0.75 (labelled 'TTM to ...').</t>
  </si>
  <si>
    <t>First-hand rebuild of every panel: 'First-hand vs PDF' sheet (scripts in bofa-capex-cycles/firsthand/).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</si>
</sst>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&quot;×&quot;"/>
    <numFmt numFmtId="177" formatCode="0.0"/>
    <numFmt numFmtId="178" formatCode="#,##0.0"/>
    <numFmt numFmtId="179" formatCode="0.000"/>
    <numFmt numFmtId="180" formatCode="\+0.000;\-0.000;0.000"/>
    <numFmt numFmtId="181" formatCode="\+0.00;\-0.00;0.00"/>
  </numFmts>
  <fonts count="7" x14ac:knownFonts="1">
    <font>
      <sz val="11"/>
      <color theme="1"/>
      <name val="新細明體"/>
      <family val="2"/>
      <scheme val="minor"/>
    </font>
    <font>
      <b/>
      <sz val="10"/>
      <color rgb="FF000000"/>
      <name val="Arial"/>
      <family val="2"/>
    </font>
    <font>
      <b/>
      <sz val="14"/>
      <color rgb="FF000000"/>
      <name val="Arial"/>
      <family val="2"/>
    </font>
    <font>
      <sz val="11"/>
      <color rgb="FF000000"/>
      <name val="Arial"/>
      <family val="2"/>
    </font>
    <font>
      <b/>
      <sz val="12"/>
      <color rgb="FF000000"/>
      <name val="Arial"/>
      <family val="2"/>
    </font>
    <font>
      <sz val="11"/>
      <color rgb="FF0000FF"/>
      <name val="Arial"/>
      <family val="2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center" wrapText="1"/>
    </xf>
    <xf numFmtId="2" fontId="3" fillId="0" borderId="0" xfId="0" applyNumberFormat="1" applyFont="1"/>
    <xf numFmtId="176" fontId="3" fillId="0" borderId="0" xfId="0" applyNumberFormat="1" applyFont="1"/>
    <xf numFmtId="9" fontId="3" fillId="0" borderId="0" xfId="0" applyNumberFormat="1" applyFont="1"/>
    <xf numFmtId="177" fontId="3" fillId="0" borderId="0" xfId="0" applyNumberFormat="1" applyFont="1"/>
    <xf numFmtId="181" fontId="3" fillId="0" borderId="0" xfId="0" applyNumberFormat="1" applyFont="1"/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/>
    <xf numFmtId="179" fontId="3" fillId="0" borderId="0" xfId="0" applyNumberFormat="1" applyFont="1"/>
    <xf numFmtId="0" fontId="0" fillId="0" borderId="0" xfId="0" applyAlignment="1">
      <alignment vertical="top" wrapText="1"/>
    </xf>
    <xf numFmtId="178" fontId="5" fillId="0" borderId="0" xfId="0" applyNumberFormat="1" applyFont="1"/>
    <xf numFmtId="179" fontId="5" fillId="0" borderId="0" xfId="0" applyNumberFormat="1" applyFont="1"/>
    <xf numFmtId="180" fontId="3" fillId="0" borderId="0" xfId="0" applyNumberFormat="1" applyFont="1"/>
    <xf numFmtId="178" fontId="3" fillId="0" borderId="0" xfId="0" applyNumberFormat="1" applyFont="1"/>
    <xf numFmtId="2" fontId="5" fillId="0" borderId="0" xfId="0" applyNumberFormat="1" applyFont="1"/>
    <xf numFmtId="3" fontId="5" fillId="0" borderId="0" xfId="0" applyNumberFormat="1" applyFont="1"/>
    <xf numFmtId="3" fontId="3" fillId="0" borderId="0" xfId="0" applyNumberFormat="1" applyFont="1"/>
    <xf numFmtId="0" fontId="3" fillId="0" borderId="0" xfId="0" applyFont="1" applyAlignment="1">
      <alignment wrapText="1"/>
    </xf>
    <xf numFmtId="0" fontId="0" fillId="0" borderId="0" xfId="0"/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lang="en-US" sz="1100" b="1">
                <a:latin typeface="Arial"/>
              </a:rPr>
              <a:t>Exhibit 2 replica, 1970-2025: sector capex, % of US GDP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O&amp;G (1970-80s)</c:v>
          </c:tx>
          <c:spPr>
            <a:ln w="28000">
              <a:solidFill>
                <a:srgbClr val="C41230"/>
              </a:solidFill>
              <a:prstDash val="solid"/>
            </a:ln>
          </c:spPr>
          <c:marker>
            <c:symbol val="none"/>
          </c:marker>
          <c:xVal>
            <c:numRef>
              <c:f>'Chart points'!$C$24:$C$80</c:f>
              <c:numCache>
                <c:formatCode>General</c:formatCode>
                <c:ptCount val="57"/>
                <c:pt idx="0">
                  <c:v>1972</c:v>
                </c:pt>
                <c:pt idx="1">
                  <c:v>1972.25</c:v>
                </c:pt>
                <c:pt idx="2">
                  <c:v>1972.5</c:v>
                </c:pt>
                <c:pt idx="3">
                  <c:v>1972.75</c:v>
                </c:pt>
                <c:pt idx="4">
                  <c:v>1973</c:v>
                </c:pt>
                <c:pt idx="5">
                  <c:v>1973.25</c:v>
                </c:pt>
                <c:pt idx="6">
                  <c:v>1973.5</c:v>
                </c:pt>
                <c:pt idx="7">
                  <c:v>1973.75</c:v>
                </c:pt>
                <c:pt idx="8">
                  <c:v>1974</c:v>
                </c:pt>
                <c:pt idx="9">
                  <c:v>1974.25</c:v>
                </c:pt>
                <c:pt idx="10">
                  <c:v>1974.5</c:v>
                </c:pt>
                <c:pt idx="11">
                  <c:v>1974.75</c:v>
                </c:pt>
                <c:pt idx="12">
                  <c:v>1975</c:v>
                </c:pt>
                <c:pt idx="13">
                  <c:v>1975.25</c:v>
                </c:pt>
                <c:pt idx="14">
                  <c:v>1975.5</c:v>
                </c:pt>
                <c:pt idx="15">
                  <c:v>1975.75</c:v>
                </c:pt>
                <c:pt idx="16">
                  <c:v>1976</c:v>
                </c:pt>
                <c:pt idx="17">
                  <c:v>1976.25</c:v>
                </c:pt>
                <c:pt idx="18">
                  <c:v>1976.5</c:v>
                </c:pt>
                <c:pt idx="19">
                  <c:v>1976.75</c:v>
                </c:pt>
                <c:pt idx="20">
                  <c:v>1977</c:v>
                </c:pt>
                <c:pt idx="21">
                  <c:v>1977.25</c:v>
                </c:pt>
                <c:pt idx="22">
                  <c:v>1977.5</c:v>
                </c:pt>
                <c:pt idx="23">
                  <c:v>1977.75</c:v>
                </c:pt>
                <c:pt idx="24">
                  <c:v>1978</c:v>
                </c:pt>
                <c:pt idx="25">
                  <c:v>1978.25</c:v>
                </c:pt>
                <c:pt idx="26">
                  <c:v>1978.5</c:v>
                </c:pt>
                <c:pt idx="27">
                  <c:v>1978.75</c:v>
                </c:pt>
                <c:pt idx="28">
                  <c:v>1979</c:v>
                </c:pt>
                <c:pt idx="29">
                  <c:v>1979.25</c:v>
                </c:pt>
                <c:pt idx="30">
                  <c:v>1979.5</c:v>
                </c:pt>
                <c:pt idx="31">
                  <c:v>1979.75</c:v>
                </c:pt>
                <c:pt idx="32">
                  <c:v>1980</c:v>
                </c:pt>
                <c:pt idx="33">
                  <c:v>1980.25</c:v>
                </c:pt>
                <c:pt idx="34">
                  <c:v>1980.5</c:v>
                </c:pt>
                <c:pt idx="35">
                  <c:v>1980.75</c:v>
                </c:pt>
                <c:pt idx="36">
                  <c:v>1981</c:v>
                </c:pt>
                <c:pt idx="37">
                  <c:v>1981.25</c:v>
                </c:pt>
                <c:pt idx="38">
                  <c:v>1981.5</c:v>
                </c:pt>
                <c:pt idx="39">
                  <c:v>1981.75</c:v>
                </c:pt>
                <c:pt idx="40">
                  <c:v>1982</c:v>
                </c:pt>
                <c:pt idx="41">
                  <c:v>1982.25</c:v>
                </c:pt>
                <c:pt idx="42">
                  <c:v>1982.5</c:v>
                </c:pt>
                <c:pt idx="43">
                  <c:v>1982.75</c:v>
                </c:pt>
                <c:pt idx="44">
                  <c:v>1983</c:v>
                </c:pt>
                <c:pt idx="45">
                  <c:v>1983.25</c:v>
                </c:pt>
                <c:pt idx="46">
                  <c:v>1983.5</c:v>
                </c:pt>
                <c:pt idx="47">
                  <c:v>1983.75</c:v>
                </c:pt>
                <c:pt idx="48">
                  <c:v>1984</c:v>
                </c:pt>
                <c:pt idx="49">
                  <c:v>1984.25</c:v>
                </c:pt>
                <c:pt idx="50">
                  <c:v>1984.5</c:v>
                </c:pt>
                <c:pt idx="51">
                  <c:v>1984.75</c:v>
                </c:pt>
                <c:pt idx="52">
                  <c:v>1985</c:v>
                </c:pt>
                <c:pt idx="53">
                  <c:v>1985.25</c:v>
                </c:pt>
                <c:pt idx="54">
                  <c:v>1985.5</c:v>
                </c:pt>
                <c:pt idx="55">
                  <c:v>1985.75</c:v>
                </c:pt>
                <c:pt idx="56">
                  <c:v>1986</c:v>
                </c:pt>
              </c:numCache>
            </c:numRef>
          </c:xVal>
          <c:yVal>
            <c:numRef>
              <c:f>'Chart points'!$E$24:$E$80</c:f>
              <c:numCache>
                <c:formatCode>0.00</c:formatCode>
                <c:ptCount val="57"/>
                <c:pt idx="0">
                  <c:v>0.379</c:v>
                </c:pt>
                <c:pt idx="1">
                  <c:v>0.379</c:v>
                </c:pt>
                <c:pt idx="2">
                  <c:v>0.39100000000000001</c:v>
                </c:pt>
                <c:pt idx="3">
                  <c:v>0.39100000000000001</c:v>
                </c:pt>
                <c:pt idx="4">
                  <c:v>0.39100000000000001</c:v>
                </c:pt>
                <c:pt idx="5">
                  <c:v>0.39100000000000001</c:v>
                </c:pt>
                <c:pt idx="6">
                  <c:v>0.495</c:v>
                </c:pt>
                <c:pt idx="7">
                  <c:v>0.495</c:v>
                </c:pt>
                <c:pt idx="8">
                  <c:v>0.495</c:v>
                </c:pt>
                <c:pt idx="9">
                  <c:v>0.495</c:v>
                </c:pt>
                <c:pt idx="10">
                  <c:v>0.66500000000000004</c:v>
                </c:pt>
                <c:pt idx="11">
                  <c:v>0.66500000000000004</c:v>
                </c:pt>
                <c:pt idx="12">
                  <c:v>0.66500000000000004</c:v>
                </c:pt>
                <c:pt idx="13">
                  <c:v>0.66500000000000004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0.72199999999999998</c:v>
                </c:pt>
                <c:pt idx="19">
                  <c:v>0.72199999999999998</c:v>
                </c:pt>
                <c:pt idx="20">
                  <c:v>0.72199999999999998</c:v>
                </c:pt>
                <c:pt idx="21">
                  <c:v>0.72199999999999998</c:v>
                </c:pt>
                <c:pt idx="22">
                  <c:v>0.90900000000000003</c:v>
                </c:pt>
                <c:pt idx="23">
                  <c:v>0.90900000000000003</c:v>
                </c:pt>
                <c:pt idx="24">
                  <c:v>0.90900000000000003</c:v>
                </c:pt>
                <c:pt idx="25">
                  <c:v>0.90900000000000003</c:v>
                </c:pt>
                <c:pt idx="26">
                  <c:v>1.0640000000000001</c:v>
                </c:pt>
                <c:pt idx="27">
                  <c:v>1.0640000000000001</c:v>
                </c:pt>
                <c:pt idx="28">
                  <c:v>1.0640000000000001</c:v>
                </c:pt>
                <c:pt idx="29">
                  <c:v>1.0640000000000001</c:v>
                </c:pt>
                <c:pt idx="30">
                  <c:v>1.425</c:v>
                </c:pt>
                <c:pt idx="31">
                  <c:v>1.425</c:v>
                </c:pt>
                <c:pt idx="32">
                  <c:v>1.425</c:v>
                </c:pt>
                <c:pt idx="33">
                  <c:v>1.425</c:v>
                </c:pt>
                <c:pt idx="34">
                  <c:v>1.972</c:v>
                </c:pt>
                <c:pt idx="35">
                  <c:v>1.972</c:v>
                </c:pt>
                <c:pt idx="36">
                  <c:v>1.972</c:v>
                </c:pt>
                <c:pt idx="37">
                  <c:v>1.972</c:v>
                </c:pt>
                <c:pt idx="38">
                  <c:v>1.891</c:v>
                </c:pt>
                <c:pt idx="39">
                  <c:v>1.891</c:v>
                </c:pt>
                <c:pt idx="40">
                  <c:v>1.891</c:v>
                </c:pt>
                <c:pt idx="41">
                  <c:v>1.891</c:v>
                </c:pt>
                <c:pt idx="42">
                  <c:v>1.1819999999999999</c:v>
                </c:pt>
                <c:pt idx="43">
                  <c:v>1.1819999999999999</c:v>
                </c:pt>
                <c:pt idx="44">
                  <c:v>1.1819999999999999</c:v>
                </c:pt>
                <c:pt idx="45">
                  <c:v>1.1819999999999999</c:v>
                </c:pt>
                <c:pt idx="46">
                  <c:v>1.093</c:v>
                </c:pt>
                <c:pt idx="47">
                  <c:v>1.093</c:v>
                </c:pt>
                <c:pt idx="48">
                  <c:v>1.093</c:v>
                </c:pt>
                <c:pt idx="49">
                  <c:v>1.093</c:v>
                </c:pt>
                <c:pt idx="50">
                  <c:v>0.92500000000000004</c:v>
                </c:pt>
                <c:pt idx="51">
                  <c:v>0.92500000000000004</c:v>
                </c:pt>
                <c:pt idx="52">
                  <c:v>0.92500000000000004</c:v>
                </c:pt>
                <c:pt idx="53">
                  <c:v>0.92500000000000004</c:v>
                </c:pt>
                <c:pt idx="54">
                  <c:v>0.51600000000000001</c:v>
                </c:pt>
                <c:pt idx="55">
                  <c:v>0.51600000000000001</c:v>
                </c:pt>
                <c:pt idx="56">
                  <c:v>0.51600000000000001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81-4CC3-9ACA-87E3CDEFC493}"/>
            </c:ext>
          </c:extLst>
        </c:ser>
        <c:ser>
          <c:idx val="1"/>
          <c:order val="1"/>
          <c:tx>
            <c:v>Telecoms (1990s)</c:v>
          </c:tx>
          <c:spPr>
            <a:ln w="28000">
              <a:solidFill>
                <a:srgbClr val="E66100"/>
              </a:solidFill>
              <a:prstDash val="solid"/>
            </a:ln>
          </c:spPr>
          <c:marker>
            <c:symbol val="none"/>
          </c:marker>
          <c:xVal>
            <c:numRef>
              <c:f>'Chart points'!$C$81:$C$111</c:f>
              <c:numCache>
                <c:formatCode>General</c:formatCode>
                <c:ptCount val="31"/>
                <c:pt idx="0">
                  <c:v>1995</c:v>
                </c:pt>
                <c:pt idx="1">
                  <c:v>1995.25</c:v>
                </c:pt>
                <c:pt idx="2">
                  <c:v>1995.5</c:v>
                </c:pt>
                <c:pt idx="3">
                  <c:v>1995.75</c:v>
                </c:pt>
                <c:pt idx="4">
                  <c:v>1996</c:v>
                </c:pt>
                <c:pt idx="5">
                  <c:v>1996.25</c:v>
                </c:pt>
                <c:pt idx="6">
                  <c:v>1996.5</c:v>
                </c:pt>
                <c:pt idx="7">
                  <c:v>1996.75</c:v>
                </c:pt>
                <c:pt idx="8">
                  <c:v>1997</c:v>
                </c:pt>
                <c:pt idx="9">
                  <c:v>1997.25</c:v>
                </c:pt>
                <c:pt idx="10">
                  <c:v>1997.5</c:v>
                </c:pt>
                <c:pt idx="11">
                  <c:v>1997.75</c:v>
                </c:pt>
                <c:pt idx="12">
                  <c:v>1998</c:v>
                </c:pt>
                <c:pt idx="13">
                  <c:v>1998.25</c:v>
                </c:pt>
                <c:pt idx="14">
                  <c:v>1998.5</c:v>
                </c:pt>
                <c:pt idx="15">
                  <c:v>1998.75</c:v>
                </c:pt>
                <c:pt idx="16">
                  <c:v>1999</c:v>
                </c:pt>
                <c:pt idx="17">
                  <c:v>1999.25</c:v>
                </c:pt>
                <c:pt idx="18">
                  <c:v>1999.5</c:v>
                </c:pt>
                <c:pt idx="19">
                  <c:v>1999.75</c:v>
                </c:pt>
                <c:pt idx="20">
                  <c:v>2000</c:v>
                </c:pt>
                <c:pt idx="21">
                  <c:v>2000.25</c:v>
                </c:pt>
                <c:pt idx="22">
                  <c:v>2000.5</c:v>
                </c:pt>
                <c:pt idx="23">
                  <c:v>2000.75</c:v>
                </c:pt>
                <c:pt idx="24">
                  <c:v>2001</c:v>
                </c:pt>
                <c:pt idx="25">
                  <c:v>2001.25</c:v>
                </c:pt>
                <c:pt idx="26">
                  <c:v>2001.5</c:v>
                </c:pt>
                <c:pt idx="27">
                  <c:v>2001.75</c:v>
                </c:pt>
                <c:pt idx="28">
                  <c:v>2002</c:v>
                </c:pt>
                <c:pt idx="29">
                  <c:v>2002.25</c:v>
                </c:pt>
                <c:pt idx="30">
                  <c:v>2002.5</c:v>
                </c:pt>
              </c:numCache>
            </c:numRef>
          </c:xVal>
          <c:yVal>
            <c:numRef>
              <c:f>'Chart points'!$E$81:$E$111</c:f>
              <c:numCache>
                <c:formatCode>0.00</c:formatCode>
                <c:ptCount val="31"/>
                <c:pt idx="0">
                  <c:v>1.054</c:v>
                </c:pt>
                <c:pt idx="1">
                  <c:v>1.054</c:v>
                </c:pt>
                <c:pt idx="2">
                  <c:v>1.083</c:v>
                </c:pt>
                <c:pt idx="3">
                  <c:v>1.083</c:v>
                </c:pt>
                <c:pt idx="4">
                  <c:v>1.083</c:v>
                </c:pt>
                <c:pt idx="5">
                  <c:v>1.083</c:v>
                </c:pt>
                <c:pt idx="6">
                  <c:v>1.0980000000000001</c:v>
                </c:pt>
                <c:pt idx="7">
                  <c:v>1.0980000000000001</c:v>
                </c:pt>
                <c:pt idx="8">
                  <c:v>1.0980000000000001</c:v>
                </c:pt>
                <c:pt idx="9">
                  <c:v>1.0980000000000001</c:v>
                </c:pt>
                <c:pt idx="10">
                  <c:v>1.135</c:v>
                </c:pt>
                <c:pt idx="11">
                  <c:v>1.135</c:v>
                </c:pt>
                <c:pt idx="12">
                  <c:v>1.135</c:v>
                </c:pt>
                <c:pt idx="13">
                  <c:v>1.135</c:v>
                </c:pt>
                <c:pt idx="14">
                  <c:v>1.2849999999999999</c:v>
                </c:pt>
                <c:pt idx="15">
                  <c:v>1.2849999999999999</c:v>
                </c:pt>
                <c:pt idx="16">
                  <c:v>1.2849999999999999</c:v>
                </c:pt>
                <c:pt idx="17">
                  <c:v>1.2849999999999999</c:v>
                </c:pt>
                <c:pt idx="18">
                  <c:v>1.54</c:v>
                </c:pt>
                <c:pt idx="19">
                  <c:v>1.54</c:v>
                </c:pt>
                <c:pt idx="20">
                  <c:v>1.54</c:v>
                </c:pt>
                <c:pt idx="21">
                  <c:v>1.54</c:v>
                </c:pt>
                <c:pt idx="22">
                  <c:v>1.337</c:v>
                </c:pt>
                <c:pt idx="23">
                  <c:v>1.337</c:v>
                </c:pt>
                <c:pt idx="24">
                  <c:v>1.337</c:v>
                </c:pt>
                <c:pt idx="25">
                  <c:v>1.337</c:v>
                </c:pt>
                <c:pt idx="26">
                  <c:v>0.91</c:v>
                </c:pt>
                <c:pt idx="27">
                  <c:v>0.91</c:v>
                </c:pt>
                <c:pt idx="28">
                  <c:v>0.91</c:v>
                </c:pt>
                <c:pt idx="29">
                  <c:v>0.91</c:v>
                </c:pt>
                <c:pt idx="30">
                  <c:v>0.78900000000000003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81-4CC3-9ACA-87E3CDEFC493}"/>
            </c:ext>
          </c:extLst>
        </c:ser>
        <c:ser>
          <c:idx val="2"/>
          <c:order val="2"/>
          <c:tx>
            <c:v>O&amp;G (Shale)</c:v>
          </c:tx>
          <c:spPr>
            <a:ln w="28000">
              <a:solidFill>
                <a:srgbClr val="269E00"/>
              </a:solidFill>
              <a:prstDash val="solid"/>
            </a:ln>
          </c:spPr>
          <c:marker>
            <c:symbol val="none"/>
          </c:marker>
          <c:xVal>
            <c:numRef>
              <c:f>'Chart points'!$C$112:$C$168</c:f>
              <c:numCache>
                <c:formatCode>General</c:formatCode>
                <c:ptCount val="57"/>
                <c:pt idx="0">
                  <c:v>2002.25</c:v>
                </c:pt>
                <c:pt idx="1">
                  <c:v>2002.5</c:v>
                </c:pt>
                <c:pt idx="2">
                  <c:v>2002.75</c:v>
                </c:pt>
                <c:pt idx="3">
                  <c:v>2003</c:v>
                </c:pt>
                <c:pt idx="4">
                  <c:v>2003.25</c:v>
                </c:pt>
                <c:pt idx="5">
                  <c:v>2003.5</c:v>
                </c:pt>
                <c:pt idx="6">
                  <c:v>2003.75</c:v>
                </c:pt>
                <c:pt idx="7">
                  <c:v>2004</c:v>
                </c:pt>
                <c:pt idx="8">
                  <c:v>2004.25</c:v>
                </c:pt>
                <c:pt idx="9">
                  <c:v>2004.5</c:v>
                </c:pt>
                <c:pt idx="10">
                  <c:v>2004.75</c:v>
                </c:pt>
                <c:pt idx="11">
                  <c:v>2005</c:v>
                </c:pt>
                <c:pt idx="12">
                  <c:v>2005.25</c:v>
                </c:pt>
                <c:pt idx="13">
                  <c:v>2005.5</c:v>
                </c:pt>
                <c:pt idx="14">
                  <c:v>2005.75</c:v>
                </c:pt>
                <c:pt idx="15">
                  <c:v>2006</c:v>
                </c:pt>
                <c:pt idx="16">
                  <c:v>2006.25</c:v>
                </c:pt>
                <c:pt idx="17">
                  <c:v>2006.5</c:v>
                </c:pt>
                <c:pt idx="18">
                  <c:v>2006.75</c:v>
                </c:pt>
                <c:pt idx="19">
                  <c:v>2007</c:v>
                </c:pt>
                <c:pt idx="20">
                  <c:v>2007.25</c:v>
                </c:pt>
                <c:pt idx="21">
                  <c:v>2007.5</c:v>
                </c:pt>
                <c:pt idx="22">
                  <c:v>2007.75</c:v>
                </c:pt>
                <c:pt idx="23">
                  <c:v>2008</c:v>
                </c:pt>
                <c:pt idx="24">
                  <c:v>2008.25</c:v>
                </c:pt>
                <c:pt idx="25">
                  <c:v>2008.5</c:v>
                </c:pt>
                <c:pt idx="26">
                  <c:v>2008.75</c:v>
                </c:pt>
                <c:pt idx="27">
                  <c:v>2009</c:v>
                </c:pt>
                <c:pt idx="28">
                  <c:v>2009.25</c:v>
                </c:pt>
                <c:pt idx="29">
                  <c:v>2009.5</c:v>
                </c:pt>
                <c:pt idx="30">
                  <c:v>2009.75</c:v>
                </c:pt>
                <c:pt idx="31">
                  <c:v>2010</c:v>
                </c:pt>
                <c:pt idx="32">
                  <c:v>2010.25</c:v>
                </c:pt>
                <c:pt idx="33">
                  <c:v>2010.5</c:v>
                </c:pt>
                <c:pt idx="34">
                  <c:v>2010.75</c:v>
                </c:pt>
                <c:pt idx="35">
                  <c:v>2011</c:v>
                </c:pt>
                <c:pt idx="36">
                  <c:v>2011.25</c:v>
                </c:pt>
                <c:pt idx="37">
                  <c:v>2011.5</c:v>
                </c:pt>
                <c:pt idx="38">
                  <c:v>2011.75</c:v>
                </c:pt>
                <c:pt idx="39">
                  <c:v>2012</c:v>
                </c:pt>
                <c:pt idx="40">
                  <c:v>2012.25</c:v>
                </c:pt>
                <c:pt idx="41">
                  <c:v>2012.5</c:v>
                </c:pt>
                <c:pt idx="42">
                  <c:v>2012.75</c:v>
                </c:pt>
                <c:pt idx="43">
                  <c:v>2013</c:v>
                </c:pt>
                <c:pt idx="44">
                  <c:v>2013.25</c:v>
                </c:pt>
                <c:pt idx="45">
                  <c:v>2013.5</c:v>
                </c:pt>
                <c:pt idx="46">
                  <c:v>2013.75</c:v>
                </c:pt>
                <c:pt idx="47">
                  <c:v>2014</c:v>
                </c:pt>
                <c:pt idx="48">
                  <c:v>2014.25</c:v>
                </c:pt>
                <c:pt idx="49">
                  <c:v>2014.5</c:v>
                </c:pt>
                <c:pt idx="50">
                  <c:v>2014.75</c:v>
                </c:pt>
                <c:pt idx="51">
                  <c:v>2015</c:v>
                </c:pt>
                <c:pt idx="52">
                  <c:v>2015.25</c:v>
                </c:pt>
                <c:pt idx="53">
                  <c:v>2015.5</c:v>
                </c:pt>
                <c:pt idx="54">
                  <c:v>2015.75</c:v>
                </c:pt>
                <c:pt idx="55">
                  <c:v>2016</c:v>
                </c:pt>
                <c:pt idx="56">
                  <c:v>2016.25</c:v>
                </c:pt>
              </c:numCache>
            </c:numRef>
          </c:xVal>
          <c:yVal>
            <c:numRef>
              <c:f>'Chart points'!$E$112:$E$168</c:f>
              <c:numCache>
                <c:formatCode>0.00</c:formatCode>
                <c:ptCount val="57"/>
                <c:pt idx="0">
                  <c:v>0.39500000000000002</c:v>
                </c:pt>
                <c:pt idx="1">
                  <c:v>0.46800000000000003</c:v>
                </c:pt>
                <c:pt idx="2">
                  <c:v>0.46800000000000003</c:v>
                </c:pt>
                <c:pt idx="3">
                  <c:v>0.46800000000000003</c:v>
                </c:pt>
                <c:pt idx="4">
                  <c:v>0.46800000000000003</c:v>
                </c:pt>
                <c:pt idx="5">
                  <c:v>0.505</c:v>
                </c:pt>
                <c:pt idx="6">
                  <c:v>0.505</c:v>
                </c:pt>
                <c:pt idx="7">
                  <c:v>0.505</c:v>
                </c:pt>
                <c:pt idx="8">
                  <c:v>0.505</c:v>
                </c:pt>
                <c:pt idx="9">
                  <c:v>0.65300000000000002</c:v>
                </c:pt>
                <c:pt idx="10">
                  <c:v>0.65300000000000002</c:v>
                </c:pt>
                <c:pt idx="11">
                  <c:v>0.65300000000000002</c:v>
                </c:pt>
                <c:pt idx="12">
                  <c:v>0.65300000000000002</c:v>
                </c:pt>
                <c:pt idx="13">
                  <c:v>0.86599999999999999</c:v>
                </c:pt>
                <c:pt idx="14">
                  <c:v>0.86599999999999999</c:v>
                </c:pt>
                <c:pt idx="15">
                  <c:v>0.86599999999999999</c:v>
                </c:pt>
                <c:pt idx="16">
                  <c:v>0.86599999999999999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1.1140000000000001</c:v>
                </c:pt>
                <c:pt idx="22">
                  <c:v>1.1140000000000001</c:v>
                </c:pt>
                <c:pt idx="23">
                  <c:v>1.1140000000000001</c:v>
                </c:pt>
                <c:pt idx="24">
                  <c:v>1.1140000000000001</c:v>
                </c:pt>
                <c:pt idx="25">
                  <c:v>0.77500000000000002</c:v>
                </c:pt>
                <c:pt idx="26">
                  <c:v>0.77500000000000002</c:v>
                </c:pt>
                <c:pt idx="27">
                  <c:v>0.77500000000000002</c:v>
                </c:pt>
                <c:pt idx="28">
                  <c:v>0.77500000000000002</c:v>
                </c:pt>
                <c:pt idx="29">
                  <c:v>0.85199999999999998</c:v>
                </c:pt>
                <c:pt idx="30">
                  <c:v>0.85199999999999998</c:v>
                </c:pt>
                <c:pt idx="31">
                  <c:v>0.85199999999999998</c:v>
                </c:pt>
                <c:pt idx="32">
                  <c:v>0.85199999999999998</c:v>
                </c:pt>
                <c:pt idx="33">
                  <c:v>1.034</c:v>
                </c:pt>
                <c:pt idx="34">
                  <c:v>1.034</c:v>
                </c:pt>
                <c:pt idx="35">
                  <c:v>1.034</c:v>
                </c:pt>
                <c:pt idx="36">
                  <c:v>1.034</c:v>
                </c:pt>
                <c:pt idx="37">
                  <c:v>1.2589999999999999</c:v>
                </c:pt>
                <c:pt idx="38">
                  <c:v>1.2589999999999999</c:v>
                </c:pt>
                <c:pt idx="39">
                  <c:v>1.2589999999999999</c:v>
                </c:pt>
                <c:pt idx="40">
                  <c:v>1.2589999999999999</c:v>
                </c:pt>
                <c:pt idx="41">
                  <c:v>1.2490000000000001</c:v>
                </c:pt>
                <c:pt idx="42">
                  <c:v>1.2490000000000001</c:v>
                </c:pt>
                <c:pt idx="43">
                  <c:v>1.2490000000000001</c:v>
                </c:pt>
                <c:pt idx="44">
                  <c:v>1.2490000000000001</c:v>
                </c:pt>
                <c:pt idx="45">
                  <c:v>1.415</c:v>
                </c:pt>
                <c:pt idx="46">
                  <c:v>1.415</c:v>
                </c:pt>
                <c:pt idx="47">
                  <c:v>1.415</c:v>
                </c:pt>
                <c:pt idx="48">
                  <c:v>1.415</c:v>
                </c:pt>
                <c:pt idx="49">
                  <c:v>0.97899999999999998</c:v>
                </c:pt>
                <c:pt idx="50">
                  <c:v>0.97899999999999998</c:v>
                </c:pt>
                <c:pt idx="51">
                  <c:v>0.97899999999999998</c:v>
                </c:pt>
                <c:pt idx="52">
                  <c:v>0.97899999999999998</c:v>
                </c:pt>
                <c:pt idx="53">
                  <c:v>0.56000000000000005</c:v>
                </c:pt>
                <c:pt idx="54">
                  <c:v>0.56000000000000005</c:v>
                </c:pt>
                <c:pt idx="55">
                  <c:v>0.56000000000000005</c:v>
                </c:pt>
                <c:pt idx="56">
                  <c:v>0.56000000000000005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81-4CC3-9ACA-87E3CDEFC493}"/>
            </c:ext>
          </c:extLst>
        </c:ser>
        <c:ser>
          <c:idx val="3"/>
          <c:order val="3"/>
          <c:tx>
            <c:v>Hyperscalers (lease adjusted)</c:v>
          </c:tx>
          <c:spPr>
            <a:ln w="28000">
              <a:solidFill>
                <a:srgbClr val="009BDE"/>
              </a:solidFill>
              <a:prstDash val="solid"/>
            </a:ln>
          </c:spPr>
          <c:marker>
            <c:symbol val="none"/>
          </c:marker>
          <c:xVal>
            <c:numRef>
              <c:f>'Chart points'!$C$169:$C$185</c:f>
              <c:numCache>
                <c:formatCode>General</c:formatCode>
                <c:ptCount val="17"/>
                <c:pt idx="0">
                  <c:v>2021.5</c:v>
                </c:pt>
                <c:pt idx="1">
                  <c:v>2021.75</c:v>
                </c:pt>
                <c:pt idx="2">
                  <c:v>2022</c:v>
                </c:pt>
                <c:pt idx="3">
                  <c:v>2022.25</c:v>
                </c:pt>
                <c:pt idx="4">
                  <c:v>2022.5</c:v>
                </c:pt>
                <c:pt idx="5">
                  <c:v>2022.75</c:v>
                </c:pt>
                <c:pt idx="6">
                  <c:v>2023</c:v>
                </c:pt>
                <c:pt idx="7">
                  <c:v>2023.25</c:v>
                </c:pt>
                <c:pt idx="8">
                  <c:v>2023.5</c:v>
                </c:pt>
                <c:pt idx="9">
                  <c:v>2023.75</c:v>
                </c:pt>
                <c:pt idx="10">
                  <c:v>2024</c:v>
                </c:pt>
                <c:pt idx="11">
                  <c:v>2024.25</c:v>
                </c:pt>
                <c:pt idx="12">
                  <c:v>2024.5</c:v>
                </c:pt>
                <c:pt idx="13">
                  <c:v>2024.75</c:v>
                </c:pt>
                <c:pt idx="14">
                  <c:v>2025</c:v>
                </c:pt>
                <c:pt idx="15">
                  <c:v>2025.25</c:v>
                </c:pt>
                <c:pt idx="16">
                  <c:v>2025.5</c:v>
                </c:pt>
              </c:numCache>
            </c:numRef>
          </c:xVal>
          <c:yVal>
            <c:numRef>
              <c:f>'Chart points'!$E$169:$E$185</c:f>
              <c:numCache>
                <c:formatCode>0.00</c:formatCode>
                <c:ptCount val="17"/>
                <c:pt idx="0">
                  <c:v>0.61599999999999999</c:v>
                </c:pt>
                <c:pt idx="1">
                  <c:v>0.63700000000000001</c:v>
                </c:pt>
                <c:pt idx="2">
                  <c:v>0.64</c:v>
                </c:pt>
                <c:pt idx="3">
                  <c:v>0.65500000000000003</c:v>
                </c:pt>
                <c:pt idx="4">
                  <c:v>0.627</c:v>
                </c:pt>
                <c:pt idx="5">
                  <c:v>0.61399999999999999</c:v>
                </c:pt>
                <c:pt idx="6">
                  <c:v>0.59199999999999997</c:v>
                </c:pt>
                <c:pt idx="7">
                  <c:v>0.59499999999999997</c:v>
                </c:pt>
                <c:pt idx="8">
                  <c:v>0.59599999999999997</c:v>
                </c:pt>
                <c:pt idx="9">
                  <c:v>0.68600000000000005</c:v>
                </c:pt>
                <c:pt idx="10">
                  <c:v>0.78</c:v>
                </c:pt>
                <c:pt idx="11">
                  <c:v>0.89600000000000002</c:v>
                </c:pt>
                <c:pt idx="12">
                  <c:v>1.0129999999999999</c:v>
                </c:pt>
                <c:pt idx="13">
                  <c:v>1.147</c:v>
                </c:pt>
                <c:pt idx="14">
                  <c:v>1.3340000000000001</c:v>
                </c:pt>
                <c:pt idx="15">
                  <c:v>1.5580000000000001</c:v>
                </c:pt>
                <c:pt idx="16">
                  <c:v>1.702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81-4CC3-9ACA-87E3CDEFC493}"/>
            </c:ext>
          </c:extLst>
        </c:ser>
        <c:ser>
          <c:idx val="4"/>
          <c:order val="4"/>
          <c:tx>
            <c:v>Hyperscalers</c:v>
          </c:tx>
          <c:spPr>
            <a:ln w="28000">
              <a:solidFill>
                <a:srgbClr val="006980"/>
              </a:solidFill>
              <a:prstDash val="solid"/>
            </a:ln>
          </c:spPr>
          <c:marker>
            <c:symbol val="none"/>
          </c:marker>
          <c:xVal>
            <c:numRef>
              <c:f>'Chart points'!$C$186:$C$202</c:f>
              <c:numCache>
                <c:formatCode>General</c:formatCode>
                <c:ptCount val="17"/>
                <c:pt idx="0">
                  <c:v>2021.5</c:v>
                </c:pt>
                <c:pt idx="1">
                  <c:v>2021.75</c:v>
                </c:pt>
                <c:pt idx="2">
                  <c:v>2022</c:v>
                </c:pt>
                <c:pt idx="3">
                  <c:v>2022.25</c:v>
                </c:pt>
                <c:pt idx="4">
                  <c:v>2022.5</c:v>
                </c:pt>
                <c:pt idx="5">
                  <c:v>2022.75</c:v>
                </c:pt>
                <c:pt idx="6">
                  <c:v>2023</c:v>
                </c:pt>
                <c:pt idx="7">
                  <c:v>2023.25</c:v>
                </c:pt>
                <c:pt idx="8">
                  <c:v>2023.5</c:v>
                </c:pt>
                <c:pt idx="9">
                  <c:v>2023.75</c:v>
                </c:pt>
                <c:pt idx="10">
                  <c:v>2024</c:v>
                </c:pt>
                <c:pt idx="11">
                  <c:v>2024.25</c:v>
                </c:pt>
                <c:pt idx="12">
                  <c:v>2024.5</c:v>
                </c:pt>
                <c:pt idx="13">
                  <c:v>2024.75</c:v>
                </c:pt>
                <c:pt idx="14">
                  <c:v>2025</c:v>
                </c:pt>
                <c:pt idx="15">
                  <c:v>2025.25</c:v>
                </c:pt>
                <c:pt idx="16">
                  <c:v>2025.5</c:v>
                </c:pt>
              </c:numCache>
            </c:numRef>
          </c:xVal>
          <c:yVal>
            <c:numRef>
              <c:f>'Chart points'!$E$186:$E$202</c:f>
              <c:numCache>
                <c:formatCode>0.00</c:formatCode>
                <c:ptCount val="17"/>
                <c:pt idx="0">
                  <c:v>0.53700000000000003</c:v>
                </c:pt>
                <c:pt idx="1">
                  <c:v>0.56399999999999995</c:v>
                </c:pt>
                <c:pt idx="2">
                  <c:v>0.59499999999999997</c:v>
                </c:pt>
                <c:pt idx="3">
                  <c:v>0.61099999999999999</c:v>
                </c:pt>
                <c:pt idx="4">
                  <c:v>0.56899999999999995</c:v>
                </c:pt>
                <c:pt idx="5">
                  <c:v>0.55500000000000005</c:v>
                </c:pt>
                <c:pt idx="6">
                  <c:v>0.54200000000000004</c:v>
                </c:pt>
                <c:pt idx="7">
                  <c:v>0.55100000000000005</c:v>
                </c:pt>
                <c:pt idx="8">
                  <c:v>0.56200000000000006</c:v>
                </c:pt>
                <c:pt idx="9">
                  <c:v>0.63</c:v>
                </c:pt>
                <c:pt idx="10">
                  <c:v>0.71499999999999997</c:v>
                </c:pt>
                <c:pt idx="11">
                  <c:v>0.82899999999999996</c:v>
                </c:pt>
                <c:pt idx="12">
                  <c:v>0.90100000000000002</c:v>
                </c:pt>
                <c:pt idx="13">
                  <c:v>1.036</c:v>
                </c:pt>
                <c:pt idx="14">
                  <c:v>1.1870000000000001</c:v>
                </c:pt>
                <c:pt idx="15">
                  <c:v>1.379</c:v>
                </c:pt>
                <c:pt idx="16">
                  <c:v>1.536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81-4CC3-9ACA-87E3CDEFC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026"/>
          <c:min val="1970"/>
        </c:scaling>
        <c:delete val="0"/>
        <c:axPos val="b"/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20"/>
        <c:crosses val="autoZero"/>
        <c:crossBetween val="midCat"/>
      </c:valAx>
      <c:valAx>
        <c:axId val="20"/>
        <c:scaling>
          <c:orientation val="minMax"/>
          <c:max val="3"/>
          <c:min val="0"/>
        </c:scaling>
        <c:delete val="0"/>
        <c:axPos val="l"/>
        <c:majorGridlines/>
        <c:numFmt formatCode="0.0&quot;%&quot;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midCat"/>
        <c:majorUnit val="0.5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lang="en-US" sz="1100" b="1">
                <a:latin typeface="Arial"/>
              </a:rPr>
              <a:t>US railroads, 1899-1920: capex, % of GNP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US railroads (1900 onwards)</c:v>
          </c:tx>
          <c:spPr>
            <a:ln w="28000">
              <a:solidFill>
                <a:srgbClr val="002169"/>
              </a:solidFill>
              <a:prstDash val="solid"/>
            </a:ln>
          </c:spPr>
          <c:marker>
            <c:symbol val="none"/>
          </c:marker>
          <c:xVal>
            <c:numRef>
              <c:f>'Chart points'!$C$2:$C$23</c:f>
              <c:numCache>
                <c:formatCode>General</c:formatCode>
                <c:ptCount val="22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</c:numCache>
            </c:numRef>
          </c:xVal>
          <c:yVal>
            <c:numRef>
              <c:f>'Chart points'!$E$2:$E$23</c:f>
              <c:numCache>
                <c:formatCode>0.00</c:formatCode>
                <c:ptCount val="22"/>
                <c:pt idx="0">
                  <c:v>1.169</c:v>
                </c:pt>
                <c:pt idx="1">
                  <c:v>1.2470000000000001</c:v>
                </c:pt>
                <c:pt idx="2">
                  <c:v>1.0469999999999999</c:v>
                </c:pt>
                <c:pt idx="3">
                  <c:v>1.0680000000000001</c:v>
                </c:pt>
                <c:pt idx="4">
                  <c:v>1.0680000000000001</c:v>
                </c:pt>
                <c:pt idx="5">
                  <c:v>1.252</c:v>
                </c:pt>
                <c:pt idx="6">
                  <c:v>1.49</c:v>
                </c:pt>
                <c:pt idx="7">
                  <c:v>1.798</c:v>
                </c:pt>
                <c:pt idx="8">
                  <c:v>2.0259999999999998</c:v>
                </c:pt>
                <c:pt idx="9">
                  <c:v>2.2210000000000001</c:v>
                </c:pt>
                <c:pt idx="10">
                  <c:v>2.1150000000000002</c:v>
                </c:pt>
                <c:pt idx="11">
                  <c:v>2.3029999999999999</c:v>
                </c:pt>
                <c:pt idx="12">
                  <c:v>2.117</c:v>
                </c:pt>
                <c:pt idx="13">
                  <c:v>1.998</c:v>
                </c:pt>
                <c:pt idx="14">
                  <c:v>1.9790000000000001</c:v>
                </c:pt>
                <c:pt idx="15">
                  <c:v>1.4179999999999999</c:v>
                </c:pt>
                <c:pt idx="16">
                  <c:v>0.79</c:v>
                </c:pt>
                <c:pt idx="17">
                  <c:v>0.81599999999999995</c:v>
                </c:pt>
                <c:pt idx="18">
                  <c:v>1.0129999999999999</c:v>
                </c:pt>
                <c:pt idx="19">
                  <c:v>0.78</c:v>
                </c:pt>
                <c:pt idx="20">
                  <c:v>0.50800000000000001</c:v>
                </c:pt>
                <c:pt idx="21">
                  <c:v>0.72599999999999998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D5-4ACE-8D33-C0B9DBB8B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20"/>
          <c:min val="1899"/>
        </c:scaling>
        <c:delete val="0"/>
        <c:axPos val="b"/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20"/>
        <c:crosses val="autoZero"/>
        <c:crossBetween val="midCat"/>
      </c:valAx>
      <c:valAx>
        <c:axId val="20"/>
        <c:scaling>
          <c:orientation val="minMax"/>
          <c:max val="3"/>
          <c:min val="0"/>
        </c:scaling>
        <c:delete val="0"/>
        <c:axPos val="l"/>
        <c:majorGridlines/>
        <c:numFmt formatCode="0.0&quot;%&quot;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midCat"/>
        <c:majorUnit val="0.5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lang="en-US" sz="1100" b="1">
                <a:latin typeface="Arial"/>
              </a:rPr>
              <a:t>Six cycles aligned on their start: % of US GDP vs years since start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US railroads (1900 onwards)</c:v>
          </c:tx>
          <c:spPr>
            <a:ln w="28000">
              <a:solidFill>
                <a:srgbClr val="002169"/>
              </a:solidFill>
              <a:prstDash val="solid"/>
            </a:ln>
          </c:spPr>
          <c:marker>
            <c:symbol val="none"/>
          </c:marker>
          <c:xVal>
            <c:numRef>
              <c:f>'Chart points'!$D$2:$D$23</c:f>
              <c:numCache>
                <c:formatCode>General</c:formatCode>
                <c:ptCount val="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</c:numCache>
            </c:numRef>
          </c:xVal>
          <c:yVal>
            <c:numRef>
              <c:f>'Chart points'!$E$2:$E$23</c:f>
              <c:numCache>
                <c:formatCode>0.00</c:formatCode>
                <c:ptCount val="22"/>
                <c:pt idx="0">
                  <c:v>1.169</c:v>
                </c:pt>
                <c:pt idx="1">
                  <c:v>1.2470000000000001</c:v>
                </c:pt>
                <c:pt idx="2">
                  <c:v>1.0469999999999999</c:v>
                </c:pt>
                <c:pt idx="3">
                  <c:v>1.0680000000000001</c:v>
                </c:pt>
                <c:pt idx="4">
                  <c:v>1.0680000000000001</c:v>
                </c:pt>
                <c:pt idx="5">
                  <c:v>1.252</c:v>
                </c:pt>
                <c:pt idx="6">
                  <c:v>1.49</c:v>
                </c:pt>
                <c:pt idx="7">
                  <c:v>1.798</c:v>
                </c:pt>
                <c:pt idx="8">
                  <c:v>2.0259999999999998</c:v>
                </c:pt>
                <c:pt idx="9">
                  <c:v>2.2210000000000001</c:v>
                </c:pt>
                <c:pt idx="10">
                  <c:v>2.1150000000000002</c:v>
                </c:pt>
                <c:pt idx="11">
                  <c:v>2.3029999999999999</c:v>
                </c:pt>
                <c:pt idx="12">
                  <c:v>2.117</c:v>
                </c:pt>
                <c:pt idx="13">
                  <c:v>1.998</c:v>
                </c:pt>
                <c:pt idx="14">
                  <c:v>1.9790000000000001</c:v>
                </c:pt>
                <c:pt idx="15">
                  <c:v>1.4179999999999999</c:v>
                </c:pt>
                <c:pt idx="16">
                  <c:v>0.79</c:v>
                </c:pt>
                <c:pt idx="17">
                  <c:v>0.81599999999999995</c:v>
                </c:pt>
                <c:pt idx="18">
                  <c:v>1.0129999999999999</c:v>
                </c:pt>
                <c:pt idx="19">
                  <c:v>0.78</c:v>
                </c:pt>
                <c:pt idx="20">
                  <c:v>0.50800000000000001</c:v>
                </c:pt>
                <c:pt idx="21">
                  <c:v>0.72599999999999998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2F-49E8-83ED-8D3333381838}"/>
            </c:ext>
          </c:extLst>
        </c:ser>
        <c:ser>
          <c:idx val="1"/>
          <c:order val="1"/>
          <c:tx>
            <c:v>O&amp;G (1970-80s)</c:v>
          </c:tx>
          <c:spPr>
            <a:ln w="28000">
              <a:solidFill>
                <a:srgbClr val="C41230"/>
              </a:solidFill>
              <a:prstDash val="solid"/>
            </a:ln>
          </c:spPr>
          <c:marker>
            <c:symbol val="none"/>
          </c:marker>
          <c:xVal>
            <c:numRef>
              <c:f>'Chart points'!$D$24:$D$80</c:f>
              <c:numCache>
                <c:formatCode>General</c:formatCode>
                <c:ptCount val="57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  <c:pt idx="41">
                  <c:v>10.25</c:v>
                </c:pt>
                <c:pt idx="42">
                  <c:v>10.5</c:v>
                </c:pt>
                <c:pt idx="43">
                  <c:v>10.75</c:v>
                </c:pt>
                <c:pt idx="44">
                  <c:v>11</c:v>
                </c:pt>
                <c:pt idx="45">
                  <c:v>11.25</c:v>
                </c:pt>
                <c:pt idx="46">
                  <c:v>11.5</c:v>
                </c:pt>
                <c:pt idx="47">
                  <c:v>11.75</c:v>
                </c:pt>
                <c:pt idx="48">
                  <c:v>12</c:v>
                </c:pt>
                <c:pt idx="49">
                  <c:v>12.25</c:v>
                </c:pt>
                <c:pt idx="50">
                  <c:v>12.5</c:v>
                </c:pt>
                <c:pt idx="51">
                  <c:v>12.75</c:v>
                </c:pt>
                <c:pt idx="52">
                  <c:v>13</c:v>
                </c:pt>
                <c:pt idx="53">
                  <c:v>13.25</c:v>
                </c:pt>
                <c:pt idx="54">
                  <c:v>13.5</c:v>
                </c:pt>
                <c:pt idx="55">
                  <c:v>13.75</c:v>
                </c:pt>
                <c:pt idx="56">
                  <c:v>14</c:v>
                </c:pt>
              </c:numCache>
            </c:numRef>
          </c:xVal>
          <c:yVal>
            <c:numRef>
              <c:f>'Chart points'!$E$24:$E$80</c:f>
              <c:numCache>
                <c:formatCode>0.00</c:formatCode>
                <c:ptCount val="57"/>
                <c:pt idx="0">
                  <c:v>0.379</c:v>
                </c:pt>
                <c:pt idx="1">
                  <c:v>0.379</c:v>
                </c:pt>
                <c:pt idx="2">
                  <c:v>0.39100000000000001</c:v>
                </c:pt>
                <c:pt idx="3">
                  <c:v>0.39100000000000001</c:v>
                </c:pt>
                <c:pt idx="4">
                  <c:v>0.39100000000000001</c:v>
                </c:pt>
                <c:pt idx="5">
                  <c:v>0.39100000000000001</c:v>
                </c:pt>
                <c:pt idx="6">
                  <c:v>0.495</c:v>
                </c:pt>
                <c:pt idx="7">
                  <c:v>0.495</c:v>
                </c:pt>
                <c:pt idx="8">
                  <c:v>0.495</c:v>
                </c:pt>
                <c:pt idx="9">
                  <c:v>0.495</c:v>
                </c:pt>
                <c:pt idx="10">
                  <c:v>0.66500000000000004</c:v>
                </c:pt>
                <c:pt idx="11">
                  <c:v>0.66500000000000004</c:v>
                </c:pt>
                <c:pt idx="12">
                  <c:v>0.66500000000000004</c:v>
                </c:pt>
                <c:pt idx="13">
                  <c:v>0.66500000000000004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0.72199999999999998</c:v>
                </c:pt>
                <c:pt idx="19">
                  <c:v>0.72199999999999998</c:v>
                </c:pt>
                <c:pt idx="20">
                  <c:v>0.72199999999999998</c:v>
                </c:pt>
                <c:pt idx="21">
                  <c:v>0.72199999999999998</c:v>
                </c:pt>
                <c:pt idx="22">
                  <c:v>0.90900000000000003</c:v>
                </c:pt>
                <c:pt idx="23">
                  <c:v>0.90900000000000003</c:v>
                </c:pt>
                <c:pt idx="24">
                  <c:v>0.90900000000000003</c:v>
                </c:pt>
                <c:pt idx="25">
                  <c:v>0.90900000000000003</c:v>
                </c:pt>
                <c:pt idx="26">
                  <c:v>1.0640000000000001</c:v>
                </c:pt>
                <c:pt idx="27">
                  <c:v>1.0640000000000001</c:v>
                </c:pt>
                <c:pt idx="28">
                  <c:v>1.0640000000000001</c:v>
                </c:pt>
                <c:pt idx="29">
                  <c:v>1.0640000000000001</c:v>
                </c:pt>
                <c:pt idx="30">
                  <c:v>1.425</c:v>
                </c:pt>
                <c:pt idx="31">
                  <c:v>1.425</c:v>
                </c:pt>
                <c:pt idx="32">
                  <c:v>1.425</c:v>
                </c:pt>
                <c:pt idx="33">
                  <c:v>1.425</c:v>
                </c:pt>
                <c:pt idx="34">
                  <c:v>1.972</c:v>
                </c:pt>
                <c:pt idx="35">
                  <c:v>1.972</c:v>
                </c:pt>
                <c:pt idx="36">
                  <c:v>1.972</c:v>
                </c:pt>
                <c:pt idx="37">
                  <c:v>1.972</c:v>
                </c:pt>
                <c:pt idx="38">
                  <c:v>1.891</c:v>
                </c:pt>
                <c:pt idx="39">
                  <c:v>1.891</c:v>
                </c:pt>
                <c:pt idx="40">
                  <c:v>1.891</c:v>
                </c:pt>
                <c:pt idx="41">
                  <c:v>1.891</c:v>
                </c:pt>
                <c:pt idx="42">
                  <c:v>1.1819999999999999</c:v>
                </c:pt>
                <c:pt idx="43">
                  <c:v>1.1819999999999999</c:v>
                </c:pt>
                <c:pt idx="44">
                  <c:v>1.1819999999999999</c:v>
                </c:pt>
                <c:pt idx="45">
                  <c:v>1.1819999999999999</c:v>
                </c:pt>
                <c:pt idx="46">
                  <c:v>1.093</c:v>
                </c:pt>
                <c:pt idx="47">
                  <c:v>1.093</c:v>
                </c:pt>
                <c:pt idx="48">
                  <c:v>1.093</c:v>
                </c:pt>
                <c:pt idx="49">
                  <c:v>1.093</c:v>
                </c:pt>
                <c:pt idx="50">
                  <c:v>0.92500000000000004</c:v>
                </c:pt>
                <c:pt idx="51">
                  <c:v>0.92500000000000004</c:v>
                </c:pt>
                <c:pt idx="52">
                  <c:v>0.92500000000000004</c:v>
                </c:pt>
                <c:pt idx="53">
                  <c:v>0.92500000000000004</c:v>
                </c:pt>
                <c:pt idx="54">
                  <c:v>0.51600000000000001</c:v>
                </c:pt>
                <c:pt idx="55">
                  <c:v>0.51600000000000001</c:v>
                </c:pt>
                <c:pt idx="56">
                  <c:v>0.51600000000000001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2F-49E8-83ED-8D3333381838}"/>
            </c:ext>
          </c:extLst>
        </c:ser>
        <c:ser>
          <c:idx val="2"/>
          <c:order val="2"/>
          <c:tx>
            <c:v>Telecoms (1990s)</c:v>
          </c:tx>
          <c:spPr>
            <a:ln w="28000">
              <a:solidFill>
                <a:srgbClr val="E66100"/>
              </a:solidFill>
              <a:prstDash val="solid"/>
            </a:ln>
          </c:spPr>
          <c:marker>
            <c:symbol val="none"/>
          </c:marker>
          <c:xVal>
            <c:numRef>
              <c:f>'Chart points'!$D$81:$D$111</c:f>
              <c:numCache>
                <c:formatCode>General</c:formatCode>
                <c:ptCount val="31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</c:numCache>
            </c:numRef>
          </c:xVal>
          <c:yVal>
            <c:numRef>
              <c:f>'Chart points'!$E$81:$E$111</c:f>
              <c:numCache>
                <c:formatCode>0.00</c:formatCode>
                <c:ptCount val="31"/>
                <c:pt idx="0">
                  <c:v>1.054</c:v>
                </c:pt>
                <c:pt idx="1">
                  <c:v>1.054</c:v>
                </c:pt>
                <c:pt idx="2">
                  <c:v>1.083</c:v>
                </c:pt>
                <c:pt idx="3">
                  <c:v>1.083</c:v>
                </c:pt>
                <c:pt idx="4">
                  <c:v>1.083</c:v>
                </c:pt>
                <c:pt idx="5">
                  <c:v>1.083</c:v>
                </c:pt>
                <c:pt idx="6">
                  <c:v>1.0980000000000001</c:v>
                </c:pt>
                <c:pt idx="7">
                  <c:v>1.0980000000000001</c:v>
                </c:pt>
                <c:pt idx="8">
                  <c:v>1.0980000000000001</c:v>
                </c:pt>
                <c:pt idx="9">
                  <c:v>1.0980000000000001</c:v>
                </c:pt>
                <c:pt idx="10">
                  <c:v>1.135</c:v>
                </c:pt>
                <c:pt idx="11">
                  <c:v>1.135</c:v>
                </c:pt>
                <c:pt idx="12">
                  <c:v>1.135</c:v>
                </c:pt>
                <c:pt idx="13">
                  <c:v>1.135</c:v>
                </c:pt>
                <c:pt idx="14">
                  <c:v>1.2849999999999999</c:v>
                </c:pt>
                <c:pt idx="15">
                  <c:v>1.2849999999999999</c:v>
                </c:pt>
                <c:pt idx="16">
                  <c:v>1.2849999999999999</c:v>
                </c:pt>
                <c:pt idx="17">
                  <c:v>1.2849999999999999</c:v>
                </c:pt>
                <c:pt idx="18">
                  <c:v>1.54</c:v>
                </c:pt>
                <c:pt idx="19">
                  <c:v>1.54</c:v>
                </c:pt>
                <c:pt idx="20">
                  <c:v>1.54</c:v>
                </c:pt>
                <c:pt idx="21">
                  <c:v>1.54</c:v>
                </c:pt>
                <c:pt idx="22">
                  <c:v>1.337</c:v>
                </c:pt>
                <c:pt idx="23">
                  <c:v>1.337</c:v>
                </c:pt>
                <c:pt idx="24">
                  <c:v>1.337</c:v>
                </c:pt>
                <c:pt idx="25">
                  <c:v>1.337</c:v>
                </c:pt>
                <c:pt idx="26">
                  <c:v>0.91</c:v>
                </c:pt>
                <c:pt idx="27">
                  <c:v>0.91</c:v>
                </c:pt>
                <c:pt idx="28">
                  <c:v>0.91</c:v>
                </c:pt>
                <c:pt idx="29">
                  <c:v>0.91</c:v>
                </c:pt>
                <c:pt idx="30">
                  <c:v>0.78900000000000003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2F-49E8-83ED-8D3333381838}"/>
            </c:ext>
          </c:extLst>
        </c:ser>
        <c:ser>
          <c:idx val="3"/>
          <c:order val="3"/>
          <c:tx>
            <c:v>O&amp;G (Shale)</c:v>
          </c:tx>
          <c:spPr>
            <a:ln w="28000">
              <a:solidFill>
                <a:srgbClr val="269E00"/>
              </a:solidFill>
              <a:prstDash val="solid"/>
            </a:ln>
          </c:spPr>
          <c:marker>
            <c:symbol val="none"/>
          </c:marker>
          <c:xVal>
            <c:numRef>
              <c:f>'Chart points'!$D$112:$D$168</c:f>
              <c:numCache>
                <c:formatCode>General</c:formatCode>
                <c:ptCount val="57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  <c:pt idx="41">
                  <c:v>10.25</c:v>
                </c:pt>
                <c:pt idx="42">
                  <c:v>10.5</c:v>
                </c:pt>
                <c:pt idx="43">
                  <c:v>10.75</c:v>
                </c:pt>
                <c:pt idx="44">
                  <c:v>11</c:v>
                </c:pt>
                <c:pt idx="45">
                  <c:v>11.25</c:v>
                </c:pt>
                <c:pt idx="46">
                  <c:v>11.5</c:v>
                </c:pt>
                <c:pt idx="47">
                  <c:v>11.75</c:v>
                </c:pt>
                <c:pt idx="48">
                  <c:v>12</c:v>
                </c:pt>
                <c:pt idx="49">
                  <c:v>12.25</c:v>
                </c:pt>
                <c:pt idx="50">
                  <c:v>12.5</c:v>
                </c:pt>
                <c:pt idx="51">
                  <c:v>12.75</c:v>
                </c:pt>
                <c:pt idx="52">
                  <c:v>13</c:v>
                </c:pt>
                <c:pt idx="53">
                  <c:v>13.25</c:v>
                </c:pt>
                <c:pt idx="54">
                  <c:v>13.5</c:v>
                </c:pt>
                <c:pt idx="55">
                  <c:v>13.75</c:v>
                </c:pt>
                <c:pt idx="56">
                  <c:v>14</c:v>
                </c:pt>
              </c:numCache>
            </c:numRef>
          </c:xVal>
          <c:yVal>
            <c:numRef>
              <c:f>'Chart points'!$E$112:$E$168</c:f>
              <c:numCache>
                <c:formatCode>0.00</c:formatCode>
                <c:ptCount val="57"/>
                <c:pt idx="0">
                  <c:v>0.39500000000000002</c:v>
                </c:pt>
                <c:pt idx="1">
                  <c:v>0.46800000000000003</c:v>
                </c:pt>
                <c:pt idx="2">
                  <c:v>0.46800000000000003</c:v>
                </c:pt>
                <c:pt idx="3">
                  <c:v>0.46800000000000003</c:v>
                </c:pt>
                <c:pt idx="4">
                  <c:v>0.46800000000000003</c:v>
                </c:pt>
                <c:pt idx="5">
                  <c:v>0.505</c:v>
                </c:pt>
                <c:pt idx="6">
                  <c:v>0.505</c:v>
                </c:pt>
                <c:pt idx="7">
                  <c:v>0.505</c:v>
                </c:pt>
                <c:pt idx="8">
                  <c:v>0.505</c:v>
                </c:pt>
                <c:pt idx="9">
                  <c:v>0.65300000000000002</c:v>
                </c:pt>
                <c:pt idx="10">
                  <c:v>0.65300000000000002</c:v>
                </c:pt>
                <c:pt idx="11">
                  <c:v>0.65300000000000002</c:v>
                </c:pt>
                <c:pt idx="12">
                  <c:v>0.65300000000000002</c:v>
                </c:pt>
                <c:pt idx="13">
                  <c:v>0.86599999999999999</c:v>
                </c:pt>
                <c:pt idx="14">
                  <c:v>0.86599999999999999</c:v>
                </c:pt>
                <c:pt idx="15">
                  <c:v>0.86599999999999999</c:v>
                </c:pt>
                <c:pt idx="16">
                  <c:v>0.86599999999999999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1.1140000000000001</c:v>
                </c:pt>
                <c:pt idx="22">
                  <c:v>1.1140000000000001</c:v>
                </c:pt>
                <c:pt idx="23">
                  <c:v>1.1140000000000001</c:v>
                </c:pt>
                <c:pt idx="24">
                  <c:v>1.1140000000000001</c:v>
                </c:pt>
                <c:pt idx="25">
                  <c:v>0.77500000000000002</c:v>
                </c:pt>
                <c:pt idx="26">
                  <c:v>0.77500000000000002</c:v>
                </c:pt>
                <c:pt idx="27">
                  <c:v>0.77500000000000002</c:v>
                </c:pt>
                <c:pt idx="28">
                  <c:v>0.77500000000000002</c:v>
                </c:pt>
                <c:pt idx="29">
                  <c:v>0.85199999999999998</c:v>
                </c:pt>
                <c:pt idx="30">
                  <c:v>0.85199999999999998</c:v>
                </c:pt>
                <c:pt idx="31">
                  <c:v>0.85199999999999998</c:v>
                </c:pt>
                <c:pt idx="32">
                  <c:v>0.85199999999999998</c:v>
                </c:pt>
                <c:pt idx="33">
                  <c:v>1.034</c:v>
                </c:pt>
                <c:pt idx="34">
                  <c:v>1.034</c:v>
                </c:pt>
                <c:pt idx="35">
                  <c:v>1.034</c:v>
                </c:pt>
                <c:pt idx="36">
                  <c:v>1.034</c:v>
                </c:pt>
                <c:pt idx="37">
                  <c:v>1.2589999999999999</c:v>
                </c:pt>
                <c:pt idx="38">
                  <c:v>1.2589999999999999</c:v>
                </c:pt>
                <c:pt idx="39">
                  <c:v>1.2589999999999999</c:v>
                </c:pt>
                <c:pt idx="40">
                  <c:v>1.2589999999999999</c:v>
                </c:pt>
                <c:pt idx="41">
                  <c:v>1.2490000000000001</c:v>
                </c:pt>
                <c:pt idx="42">
                  <c:v>1.2490000000000001</c:v>
                </c:pt>
                <c:pt idx="43">
                  <c:v>1.2490000000000001</c:v>
                </c:pt>
                <c:pt idx="44">
                  <c:v>1.2490000000000001</c:v>
                </c:pt>
                <c:pt idx="45">
                  <c:v>1.415</c:v>
                </c:pt>
                <c:pt idx="46">
                  <c:v>1.415</c:v>
                </c:pt>
                <c:pt idx="47">
                  <c:v>1.415</c:v>
                </c:pt>
                <c:pt idx="48">
                  <c:v>1.415</c:v>
                </c:pt>
                <c:pt idx="49">
                  <c:v>0.97899999999999998</c:v>
                </c:pt>
                <c:pt idx="50">
                  <c:v>0.97899999999999998</c:v>
                </c:pt>
                <c:pt idx="51">
                  <c:v>0.97899999999999998</c:v>
                </c:pt>
                <c:pt idx="52">
                  <c:v>0.97899999999999998</c:v>
                </c:pt>
                <c:pt idx="53">
                  <c:v>0.56000000000000005</c:v>
                </c:pt>
                <c:pt idx="54">
                  <c:v>0.56000000000000005</c:v>
                </c:pt>
                <c:pt idx="55">
                  <c:v>0.56000000000000005</c:v>
                </c:pt>
                <c:pt idx="56">
                  <c:v>0.56000000000000005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2F-49E8-83ED-8D3333381838}"/>
            </c:ext>
          </c:extLst>
        </c:ser>
        <c:ser>
          <c:idx val="4"/>
          <c:order val="4"/>
          <c:tx>
            <c:v>Hyperscalers (lease adjusted)</c:v>
          </c:tx>
          <c:spPr>
            <a:ln w="28000">
              <a:solidFill>
                <a:srgbClr val="009BDE"/>
              </a:solidFill>
              <a:prstDash val="solid"/>
            </a:ln>
          </c:spPr>
          <c:marker>
            <c:symbol val="none"/>
          </c:marker>
          <c:xVal>
            <c:numRef>
              <c:f>'Chart points'!$D$169:$D$185</c:f>
              <c:numCache>
                <c:formatCode>General</c:formatCode>
                <c:ptCount val="17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</c:numCache>
            </c:numRef>
          </c:xVal>
          <c:yVal>
            <c:numRef>
              <c:f>'Chart points'!$E$169:$E$185</c:f>
              <c:numCache>
                <c:formatCode>0.00</c:formatCode>
                <c:ptCount val="17"/>
                <c:pt idx="0">
                  <c:v>0.61599999999999999</c:v>
                </c:pt>
                <c:pt idx="1">
                  <c:v>0.63700000000000001</c:v>
                </c:pt>
                <c:pt idx="2">
                  <c:v>0.64</c:v>
                </c:pt>
                <c:pt idx="3">
                  <c:v>0.65500000000000003</c:v>
                </c:pt>
                <c:pt idx="4">
                  <c:v>0.627</c:v>
                </c:pt>
                <c:pt idx="5">
                  <c:v>0.61399999999999999</c:v>
                </c:pt>
                <c:pt idx="6">
                  <c:v>0.59199999999999997</c:v>
                </c:pt>
                <c:pt idx="7">
                  <c:v>0.59499999999999997</c:v>
                </c:pt>
                <c:pt idx="8">
                  <c:v>0.59599999999999997</c:v>
                </c:pt>
                <c:pt idx="9">
                  <c:v>0.68600000000000005</c:v>
                </c:pt>
                <c:pt idx="10">
                  <c:v>0.78</c:v>
                </c:pt>
                <c:pt idx="11">
                  <c:v>0.89600000000000002</c:v>
                </c:pt>
                <c:pt idx="12">
                  <c:v>1.0129999999999999</c:v>
                </c:pt>
                <c:pt idx="13">
                  <c:v>1.147</c:v>
                </c:pt>
                <c:pt idx="14">
                  <c:v>1.3340000000000001</c:v>
                </c:pt>
                <c:pt idx="15">
                  <c:v>1.5580000000000001</c:v>
                </c:pt>
                <c:pt idx="16">
                  <c:v>1.702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2F-49E8-83ED-8D3333381838}"/>
            </c:ext>
          </c:extLst>
        </c:ser>
        <c:ser>
          <c:idx val="5"/>
          <c:order val="5"/>
          <c:tx>
            <c:v>Hyperscalers</c:v>
          </c:tx>
          <c:spPr>
            <a:ln w="28000">
              <a:solidFill>
                <a:srgbClr val="006980"/>
              </a:solidFill>
              <a:prstDash val="solid"/>
            </a:ln>
          </c:spPr>
          <c:marker>
            <c:symbol val="none"/>
          </c:marker>
          <c:xVal>
            <c:numRef>
              <c:f>'Chart points'!$D$186:$D$202</c:f>
              <c:numCache>
                <c:formatCode>General</c:formatCode>
                <c:ptCount val="17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</c:numCache>
            </c:numRef>
          </c:xVal>
          <c:yVal>
            <c:numRef>
              <c:f>'Chart points'!$E$186:$E$202</c:f>
              <c:numCache>
                <c:formatCode>0.00</c:formatCode>
                <c:ptCount val="17"/>
                <c:pt idx="0">
                  <c:v>0.53700000000000003</c:v>
                </c:pt>
                <c:pt idx="1">
                  <c:v>0.56399999999999995</c:v>
                </c:pt>
                <c:pt idx="2">
                  <c:v>0.59499999999999997</c:v>
                </c:pt>
                <c:pt idx="3">
                  <c:v>0.61099999999999999</c:v>
                </c:pt>
                <c:pt idx="4">
                  <c:v>0.56899999999999995</c:v>
                </c:pt>
                <c:pt idx="5">
                  <c:v>0.55500000000000005</c:v>
                </c:pt>
                <c:pt idx="6">
                  <c:v>0.54200000000000004</c:v>
                </c:pt>
                <c:pt idx="7">
                  <c:v>0.55100000000000005</c:v>
                </c:pt>
                <c:pt idx="8">
                  <c:v>0.56200000000000006</c:v>
                </c:pt>
                <c:pt idx="9">
                  <c:v>0.63</c:v>
                </c:pt>
                <c:pt idx="10">
                  <c:v>0.71499999999999997</c:v>
                </c:pt>
                <c:pt idx="11">
                  <c:v>0.82899999999999996</c:v>
                </c:pt>
                <c:pt idx="12">
                  <c:v>0.90100000000000002</c:v>
                </c:pt>
                <c:pt idx="13">
                  <c:v>1.036</c:v>
                </c:pt>
                <c:pt idx="14">
                  <c:v>1.1870000000000001</c:v>
                </c:pt>
                <c:pt idx="15">
                  <c:v>1.379</c:v>
                </c:pt>
                <c:pt idx="16">
                  <c:v>1.536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2F-49E8-83ED-8D33333818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2"/>
          <c:min val="0"/>
        </c:scaling>
        <c:delete val="0"/>
        <c:axPos val="b"/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20"/>
        <c:crosses val="autoZero"/>
        <c:crossBetween val="midCat"/>
      </c:valAx>
      <c:valAx>
        <c:axId val="20"/>
        <c:scaling>
          <c:orientation val="minMax"/>
          <c:max val="3"/>
          <c:min val="0"/>
        </c:scaling>
        <c:delete val="0"/>
        <c:axPos val="l"/>
        <c:majorGridlines/>
        <c:numFmt formatCode="0.0&quot;%&quot;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midCat"/>
        <c:majorUnit val="0.5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lang="en-US" sz="1100" b="1">
                <a:latin typeface="Arial"/>
              </a:rPr>
              <a:t>First-hand replica, 1970-2026: sector capex, % of US GDP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O&amp;G (1970-80s)</c:v>
          </c:tx>
          <c:spPr>
            <a:ln w="28000">
              <a:solidFill>
                <a:srgbClr val="C4123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(first-hand)'!$C$24:$C$53</c:f>
              <c:numCache>
                <c:formatCode>General</c:formatCode>
                <c:ptCount val="30"/>
                <c:pt idx="0">
                  <c:v>1972</c:v>
                </c:pt>
                <c:pt idx="1">
                  <c:v>1973</c:v>
                </c:pt>
                <c:pt idx="2">
                  <c:v>1973</c:v>
                </c:pt>
                <c:pt idx="3">
                  <c:v>1974</c:v>
                </c:pt>
                <c:pt idx="4">
                  <c:v>1974</c:v>
                </c:pt>
                <c:pt idx="5">
                  <c:v>1975</c:v>
                </c:pt>
                <c:pt idx="6">
                  <c:v>1975</c:v>
                </c:pt>
                <c:pt idx="7">
                  <c:v>1976</c:v>
                </c:pt>
                <c:pt idx="8">
                  <c:v>1976</c:v>
                </c:pt>
                <c:pt idx="9">
                  <c:v>1977</c:v>
                </c:pt>
                <c:pt idx="10">
                  <c:v>1977</c:v>
                </c:pt>
                <c:pt idx="11">
                  <c:v>1978</c:v>
                </c:pt>
                <c:pt idx="12">
                  <c:v>1978</c:v>
                </c:pt>
                <c:pt idx="13">
                  <c:v>1979</c:v>
                </c:pt>
                <c:pt idx="14">
                  <c:v>1979</c:v>
                </c:pt>
                <c:pt idx="15">
                  <c:v>1980</c:v>
                </c:pt>
                <c:pt idx="16">
                  <c:v>1980</c:v>
                </c:pt>
                <c:pt idx="17">
                  <c:v>1981</c:v>
                </c:pt>
                <c:pt idx="18">
                  <c:v>1981</c:v>
                </c:pt>
                <c:pt idx="19">
                  <c:v>1982</c:v>
                </c:pt>
                <c:pt idx="20">
                  <c:v>1982</c:v>
                </c:pt>
                <c:pt idx="21">
                  <c:v>1983</c:v>
                </c:pt>
                <c:pt idx="22">
                  <c:v>1983</c:v>
                </c:pt>
                <c:pt idx="23">
                  <c:v>1984</c:v>
                </c:pt>
                <c:pt idx="24">
                  <c:v>1984</c:v>
                </c:pt>
                <c:pt idx="25">
                  <c:v>1985</c:v>
                </c:pt>
                <c:pt idx="26">
                  <c:v>1985</c:v>
                </c:pt>
                <c:pt idx="27">
                  <c:v>1986</c:v>
                </c:pt>
                <c:pt idx="28">
                  <c:v>1986</c:v>
                </c:pt>
                <c:pt idx="29">
                  <c:v>1987</c:v>
                </c:pt>
              </c:numCache>
            </c:numRef>
          </c:xVal>
          <c:yVal>
            <c:numRef>
              <c:f>'Chart points (first-hand)'!$E$24:$E$53</c:f>
              <c:numCache>
                <c:formatCode>0.00</c:formatCode>
                <c:ptCount val="30"/>
                <c:pt idx="0">
                  <c:v>0.38010804387425634</c:v>
                </c:pt>
                <c:pt idx="1">
                  <c:v>0.38010804387425634</c:v>
                </c:pt>
                <c:pt idx="2">
                  <c:v>0.39210706508317805</c:v>
                </c:pt>
                <c:pt idx="3">
                  <c:v>0.39210706508317805</c:v>
                </c:pt>
                <c:pt idx="4">
                  <c:v>0.49649149033517709</c:v>
                </c:pt>
                <c:pt idx="5">
                  <c:v>0.49649149033517709</c:v>
                </c:pt>
                <c:pt idx="6">
                  <c:v>0.66502305175843845</c:v>
                </c:pt>
                <c:pt idx="7">
                  <c:v>0.66502305175843845</c:v>
                </c:pt>
                <c:pt idx="8">
                  <c:v>0.70144741252858422</c:v>
                </c:pt>
                <c:pt idx="9">
                  <c:v>0.70144741252858422</c:v>
                </c:pt>
                <c:pt idx="10">
                  <c:v>0.72153004141556498</c:v>
                </c:pt>
                <c:pt idx="11">
                  <c:v>0.72153004141556498</c:v>
                </c:pt>
                <c:pt idx="12">
                  <c:v>0.90955133081788175</c:v>
                </c:pt>
                <c:pt idx="13">
                  <c:v>0.90955133081788175</c:v>
                </c:pt>
                <c:pt idx="14">
                  <c:v>1.0635119339649752</c:v>
                </c:pt>
                <c:pt idx="15">
                  <c:v>1.0635119339649752</c:v>
                </c:pt>
                <c:pt idx="16">
                  <c:v>1.4248381430486818</c:v>
                </c:pt>
                <c:pt idx="17">
                  <c:v>1.4248381430486818</c:v>
                </c:pt>
                <c:pt idx="18">
                  <c:v>1.9725659883986515</c:v>
                </c:pt>
                <c:pt idx="19">
                  <c:v>1.9725659883986515</c:v>
                </c:pt>
                <c:pt idx="20">
                  <c:v>1.8901910377718212</c:v>
                </c:pt>
                <c:pt idx="21">
                  <c:v>1.8901910377718212</c:v>
                </c:pt>
                <c:pt idx="22">
                  <c:v>1.1832842694545296</c:v>
                </c:pt>
                <c:pt idx="23">
                  <c:v>1.1832842694545296</c:v>
                </c:pt>
                <c:pt idx="24">
                  <c:v>1.0936907524321919</c:v>
                </c:pt>
                <c:pt idx="25">
                  <c:v>1.0936907524321919</c:v>
                </c:pt>
                <c:pt idx="26">
                  <c:v>0.92530984823849116</c:v>
                </c:pt>
                <c:pt idx="27">
                  <c:v>0.92530984823849116</c:v>
                </c:pt>
                <c:pt idx="28">
                  <c:v>0.51707222699820143</c:v>
                </c:pt>
                <c:pt idx="29">
                  <c:v>0.51707222699820143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64-476E-8D95-4B425D90FBC6}"/>
            </c:ext>
          </c:extLst>
        </c:ser>
        <c:ser>
          <c:idx val="1"/>
          <c:order val="1"/>
          <c:tx>
            <c:v>Telecoms (1990s)</c:v>
          </c:tx>
          <c:spPr>
            <a:ln w="28000">
              <a:solidFill>
                <a:srgbClr val="E6610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(first-hand)'!$C$54:$C$71</c:f>
              <c:numCache>
                <c:formatCode>General</c:formatCode>
                <c:ptCount val="18"/>
                <c:pt idx="0">
                  <c:v>1995</c:v>
                </c:pt>
                <c:pt idx="1">
                  <c:v>1996</c:v>
                </c:pt>
                <c:pt idx="2">
                  <c:v>1996</c:v>
                </c:pt>
                <c:pt idx="3">
                  <c:v>1997</c:v>
                </c:pt>
                <c:pt idx="4">
                  <c:v>1997</c:v>
                </c:pt>
                <c:pt idx="5">
                  <c:v>1998</c:v>
                </c:pt>
                <c:pt idx="6">
                  <c:v>1998</c:v>
                </c:pt>
                <c:pt idx="7">
                  <c:v>1999</c:v>
                </c:pt>
                <c:pt idx="8">
                  <c:v>1999</c:v>
                </c:pt>
                <c:pt idx="9">
                  <c:v>2000</c:v>
                </c:pt>
                <c:pt idx="10">
                  <c:v>2000</c:v>
                </c:pt>
                <c:pt idx="11">
                  <c:v>2001</c:v>
                </c:pt>
                <c:pt idx="12">
                  <c:v>2001</c:v>
                </c:pt>
                <c:pt idx="13">
                  <c:v>2002</c:v>
                </c:pt>
                <c:pt idx="14">
                  <c:v>2002</c:v>
                </c:pt>
                <c:pt idx="15">
                  <c:v>2003</c:v>
                </c:pt>
                <c:pt idx="16">
                  <c:v>2003</c:v>
                </c:pt>
                <c:pt idx="17">
                  <c:v>2004</c:v>
                </c:pt>
              </c:numCache>
            </c:numRef>
          </c:xVal>
          <c:yVal>
            <c:numRef>
              <c:f>'Chart points (first-hand)'!$E$54:$E$71</c:f>
              <c:numCache>
                <c:formatCode>0.00</c:formatCode>
                <c:ptCount val="18"/>
                <c:pt idx="0">
                  <c:v>1.0547205150326275</c:v>
                </c:pt>
                <c:pt idx="1">
                  <c:v>1.0547205150326275</c:v>
                </c:pt>
                <c:pt idx="2">
                  <c:v>1.0841902302479758</c:v>
                </c:pt>
                <c:pt idx="3">
                  <c:v>1.0841902302479758</c:v>
                </c:pt>
                <c:pt idx="4">
                  <c:v>1.09744598458861</c:v>
                </c:pt>
                <c:pt idx="5">
                  <c:v>1.09744598458861</c:v>
                </c:pt>
                <c:pt idx="6">
                  <c:v>1.1361809468292254</c:v>
                </c:pt>
                <c:pt idx="7">
                  <c:v>1.1361809468292254</c:v>
                </c:pt>
                <c:pt idx="8">
                  <c:v>1.2849007368988947</c:v>
                </c:pt>
                <c:pt idx="9">
                  <c:v>1.2849007368988947</c:v>
                </c:pt>
                <c:pt idx="10">
                  <c:v>1.540588620452032</c:v>
                </c:pt>
                <c:pt idx="11">
                  <c:v>1.540588620452032</c:v>
                </c:pt>
                <c:pt idx="12">
                  <c:v>1.3371664088844293</c:v>
                </c:pt>
                <c:pt idx="13">
                  <c:v>1.3371664088844293</c:v>
                </c:pt>
                <c:pt idx="14">
                  <c:v>0.91104415840707231</c:v>
                </c:pt>
                <c:pt idx="15">
                  <c:v>0.91104415840707231</c:v>
                </c:pt>
                <c:pt idx="16">
                  <c:v>0.78955522871395589</c:v>
                </c:pt>
                <c:pt idx="17">
                  <c:v>0.78955522871395589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64-476E-8D95-4B425D90FBC6}"/>
            </c:ext>
          </c:extLst>
        </c:ser>
        <c:ser>
          <c:idx val="2"/>
          <c:order val="2"/>
          <c:tx>
            <c:v>O&amp;G (Shale)</c:v>
          </c:tx>
          <c:spPr>
            <a:ln w="28000">
              <a:solidFill>
                <a:srgbClr val="269E0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(first-hand)'!$C$72:$C$101</c:f>
              <c:numCache>
                <c:formatCode>General</c:formatCode>
                <c:ptCount val="30"/>
                <c:pt idx="0">
                  <c:v>2002</c:v>
                </c:pt>
                <c:pt idx="1">
                  <c:v>2003</c:v>
                </c:pt>
                <c:pt idx="2">
                  <c:v>2003</c:v>
                </c:pt>
                <c:pt idx="3">
                  <c:v>2004</c:v>
                </c:pt>
                <c:pt idx="4">
                  <c:v>2004</c:v>
                </c:pt>
                <c:pt idx="5">
                  <c:v>2005</c:v>
                </c:pt>
                <c:pt idx="6">
                  <c:v>2005</c:v>
                </c:pt>
                <c:pt idx="7">
                  <c:v>2006</c:v>
                </c:pt>
                <c:pt idx="8">
                  <c:v>2006</c:v>
                </c:pt>
                <c:pt idx="9">
                  <c:v>2007</c:v>
                </c:pt>
                <c:pt idx="10">
                  <c:v>2007</c:v>
                </c:pt>
                <c:pt idx="11">
                  <c:v>2008</c:v>
                </c:pt>
                <c:pt idx="12">
                  <c:v>2008</c:v>
                </c:pt>
                <c:pt idx="13">
                  <c:v>2009</c:v>
                </c:pt>
                <c:pt idx="14">
                  <c:v>2009</c:v>
                </c:pt>
                <c:pt idx="15">
                  <c:v>2010</c:v>
                </c:pt>
                <c:pt idx="16">
                  <c:v>2010</c:v>
                </c:pt>
                <c:pt idx="17">
                  <c:v>2011</c:v>
                </c:pt>
                <c:pt idx="18">
                  <c:v>2011</c:v>
                </c:pt>
                <c:pt idx="19">
                  <c:v>2012</c:v>
                </c:pt>
                <c:pt idx="20">
                  <c:v>2012</c:v>
                </c:pt>
                <c:pt idx="21">
                  <c:v>2013</c:v>
                </c:pt>
                <c:pt idx="22">
                  <c:v>2013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2016</c:v>
                </c:pt>
                <c:pt idx="28">
                  <c:v>2016</c:v>
                </c:pt>
                <c:pt idx="29">
                  <c:v>2017</c:v>
                </c:pt>
              </c:numCache>
            </c:numRef>
          </c:xVal>
          <c:yVal>
            <c:numRef>
              <c:f>'Chart points (first-hand)'!$E$72:$E$101</c:f>
              <c:numCache>
                <c:formatCode>0.00</c:formatCode>
                <c:ptCount val="30"/>
                <c:pt idx="0">
                  <c:v>0.3961073492914518</c:v>
                </c:pt>
                <c:pt idx="1">
                  <c:v>0.3961073492914518</c:v>
                </c:pt>
                <c:pt idx="2">
                  <c:v>0.46750084013808813</c:v>
                </c:pt>
                <c:pt idx="3">
                  <c:v>0.46750084013808813</c:v>
                </c:pt>
                <c:pt idx="4">
                  <c:v>0.50504223718764929</c:v>
                </c:pt>
                <c:pt idx="5">
                  <c:v>0.50504223718764929</c:v>
                </c:pt>
                <c:pt idx="6">
                  <c:v>0.65342213941548699</c:v>
                </c:pt>
                <c:pt idx="7">
                  <c:v>0.65342213941548699</c:v>
                </c:pt>
                <c:pt idx="8">
                  <c:v>0.86681104952284671</c:v>
                </c:pt>
                <c:pt idx="9">
                  <c:v>0.86681104952284671</c:v>
                </c:pt>
                <c:pt idx="10">
                  <c:v>0.95080027756920782</c:v>
                </c:pt>
                <c:pt idx="11">
                  <c:v>0.95080027756920782</c:v>
                </c:pt>
                <c:pt idx="12">
                  <c:v>1.1145940293822649</c:v>
                </c:pt>
                <c:pt idx="13">
                  <c:v>1.1145940293822649</c:v>
                </c:pt>
                <c:pt idx="14">
                  <c:v>0.77550407799604737</c:v>
                </c:pt>
                <c:pt idx="15">
                  <c:v>0.77550407799604737</c:v>
                </c:pt>
                <c:pt idx="16">
                  <c:v>0.85284900874617942</c:v>
                </c:pt>
                <c:pt idx="17">
                  <c:v>0.85284900874617942</c:v>
                </c:pt>
                <c:pt idx="18">
                  <c:v>1.0343062303890862</c:v>
                </c:pt>
                <c:pt idx="19">
                  <c:v>1.0343062303890862</c:v>
                </c:pt>
                <c:pt idx="20">
                  <c:v>1.2600306263638976</c:v>
                </c:pt>
                <c:pt idx="21">
                  <c:v>1.2600306263638976</c:v>
                </c:pt>
                <c:pt idx="22">
                  <c:v>1.2503996431897928</c:v>
                </c:pt>
                <c:pt idx="23">
                  <c:v>1.2503996431897928</c:v>
                </c:pt>
                <c:pt idx="24">
                  <c:v>1.4153001299739927</c:v>
                </c:pt>
                <c:pt idx="25">
                  <c:v>1.4153001299739927</c:v>
                </c:pt>
                <c:pt idx="26">
                  <c:v>0.97983500317764083</c:v>
                </c:pt>
                <c:pt idx="27">
                  <c:v>0.97983500317764083</c:v>
                </c:pt>
                <c:pt idx="28">
                  <c:v>0.5610927314579971</c:v>
                </c:pt>
                <c:pt idx="29">
                  <c:v>0.5610927314579971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64-476E-8D95-4B425D90FBC6}"/>
            </c:ext>
          </c:extLst>
        </c:ser>
        <c:ser>
          <c:idx val="3"/>
          <c:order val="3"/>
          <c:tx>
            <c:v>Five hyperscalers (first-hand)</c:v>
          </c:tx>
          <c:spPr>
            <a:ln w="28000">
              <a:solidFill>
                <a:srgbClr val="00698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(first-hand)'!$C$102:$C$119</c:f>
              <c:numCache>
                <c:formatCode>General</c:formatCode>
                <c:ptCount val="18"/>
                <c:pt idx="0">
                  <c:v>2022.25</c:v>
                </c:pt>
                <c:pt idx="1">
                  <c:v>2022.5</c:v>
                </c:pt>
                <c:pt idx="2">
                  <c:v>2022.75</c:v>
                </c:pt>
                <c:pt idx="3">
                  <c:v>2023</c:v>
                </c:pt>
                <c:pt idx="4">
                  <c:v>2023.25</c:v>
                </c:pt>
                <c:pt idx="5">
                  <c:v>2023.5</c:v>
                </c:pt>
                <c:pt idx="6">
                  <c:v>2023.75</c:v>
                </c:pt>
                <c:pt idx="7">
                  <c:v>2024</c:v>
                </c:pt>
                <c:pt idx="8">
                  <c:v>2024.25</c:v>
                </c:pt>
                <c:pt idx="9">
                  <c:v>2024.5</c:v>
                </c:pt>
                <c:pt idx="10">
                  <c:v>2024.75</c:v>
                </c:pt>
                <c:pt idx="11">
                  <c:v>2025</c:v>
                </c:pt>
                <c:pt idx="12">
                  <c:v>2025.25</c:v>
                </c:pt>
                <c:pt idx="13">
                  <c:v>2025.5</c:v>
                </c:pt>
                <c:pt idx="14">
                  <c:v>2025.75</c:v>
                </c:pt>
                <c:pt idx="15">
                  <c:v>2026</c:v>
                </c:pt>
                <c:pt idx="16">
                  <c:v>2026.25</c:v>
                </c:pt>
                <c:pt idx="17">
                  <c:v>2026.5</c:v>
                </c:pt>
              </c:numCache>
            </c:numRef>
          </c:xVal>
          <c:yVal>
            <c:numRef>
              <c:f>'Chart points (first-hand)'!$E$102:$E$119</c:f>
              <c:numCache>
                <c:formatCode>0.00</c:formatCode>
                <c:ptCount val="18"/>
                <c:pt idx="0">
                  <c:v>0.5730701131853253</c:v>
                </c:pt>
                <c:pt idx="1">
                  <c:v>0.5864811530014008</c:v>
                </c:pt>
                <c:pt idx="2">
                  <c:v>0.60253195060750864</c:v>
                </c:pt>
                <c:pt idx="3">
                  <c:v>0.60733985939750912</c:v>
                </c:pt>
                <c:pt idx="4">
                  <c:v>0.59446486942910759</c:v>
                </c:pt>
                <c:pt idx="5">
                  <c:v>0.57274850970987568</c:v>
                </c:pt>
                <c:pt idx="6">
                  <c:v>0.55245214217629957</c:v>
                </c:pt>
                <c:pt idx="7">
                  <c:v>0.55288086286919258</c:v>
                </c:pt>
                <c:pt idx="8">
                  <c:v>0.5807995774843101</c:v>
                </c:pt>
                <c:pt idx="9">
                  <c:v>0.64324903141657364</c:v>
                </c:pt>
                <c:pt idx="10">
                  <c:v>0.71603525768196574</c:v>
                </c:pt>
                <c:pt idx="11">
                  <c:v>0.81849860696069276</c:v>
                </c:pt>
                <c:pt idx="12">
                  <c:v>0.91833703662583877</c:v>
                </c:pt>
                <c:pt idx="13">
                  <c:v>1.0461527359375726</c:v>
                </c:pt>
                <c:pt idx="14">
                  <c:v>1.1807175084044228</c:v>
                </c:pt>
                <c:pt idx="15">
                  <c:v>1.3472723802311506</c:v>
                </c:pt>
                <c:pt idx="16">
                  <c:v>1.5485607128019017</c:v>
                </c:pt>
                <c:pt idx="17">
                  <c:v>1.803229353902648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B64-476E-8D95-4B425D90FBC6}"/>
            </c:ext>
          </c:extLst>
        </c:ser>
        <c:ser>
          <c:idx val="4"/>
          <c:order val="4"/>
          <c:tx>
            <c:v>Five + CoreWeave + Nebius + SpaceX AI (first-hand)</c:v>
          </c:tx>
          <c:spPr>
            <a:ln w="28000">
              <a:solidFill>
                <a:srgbClr val="8A5CD6"/>
              </a:solidFill>
              <a:prstDash val="dash"/>
            </a:ln>
          </c:spPr>
          <c:marker>
            <c:symbol val="circle"/>
            <c:size val="6"/>
            <c:spPr>
              <a:solidFill>
                <a:srgbClr val="8A5CD6"/>
              </a:solidFill>
              <a:ln>
                <a:solidFill>
                  <a:srgbClr val="8A5CD6"/>
                </a:solidFill>
                <a:prstDash val="solid"/>
              </a:ln>
            </c:spPr>
          </c:marker>
          <c:xVal>
            <c:numRef>
              <c:f>'Chart points (first-hand)'!$C$120:$C$124</c:f>
              <c:numCache>
                <c:formatCode>General</c:formatCode>
                <c:ptCount val="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2026.25</c:v>
                </c:pt>
                <c:pt idx="4">
                  <c:v>2026.5</c:v>
                </c:pt>
              </c:numCache>
            </c:numRef>
          </c:xVal>
          <c:yVal>
            <c:numRef>
              <c:f>'Chart points (first-hand)'!$E$120:$E$124</c:f>
              <c:numCache>
                <c:formatCode>0.00</c:formatCode>
                <c:ptCount val="5"/>
                <c:pt idx="0">
                  <c:v>0.56541918768175803</c:v>
                </c:pt>
                <c:pt idx="1">
                  <c:v>0.87003703236249796</c:v>
                </c:pt>
                <c:pt idx="2">
                  <c:v>1.4350911267063569</c:v>
                </c:pt>
                <c:pt idx="3">
                  <c:v>1.6778950259764649</c:v>
                </c:pt>
                <c:pt idx="4">
                  <c:v>2.0067337821122821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64-476E-8D95-4B425D90F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027"/>
          <c:min val="1970"/>
        </c:scaling>
        <c:delete val="0"/>
        <c:axPos val="b"/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20"/>
        <c:crosses val="autoZero"/>
        <c:crossBetween val="midCat"/>
      </c:valAx>
      <c:valAx>
        <c:axId val="20"/>
        <c:scaling>
          <c:orientation val="minMax"/>
          <c:max val="3"/>
          <c:min val="0"/>
        </c:scaling>
        <c:delete val="0"/>
        <c:axPos val="l"/>
        <c:majorGridlines/>
        <c:numFmt formatCode="0.0&quot;%&quot;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midCat"/>
        <c:majorUnit val="0.5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lang="en-US" sz="1100" b="1">
                <a:latin typeface="Arial"/>
              </a:rPr>
              <a:t>US railroads, 1899-1920 (first-hand): capex, % of GNP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US railroads (1900 onwards)</c:v>
          </c:tx>
          <c:spPr>
            <a:ln w="28000">
              <a:solidFill>
                <a:srgbClr val="002169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(first-hand)'!$C$2:$C$23</c:f>
              <c:numCache>
                <c:formatCode>General</c:formatCode>
                <c:ptCount val="22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</c:numCache>
            </c:numRef>
          </c:xVal>
          <c:yVal>
            <c:numRef>
              <c:f>'Chart points (first-hand)'!$E$2:$E$23</c:f>
              <c:numCache>
                <c:formatCode>0.00</c:formatCode>
                <c:ptCount val="22"/>
                <c:pt idx="0">
                  <c:v>1.1705202312138729</c:v>
                </c:pt>
                <c:pt idx="1">
                  <c:v>1.2486187845303867</c:v>
                </c:pt>
                <c:pt idx="2">
                  <c:v>1.0481012658227848</c:v>
                </c:pt>
                <c:pt idx="3">
                  <c:v>1.0696517412935322</c:v>
                </c:pt>
                <c:pt idx="4">
                  <c:v>1.0685579196217494</c:v>
                </c:pt>
                <c:pt idx="5">
                  <c:v>1.2535885167464116</c:v>
                </c:pt>
                <c:pt idx="6">
                  <c:v>1.4909909909909911</c:v>
                </c:pt>
                <c:pt idx="7">
                  <c:v>1.7983706720977595</c:v>
                </c:pt>
                <c:pt idx="8">
                  <c:v>2.0257425742574262</c:v>
                </c:pt>
                <c:pt idx="9">
                  <c:v>2.2217484008528783</c:v>
                </c:pt>
                <c:pt idx="10">
                  <c:v>2.1151631477927064</c:v>
                </c:pt>
                <c:pt idx="11">
                  <c:v>2.3030303030303028</c:v>
                </c:pt>
                <c:pt idx="12">
                  <c:v>2.1178707224334601</c:v>
                </c:pt>
                <c:pt idx="13">
                  <c:v>1.9981273408239699</c:v>
                </c:pt>
                <c:pt idx="14">
                  <c:v>1.9787234042553195</c:v>
                </c:pt>
                <c:pt idx="15">
                  <c:v>1.4184782608695652</c:v>
                </c:pt>
                <c:pt idx="16">
                  <c:v>0.79018612521150589</c:v>
                </c:pt>
                <c:pt idx="17">
                  <c:v>0.81619937694704048</c:v>
                </c:pt>
                <c:pt idx="18">
                  <c:v>1.0138888888888891</c:v>
                </c:pt>
                <c:pt idx="19">
                  <c:v>0.78155339805825241</c:v>
                </c:pt>
                <c:pt idx="20">
                  <c:v>0.50884955752212402</c:v>
                </c:pt>
                <c:pt idx="21">
                  <c:v>0.7270072992700729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94-4B85-A13D-8D4744F8E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20"/>
          <c:min val="1899"/>
        </c:scaling>
        <c:delete val="0"/>
        <c:axPos val="b"/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20"/>
        <c:crosses val="autoZero"/>
        <c:crossBetween val="midCat"/>
      </c:valAx>
      <c:valAx>
        <c:axId val="20"/>
        <c:scaling>
          <c:orientation val="minMax"/>
          <c:max val="3"/>
          <c:min val="0"/>
        </c:scaling>
        <c:delete val="0"/>
        <c:axPos val="l"/>
        <c:majorGridlines/>
        <c:numFmt formatCode="0.0&quot;%&quot;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midCat"/>
        <c:majorUnit val="0.5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lang="en-US" sz="1100" b="1">
                <a:latin typeface="Arial"/>
              </a:rPr>
              <a:t>Cycles aligned on their start (first-hand): % of US GDP vs years since start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US railroads (1900 onwards)</c:v>
          </c:tx>
          <c:spPr>
            <a:ln w="28000">
              <a:solidFill>
                <a:srgbClr val="002169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(first-hand)'!$D$2:$D$23</c:f>
              <c:numCache>
                <c:formatCode>General</c:formatCode>
                <c:ptCount val="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</c:numCache>
            </c:numRef>
          </c:xVal>
          <c:yVal>
            <c:numRef>
              <c:f>'Chart points (first-hand)'!$E$2:$E$23</c:f>
              <c:numCache>
                <c:formatCode>0.00</c:formatCode>
                <c:ptCount val="22"/>
                <c:pt idx="0">
                  <c:v>1.1705202312138729</c:v>
                </c:pt>
                <c:pt idx="1">
                  <c:v>1.2486187845303867</c:v>
                </c:pt>
                <c:pt idx="2">
                  <c:v>1.0481012658227848</c:v>
                </c:pt>
                <c:pt idx="3">
                  <c:v>1.0696517412935322</c:v>
                </c:pt>
                <c:pt idx="4">
                  <c:v>1.0685579196217494</c:v>
                </c:pt>
                <c:pt idx="5">
                  <c:v>1.2535885167464116</c:v>
                </c:pt>
                <c:pt idx="6">
                  <c:v>1.4909909909909911</c:v>
                </c:pt>
                <c:pt idx="7">
                  <c:v>1.7983706720977595</c:v>
                </c:pt>
                <c:pt idx="8">
                  <c:v>2.0257425742574262</c:v>
                </c:pt>
                <c:pt idx="9">
                  <c:v>2.2217484008528783</c:v>
                </c:pt>
                <c:pt idx="10">
                  <c:v>2.1151631477927064</c:v>
                </c:pt>
                <c:pt idx="11">
                  <c:v>2.3030303030303028</c:v>
                </c:pt>
                <c:pt idx="12">
                  <c:v>2.1178707224334601</c:v>
                </c:pt>
                <c:pt idx="13">
                  <c:v>1.9981273408239699</c:v>
                </c:pt>
                <c:pt idx="14">
                  <c:v>1.9787234042553195</c:v>
                </c:pt>
                <c:pt idx="15">
                  <c:v>1.4184782608695652</c:v>
                </c:pt>
                <c:pt idx="16">
                  <c:v>0.79018612521150589</c:v>
                </c:pt>
                <c:pt idx="17">
                  <c:v>0.81619937694704048</c:v>
                </c:pt>
                <c:pt idx="18">
                  <c:v>1.0138888888888891</c:v>
                </c:pt>
                <c:pt idx="19">
                  <c:v>0.78155339805825241</c:v>
                </c:pt>
                <c:pt idx="20">
                  <c:v>0.50884955752212402</c:v>
                </c:pt>
                <c:pt idx="21">
                  <c:v>0.7270072992700729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25-4489-BF42-C8FA80127D9F}"/>
            </c:ext>
          </c:extLst>
        </c:ser>
        <c:ser>
          <c:idx val="1"/>
          <c:order val="1"/>
          <c:tx>
            <c:v>O&amp;G (1970-80s)</c:v>
          </c:tx>
          <c:spPr>
            <a:ln w="28000">
              <a:solidFill>
                <a:srgbClr val="C4123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(first-hand)'!$D$24:$D$53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8</c:v>
                </c:pt>
                <c:pt idx="16">
                  <c:v>8</c:v>
                </c:pt>
                <c:pt idx="17">
                  <c:v>9</c:v>
                </c:pt>
                <c:pt idx="18">
                  <c:v>9</c:v>
                </c:pt>
                <c:pt idx="19">
                  <c:v>10</c:v>
                </c:pt>
                <c:pt idx="20">
                  <c:v>10</c:v>
                </c:pt>
                <c:pt idx="21">
                  <c:v>11</c:v>
                </c:pt>
                <c:pt idx="22">
                  <c:v>11</c:v>
                </c:pt>
                <c:pt idx="23">
                  <c:v>12</c:v>
                </c:pt>
                <c:pt idx="24">
                  <c:v>12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15</c:v>
                </c:pt>
              </c:numCache>
            </c:numRef>
          </c:xVal>
          <c:yVal>
            <c:numRef>
              <c:f>'Chart points (first-hand)'!$E$24:$E$53</c:f>
              <c:numCache>
                <c:formatCode>0.00</c:formatCode>
                <c:ptCount val="30"/>
                <c:pt idx="0">
                  <c:v>0.38010804387425634</c:v>
                </c:pt>
                <c:pt idx="1">
                  <c:v>0.38010804387425634</c:v>
                </c:pt>
                <c:pt idx="2">
                  <c:v>0.39210706508317805</c:v>
                </c:pt>
                <c:pt idx="3">
                  <c:v>0.39210706508317805</c:v>
                </c:pt>
                <c:pt idx="4">
                  <c:v>0.49649149033517709</c:v>
                </c:pt>
                <c:pt idx="5">
                  <c:v>0.49649149033517709</c:v>
                </c:pt>
                <c:pt idx="6">
                  <c:v>0.66502305175843845</c:v>
                </c:pt>
                <c:pt idx="7">
                  <c:v>0.66502305175843845</c:v>
                </c:pt>
                <c:pt idx="8">
                  <c:v>0.70144741252858422</c:v>
                </c:pt>
                <c:pt idx="9">
                  <c:v>0.70144741252858422</c:v>
                </c:pt>
                <c:pt idx="10">
                  <c:v>0.72153004141556498</c:v>
                </c:pt>
                <c:pt idx="11">
                  <c:v>0.72153004141556498</c:v>
                </c:pt>
                <c:pt idx="12">
                  <c:v>0.90955133081788175</c:v>
                </c:pt>
                <c:pt idx="13">
                  <c:v>0.90955133081788175</c:v>
                </c:pt>
                <c:pt idx="14">
                  <c:v>1.0635119339649752</c:v>
                </c:pt>
                <c:pt idx="15">
                  <c:v>1.0635119339649752</c:v>
                </c:pt>
                <c:pt idx="16">
                  <c:v>1.4248381430486818</c:v>
                </c:pt>
                <c:pt idx="17">
                  <c:v>1.4248381430486818</c:v>
                </c:pt>
                <c:pt idx="18">
                  <c:v>1.9725659883986515</c:v>
                </c:pt>
                <c:pt idx="19">
                  <c:v>1.9725659883986515</c:v>
                </c:pt>
                <c:pt idx="20">
                  <c:v>1.8901910377718212</c:v>
                </c:pt>
                <c:pt idx="21">
                  <c:v>1.8901910377718212</c:v>
                </c:pt>
                <c:pt idx="22">
                  <c:v>1.1832842694545296</c:v>
                </c:pt>
                <c:pt idx="23">
                  <c:v>1.1832842694545296</c:v>
                </c:pt>
                <c:pt idx="24">
                  <c:v>1.0936907524321919</c:v>
                </c:pt>
                <c:pt idx="25">
                  <c:v>1.0936907524321919</c:v>
                </c:pt>
                <c:pt idx="26">
                  <c:v>0.92530984823849116</c:v>
                </c:pt>
                <c:pt idx="27">
                  <c:v>0.92530984823849116</c:v>
                </c:pt>
                <c:pt idx="28">
                  <c:v>0.51707222699820143</c:v>
                </c:pt>
                <c:pt idx="29">
                  <c:v>0.51707222699820143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25-4489-BF42-C8FA80127D9F}"/>
            </c:ext>
          </c:extLst>
        </c:ser>
        <c:ser>
          <c:idx val="2"/>
          <c:order val="2"/>
          <c:tx>
            <c:v>Telecoms (1990s)</c:v>
          </c:tx>
          <c:spPr>
            <a:ln w="28000">
              <a:solidFill>
                <a:srgbClr val="E6610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(first-hand)'!$D$54:$D$71</c:f>
              <c:numCache>
                <c:formatCode>General</c:formatCode>
                <c:ptCount val="18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8</c:v>
                </c:pt>
                <c:pt idx="16">
                  <c:v>8</c:v>
                </c:pt>
                <c:pt idx="17">
                  <c:v>9</c:v>
                </c:pt>
              </c:numCache>
            </c:numRef>
          </c:xVal>
          <c:yVal>
            <c:numRef>
              <c:f>'Chart points (first-hand)'!$E$54:$E$71</c:f>
              <c:numCache>
                <c:formatCode>0.00</c:formatCode>
                <c:ptCount val="18"/>
                <c:pt idx="0">
                  <c:v>1.0547205150326275</c:v>
                </c:pt>
                <c:pt idx="1">
                  <c:v>1.0547205150326275</c:v>
                </c:pt>
                <c:pt idx="2">
                  <c:v>1.0841902302479758</c:v>
                </c:pt>
                <c:pt idx="3">
                  <c:v>1.0841902302479758</c:v>
                </c:pt>
                <c:pt idx="4">
                  <c:v>1.09744598458861</c:v>
                </c:pt>
                <c:pt idx="5">
                  <c:v>1.09744598458861</c:v>
                </c:pt>
                <c:pt idx="6">
                  <c:v>1.1361809468292254</c:v>
                </c:pt>
                <c:pt idx="7">
                  <c:v>1.1361809468292254</c:v>
                </c:pt>
                <c:pt idx="8">
                  <c:v>1.2849007368988947</c:v>
                </c:pt>
                <c:pt idx="9">
                  <c:v>1.2849007368988947</c:v>
                </c:pt>
                <c:pt idx="10">
                  <c:v>1.540588620452032</c:v>
                </c:pt>
                <c:pt idx="11">
                  <c:v>1.540588620452032</c:v>
                </c:pt>
                <c:pt idx="12">
                  <c:v>1.3371664088844293</c:v>
                </c:pt>
                <c:pt idx="13">
                  <c:v>1.3371664088844293</c:v>
                </c:pt>
                <c:pt idx="14">
                  <c:v>0.91104415840707231</c:v>
                </c:pt>
                <c:pt idx="15">
                  <c:v>0.91104415840707231</c:v>
                </c:pt>
                <c:pt idx="16">
                  <c:v>0.78955522871395589</c:v>
                </c:pt>
                <c:pt idx="17">
                  <c:v>0.78955522871395589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125-4489-BF42-C8FA80127D9F}"/>
            </c:ext>
          </c:extLst>
        </c:ser>
        <c:ser>
          <c:idx val="3"/>
          <c:order val="3"/>
          <c:tx>
            <c:v>O&amp;G (Shale)</c:v>
          </c:tx>
          <c:spPr>
            <a:ln w="28000">
              <a:solidFill>
                <a:srgbClr val="269E0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(first-hand)'!$D$72:$D$101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8</c:v>
                </c:pt>
                <c:pt idx="16">
                  <c:v>8</c:v>
                </c:pt>
                <c:pt idx="17">
                  <c:v>9</c:v>
                </c:pt>
                <c:pt idx="18">
                  <c:v>9</c:v>
                </c:pt>
                <c:pt idx="19">
                  <c:v>10</c:v>
                </c:pt>
                <c:pt idx="20">
                  <c:v>10</c:v>
                </c:pt>
                <c:pt idx="21">
                  <c:v>11</c:v>
                </c:pt>
                <c:pt idx="22">
                  <c:v>11</c:v>
                </c:pt>
                <c:pt idx="23">
                  <c:v>12</c:v>
                </c:pt>
                <c:pt idx="24">
                  <c:v>12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15</c:v>
                </c:pt>
              </c:numCache>
            </c:numRef>
          </c:xVal>
          <c:yVal>
            <c:numRef>
              <c:f>'Chart points (first-hand)'!$E$72:$E$101</c:f>
              <c:numCache>
                <c:formatCode>0.00</c:formatCode>
                <c:ptCount val="30"/>
                <c:pt idx="0">
                  <c:v>0.3961073492914518</c:v>
                </c:pt>
                <c:pt idx="1">
                  <c:v>0.3961073492914518</c:v>
                </c:pt>
                <c:pt idx="2">
                  <c:v>0.46750084013808813</c:v>
                </c:pt>
                <c:pt idx="3">
                  <c:v>0.46750084013808813</c:v>
                </c:pt>
                <c:pt idx="4">
                  <c:v>0.50504223718764929</c:v>
                </c:pt>
                <c:pt idx="5">
                  <c:v>0.50504223718764929</c:v>
                </c:pt>
                <c:pt idx="6">
                  <c:v>0.65342213941548699</c:v>
                </c:pt>
                <c:pt idx="7">
                  <c:v>0.65342213941548699</c:v>
                </c:pt>
                <c:pt idx="8">
                  <c:v>0.86681104952284671</c:v>
                </c:pt>
                <c:pt idx="9">
                  <c:v>0.86681104952284671</c:v>
                </c:pt>
                <c:pt idx="10">
                  <c:v>0.95080027756920782</c:v>
                </c:pt>
                <c:pt idx="11">
                  <c:v>0.95080027756920782</c:v>
                </c:pt>
                <c:pt idx="12">
                  <c:v>1.1145940293822649</c:v>
                </c:pt>
                <c:pt idx="13">
                  <c:v>1.1145940293822649</c:v>
                </c:pt>
                <c:pt idx="14">
                  <c:v>0.77550407799604737</c:v>
                </c:pt>
                <c:pt idx="15">
                  <c:v>0.77550407799604737</c:v>
                </c:pt>
                <c:pt idx="16">
                  <c:v>0.85284900874617942</c:v>
                </c:pt>
                <c:pt idx="17">
                  <c:v>0.85284900874617942</c:v>
                </c:pt>
                <c:pt idx="18">
                  <c:v>1.0343062303890862</c:v>
                </c:pt>
                <c:pt idx="19">
                  <c:v>1.0343062303890862</c:v>
                </c:pt>
                <c:pt idx="20">
                  <c:v>1.2600306263638976</c:v>
                </c:pt>
                <c:pt idx="21">
                  <c:v>1.2600306263638976</c:v>
                </c:pt>
                <c:pt idx="22">
                  <c:v>1.2503996431897928</c:v>
                </c:pt>
                <c:pt idx="23">
                  <c:v>1.2503996431897928</c:v>
                </c:pt>
                <c:pt idx="24">
                  <c:v>1.4153001299739927</c:v>
                </c:pt>
                <c:pt idx="25">
                  <c:v>1.4153001299739927</c:v>
                </c:pt>
                <c:pt idx="26">
                  <c:v>0.97983500317764083</c:v>
                </c:pt>
                <c:pt idx="27">
                  <c:v>0.97983500317764083</c:v>
                </c:pt>
                <c:pt idx="28">
                  <c:v>0.5610927314579971</c:v>
                </c:pt>
                <c:pt idx="29">
                  <c:v>0.5610927314579971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25-4489-BF42-C8FA80127D9F}"/>
            </c:ext>
          </c:extLst>
        </c:ser>
        <c:ser>
          <c:idx val="4"/>
          <c:order val="4"/>
          <c:tx>
            <c:v>Five hyperscalers (first-hand)</c:v>
          </c:tx>
          <c:spPr>
            <a:ln w="28000">
              <a:solidFill>
                <a:srgbClr val="00698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(first-hand)'!$D$102:$D$119</c:f>
              <c:numCache>
                <c:formatCode>General</c:formatCode>
                <c:ptCount val="1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</c:numCache>
            </c:numRef>
          </c:xVal>
          <c:yVal>
            <c:numRef>
              <c:f>'Chart points (first-hand)'!$E$102:$E$119</c:f>
              <c:numCache>
                <c:formatCode>0.00</c:formatCode>
                <c:ptCount val="18"/>
                <c:pt idx="0">
                  <c:v>0.5730701131853253</c:v>
                </c:pt>
                <c:pt idx="1">
                  <c:v>0.5864811530014008</c:v>
                </c:pt>
                <c:pt idx="2">
                  <c:v>0.60253195060750864</c:v>
                </c:pt>
                <c:pt idx="3">
                  <c:v>0.60733985939750912</c:v>
                </c:pt>
                <c:pt idx="4">
                  <c:v>0.59446486942910759</c:v>
                </c:pt>
                <c:pt idx="5">
                  <c:v>0.57274850970987568</c:v>
                </c:pt>
                <c:pt idx="6">
                  <c:v>0.55245214217629957</c:v>
                </c:pt>
                <c:pt idx="7">
                  <c:v>0.55288086286919258</c:v>
                </c:pt>
                <c:pt idx="8">
                  <c:v>0.5807995774843101</c:v>
                </c:pt>
                <c:pt idx="9">
                  <c:v>0.64324903141657364</c:v>
                </c:pt>
                <c:pt idx="10">
                  <c:v>0.71603525768196574</c:v>
                </c:pt>
                <c:pt idx="11">
                  <c:v>0.81849860696069276</c:v>
                </c:pt>
                <c:pt idx="12">
                  <c:v>0.91833703662583877</c:v>
                </c:pt>
                <c:pt idx="13">
                  <c:v>1.0461527359375726</c:v>
                </c:pt>
                <c:pt idx="14">
                  <c:v>1.1807175084044228</c:v>
                </c:pt>
                <c:pt idx="15">
                  <c:v>1.3472723802311506</c:v>
                </c:pt>
                <c:pt idx="16">
                  <c:v>1.5485607128019017</c:v>
                </c:pt>
                <c:pt idx="17">
                  <c:v>1.803229353902648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125-4489-BF42-C8FA80127D9F}"/>
            </c:ext>
          </c:extLst>
        </c:ser>
        <c:ser>
          <c:idx val="5"/>
          <c:order val="5"/>
          <c:tx>
            <c:v>Five + CoreWeave + Nebius + SpaceX AI (first-hand)</c:v>
          </c:tx>
          <c:spPr>
            <a:ln w="28000">
              <a:solidFill>
                <a:srgbClr val="8A5CD6"/>
              </a:solidFill>
              <a:prstDash val="dash"/>
            </a:ln>
          </c:spPr>
          <c:marker>
            <c:symbol val="circle"/>
            <c:size val="6"/>
            <c:spPr>
              <a:solidFill>
                <a:srgbClr val="8A5CD6"/>
              </a:solidFill>
              <a:ln>
                <a:prstDash val="solid"/>
              </a:ln>
            </c:spPr>
          </c:marker>
          <c:xVal>
            <c:numRef>
              <c:f>'Chart points (first-hand)'!$D$120:$D$124</c:f>
              <c:numCache>
                <c:formatCode>General</c:formatCode>
                <c:ptCount val="5"/>
                <c:pt idx="0">
                  <c:v>1.75</c:v>
                </c:pt>
                <c:pt idx="1">
                  <c:v>2.75</c:v>
                </c:pt>
                <c:pt idx="2">
                  <c:v>3.75</c:v>
                </c:pt>
                <c:pt idx="3">
                  <c:v>4</c:v>
                </c:pt>
                <c:pt idx="4">
                  <c:v>4.25</c:v>
                </c:pt>
              </c:numCache>
            </c:numRef>
          </c:xVal>
          <c:yVal>
            <c:numRef>
              <c:f>'Chart points (first-hand)'!$E$120:$E$124</c:f>
              <c:numCache>
                <c:formatCode>0.00</c:formatCode>
                <c:ptCount val="5"/>
                <c:pt idx="0">
                  <c:v>0.56541918768175803</c:v>
                </c:pt>
                <c:pt idx="1">
                  <c:v>0.87003703236249796</c:v>
                </c:pt>
                <c:pt idx="2">
                  <c:v>1.4350911267063569</c:v>
                </c:pt>
                <c:pt idx="3">
                  <c:v>1.6778950259764649</c:v>
                </c:pt>
                <c:pt idx="4">
                  <c:v>2.0067337821122821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125-4489-BF42-C8FA8012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2"/>
          <c:min val="0"/>
        </c:scaling>
        <c:delete val="0"/>
        <c:axPos val="b"/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20"/>
        <c:crosses val="autoZero"/>
        <c:crossBetween val="midCat"/>
      </c:valAx>
      <c:valAx>
        <c:axId val="20"/>
        <c:scaling>
          <c:orientation val="minMax"/>
          <c:max val="3"/>
          <c:min val="0"/>
        </c:scaling>
        <c:delete val="0"/>
        <c:axPos val="l"/>
        <c:majorGridlines/>
        <c:numFmt formatCode="0.0&quot;%&quot;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midCat"/>
        <c:majorUnit val="0.5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First-hand hyperscaler capex, TTM, % of US GDP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Five hyperscalers (MSFT, GOOGL, AMZN, META, ORCL)</c:v>
          </c:tx>
          <c:spPr>
            <a:ln w="280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'Hyperscalers first-hand'!$A$5:$A$27</c:f>
              <c:strCache>
                <c:ptCount val="23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  <c:pt idx="15">
                  <c:v>2024Q3</c:v>
                </c:pt>
                <c:pt idx="16">
                  <c:v>2024Q4</c:v>
                </c:pt>
                <c:pt idx="17">
                  <c:v>2025Q1</c:v>
                </c:pt>
                <c:pt idx="18">
                  <c:v>2025Q2</c:v>
                </c:pt>
                <c:pt idx="19">
                  <c:v>2025Q3</c:v>
                </c:pt>
                <c:pt idx="20">
                  <c:v>2025Q4</c:v>
                </c:pt>
                <c:pt idx="21">
                  <c:v>2026Q1</c:v>
                </c:pt>
                <c:pt idx="22">
                  <c:v>2026Q2</c:v>
                </c:pt>
              </c:strCache>
            </c:strRef>
          </c:cat>
          <c:val>
            <c:numRef>
              <c:f>'Hyperscalers first-hand'!$K$5:$K$27</c:f>
              <c:numCache>
                <c:formatCode>0.00</c:formatCode>
                <c:ptCount val="23"/>
                <c:pt idx="0">
                  <c:v>0.45386536780813852</c:v>
                </c:pt>
                <c:pt idx="1">
                  <c:v>0.48308703779860196</c:v>
                </c:pt>
                <c:pt idx="2">
                  <c:v>0.51066100793094193</c:v>
                </c:pt>
                <c:pt idx="3">
                  <c:v>0.53349167860214797</c:v>
                </c:pt>
                <c:pt idx="4">
                  <c:v>0.55144798366434411</c:v>
                </c:pt>
                <c:pt idx="5">
                  <c:v>0.5730701131853253</c:v>
                </c:pt>
                <c:pt idx="6">
                  <c:v>0.5864811530014008</c:v>
                </c:pt>
                <c:pt idx="7">
                  <c:v>0.60253195060750864</c:v>
                </c:pt>
                <c:pt idx="8">
                  <c:v>0.60733985939750912</c:v>
                </c:pt>
                <c:pt idx="9">
                  <c:v>0.59446486942910759</c:v>
                </c:pt>
                <c:pt idx="10">
                  <c:v>0.57274850970987568</c:v>
                </c:pt>
                <c:pt idx="11">
                  <c:v>0.55245214217629957</c:v>
                </c:pt>
                <c:pt idx="12">
                  <c:v>0.55288086286919258</c:v>
                </c:pt>
                <c:pt idx="13">
                  <c:v>0.5807995774843101</c:v>
                </c:pt>
                <c:pt idx="14">
                  <c:v>0.64324903141657364</c:v>
                </c:pt>
                <c:pt idx="15">
                  <c:v>0.71603525768196574</c:v>
                </c:pt>
                <c:pt idx="16">
                  <c:v>0.81849860696069276</c:v>
                </c:pt>
                <c:pt idx="17">
                  <c:v>0.91833703662583877</c:v>
                </c:pt>
                <c:pt idx="18">
                  <c:v>1.0461527359375726</c:v>
                </c:pt>
                <c:pt idx="19">
                  <c:v>1.1807175084044228</c:v>
                </c:pt>
                <c:pt idx="20">
                  <c:v>1.3472723802311506</c:v>
                </c:pt>
                <c:pt idx="21">
                  <c:v>1.5485607128019017</c:v>
                </c:pt>
                <c:pt idx="22">
                  <c:v>1.803229353902648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82-407F-AA65-14C73439DE6C}"/>
            </c:ext>
          </c:extLst>
        </c:ser>
        <c:ser>
          <c:idx val="1"/>
          <c:order val="1"/>
          <c:tx>
            <c:v>Five + CoreWeave + Nebius + SpaceX AI (where reported periods allow)</c:v>
          </c:tx>
          <c:spPr>
            <a:ln w="28000">
              <a:solidFill>
                <a:srgbClr val="8A5CD6"/>
              </a:solidFill>
              <a:prstDash val="dash"/>
            </a:ln>
          </c:spPr>
          <c:marker>
            <c:symbol val="circle"/>
            <c:size val="7"/>
            <c:spPr>
              <a:solidFill>
                <a:srgbClr val="8A5CD6"/>
              </a:solidFill>
              <a:ln>
                <a:solidFill>
                  <a:srgbClr val="8A5CD6"/>
                </a:solidFill>
                <a:prstDash val="solid"/>
              </a:ln>
            </c:spPr>
          </c:marker>
          <c:cat>
            <c:strRef>
              <c:f>'Hyperscalers first-hand'!$A$5:$A$27</c:f>
              <c:strCache>
                <c:ptCount val="23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  <c:pt idx="15">
                  <c:v>2024Q3</c:v>
                </c:pt>
                <c:pt idx="16">
                  <c:v>2024Q4</c:v>
                </c:pt>
                <c:pt idx="17">
                  <c:v>2025Q1</c:v>
                </c:pt>
                <c:pt idx="18">
                  <c:v>2025Q2</c:v>
                </c:pt>
                <c:pt idx="19">
                  <c:v>2025Q3</c:v>
                </c:pt>
                <c:pt idx="20">
                  <c:v>2025Q4</c:v>
                </c:pt>
                <c:pt idx="21">
                  <c:v>2026Q1</c:v>
                </c:pt>
                <c:pt idx="22">
                  <c:v>2026Q2</c:v>
                </c:pt>
              </c:strCache>
            </c:strRef>
          </c:cat>
          <c:val>
            <c:numRef>
              <c:f>'Hyperscalers first-hand'!$S$5:$S$27</c:f>
              <c:numCache>
                <c:formatCode>General</c:formatCode>
                <c:ptCount val="23"/>
                <c:pt idx="12" formatCode="0.00">
                  <c:v>0.56541918768175803</c:v>
                </c:pt>
                <c:pt idx="16" formatCode="0.00">
                  <c:v>0.87003703236249796</c:v>
                </c:pt>
                <c:pt idx="20" formatCode="0.00">
                  <c:v>1.4350911267063569</c:v>
                </c:pt>
                <c:pt idx="21" formatCode="0.00">
                  <c:v>1.6778950259764649</c:v>
                </c:pt>
                <c:pt idx="22" formatCode="0.00">
                  <c:v>2.0067337821122821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82-407F-AA65-14C73439D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0"/>
        <c:crosses val="autoZero"/>
        <c:auto val="1"/>
        <c:lblAlgn val="ctr"/>
        <c:lblOffset val="100"/>
        <c:tickLblSkip val="4"/>
        <c:tickMarkSkip val="4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numFmt formatCode="0.0&quot;%&quot;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First-hand hyperscaler capex, TTM, $bn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Five hyperscalers (MSFT, GOOGL, AMZN, META, ORCL)</c:v>
          </c:tx>
          <c:spPr>
            <a:ln w="280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'Hyperscalers first-hand'!$A$5:$A$27</c:f>
              <c:strCache>
                <c:ptCount val="23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  <c:pt idx="15">
                  <c:v>2024Q3</c:v>
                </c:pt>
                <c:pt idx="16">
                  <c:v>2024Q4</c:v>
                </c:pt>
                <c:pt idx="17">
                  <c:v>2025Q1</c:v>
                </c:pt>
                <c:pt idx="18">
                  <c:v>2025Q2</c:v>
                </c:pt>
                <c:pt idx="19">
                  <c:v>2025Q3</c:v>
                </c:pt>
                <c:pt idx="20">
                  <c:v>2025Q4</c:v>
                </c:pt>
                <c:pt idx="21">
                  <c:v>2026Q1</c:v>
                </c:pt>
                <c:pt idx="22">
                  <c:v>2026Q2</c:v>
                </c:pt>
              </c:strCache>
            </c:strRef>
          </c:cat>
          <c:val>
            <c:numRef>
              <c:f>'Hyperscalers first-hand'!$I$5:$I$27</c:f>
              <c:numCache>
                <c:formatCode>0.0</c:formatCode>
                <c:ptCount val="23"/>
                <c:pt idx="0">
                  <c:v>97.015000000000001</c:v>
                </c:pt>
                <c:pt idx="1">
                  <c:v>104.41266666666667</c:v>
                </c:pt>
                <c:pt idx="2">
                  <c:v>114.83866666666667</c:v>
                </c:pt>
                <c:pt idx="3">
                  <c:v>123.033</c:v>
                </c:pt>
                <c:pt idx="4">
                  <c:v>130.946</c:v>
                </c:pt>
                <c:pt idx="5">
                  <c:v>139.74133333333333</c:v>
                </c:pt>
                <c:pt idx="6">
                  <c:v>146.54900000000001</c:v>
                </c:pt>
                <c:pt idx="7">
                  <c:v>154.07933333333335</c:v>
                </c:pt>
                <c:pt idx="8">
                  <c:v>158.27100000000002</c:v>
                </c:pt>
                <c:pt idx="9">
                  <c:v>157.86033333333336</c:v>
                </c:pt>
                <c:pt idx="10">
                  <c:v>154.477</c:v>
                </c:pt>
                <c:pt idx="11">
                  <c:v>151.39033333333333</c:v>
                </c:pt>
                <c:pt idx="12">
                  <c:v>153.84399999999999</c:v>
                </c:pt>
                <c:pt idx="13">
                  <c:v>163.86599999999999</c:v>
                </c:pt>
                <c:pt idx="14">
                  <c:v>184.21766666666667</c:v>
                </c:pt>
                <c:pt idx="15">
                  <c:v>207.75533333333334</c:v>
                </c:pt>
                <c:pt idx="16">
                  <c:v>240.483</c:v>
                </c:pt>
                <c:pt idx="17">
                  <c:v>272.98199999999997</c:v>
                </c:pt>
                <c:pt idx="18">
                  <c:v>314.63033333333328</c:v>
                </c:pt>
                <c:pt idx="19">
                  <c:v>359.85966666666667</c:v>
                </c:pt>
                <c:pt idx="20">
                  <c:v>415.7856666666666</c:v>
                </c:pt>
                <c:pt idx="21">
                  <c:v>484.61999999999995</c:v>
                </c:pt>
                <c:pt idx="22">
                  <c:v>573.03166666666664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F1-4B44-958B-8F1128A88F33}"/>
            </c:ext>
          </c:extLst>
        </c:ser>
        <c:ser>
          <c:idx val="1"/>
          <c:order val="1"/>
          <c:tx>
            <c:v>Five + CoreWeave + Nebius + SpaceX AI (where reported periods allow)</c:v>
          </c:tx>
          <c:spPr>
            <a:ln w="28000">
              <a:solidFill>
                <a:srgbClr val="8A5CD6"/>
              </a:solidFill>
              <a:prstDash val="dash"/>
            </a:ln>
          </c:spPr>
          <c:marker>
            <c:symbol val="circle"/>
            <c:size val="7"/>
            <c:spPr>
              <a:solidFill>
                <a:srgbClr val="8A5CD6"/>
              </a:solidFill>
              <a:ln>
                <a:solidFill>
                  <a:srgbClr val="8A5CD6"/>
                </a:solidFill>
                <a:prstDash val="solid"/>
              </a:ln>
            </c:spPr>
          </c:marker>
          <c:cat>
            <c:strRef>
              <c:f>'Hyperscalers first-hand'!$A$5:$A$27</c:f>
              <c:strCache>
                <c:ptCount val="23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  <c:pt idx="15">
                  <c:v>2024Q3</c:v>
                </c:pt>
                <c:pt idx="16">
                  <c:v>2024Q4</c:v>
                </c:pt>
                <c:pt idx="17">
                  <c:v>2025Q1</c:v>
                </c:pt>
                <c:pt idx="18">
                  <c:v>2025Q2</c:v>
                </c:pt>
                <c:pt idx="19">
                  <c:v>2025Q3</c:v>
                </c:pt>
                <c:pt idx="20">
                  <c:v>2025Q4</c:v>
                </c:pt>
                <c:pt idx="21">
                  <c:v>2026Q1</c:v>
                </c:pt>
                <c:pt idx="22">
                  <c:v>2026Q2</c:v>
                </c:pt>
              </c:strCache>
            </c:strRef>
          </c:cat>
          <c:val>
            <c:numRef>
              <c:f>'Hyperscalers first-hand'!$R$5:$R$27</c:f>
              <c:numCache>
                <c:formatCode>General</c:formatCode>
                <c:ptCount val="23"/>
                <c:pt idx="12" formatCode="0.0">
                  <c:v>157.3329</c:v>
                </c:pt>
                <c:pt idx="16" formatCode="0.0">
                  <c:v>255.62550000000002</c:v>
                </c:pt>
                <c:pt idx="20" formatCode="0.0">
                  <c:v>442.88766666666658</c:v>
                </c:pt>
                <c:pt idx="21" formatCode="0.0">
                  <c:v>525.09499999999991</c:v>
                </c:pt>
                <c:pt idx="22" formatCode="0.0">
                  <c:v>637.70146666666665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F1-4B44-958B-8F1128A88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0"/>
        <c:crosses val="autoZero"/>
        <c:auto val="1"/>
        <c:lblAlgn val="ctr"/>
        <c:lblOffset val="100"/>
        <c:tickLblSkip val="4"/>
        <c:tickMarkSkip val="4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864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34</xdr:row>
      <xdr:rowOff>0</xdr:rowOff>
    </xdr:from>
    <xdr:ext cx="4320000" cy="34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7</xdr:col>
      <xdr:colOff>0</xdr:colOff>
      <xdr:row>34</xdr:row>
      <xdr:rowOff>0</xdr:rowOff>
    </xdr:from>
    <xdr:ext cx="8640000" cy="34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0</xdr:rowOff>
    </xdr:from>
    <xdr:ext cx="864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35</xdr:row>
      <xdr:rowOff>0</xdr:rowOff>
    </xdr:from>
    <xdr:ext cx="4320000" cy="34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7</xdr:col>
      <xdr:colOff>0</xdr:colOff>
      <xdr:row>35</xdr:row>
      <xdr:rowOff>0</xdr:rowOff>
    </xdr:from>
    <xdr:ext cx="8640000" cy="34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33</xdr:row>
      <xdr:rowOff>0</xdr:rowOff>
    </xdr:from>
    <xdr:ext cx="612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33</xdr:row>
      <xdr:rowOff>0</xdr:rowOff>
    </xdr:from>
    <xdr:ext cx="6120000" cy="34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rstHand" displayName="FirstHand" ref="A1:L79">
  <autoFilter ref="A1:L79" xr:uid="{00000000-0009-0000-0100-000001000000}">
    <filterColumn colId="0">
      <filters>
        <filter val="telecom"/>
      </filters>
    </filterColumn>
  </autoFilter>
  <tableColumns count="12">
    <tableColumn id="1" xr3:uid="{00000000-0010-0000-0000-000001000000}" name="Series"/>
    <tableColumn id="2" xr3:uid="{00000000-0010-0000-0000-000002000000}" name="Period"/>
    <tableColumn id="3" xr3:uid="{00000000-0010-0000-0000-000003000000}" name="Numerator"/>
    <tableColumn id="4" xr3:uid="{00000000-0010-0000-0000-000004000000}" name="Numerator unit"/>
    <tableColumn id="5" xr3:uid="{00000000-0010-0000-0000-000005000000}" name="Denominator"/>
    <tableColumn id="6" xr3:uid="{00000000-0010-0000-0000-000006000000}" name="Denominator unit"/>
    <tableColumn id="7" xr3:uid="{00000000-0010-0000-0000-000007000000}" name="Scale"/>
    <tableColumn id="8" xr3:uid="{00000000-0010-0000-0000-000008000000}" name="First-hand (% GDP)"/>
    <tableColumn id="9" xr3:uid="{00000000-0010-0000-0000-000009000000}" name="PDF vector (% GDP)"/>
    <tableColumn id="10" xr3:uid="{00000000-0010-0000-0000-00000A000000}" name="Difference (pp)"/>
    <tableColumn id="11" xr3:uid="{00000000-0010-0000-0000-00000B000000}" name="|Difference|"/>
    <tableColumn id="12" xr3:uid="{00000000-0010-0000-0000-00000C000000}" name="First-hand source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artPoints" displayName="ChartPoints" ref="A1:F202">
  <autoFilter ref="A1:F202" xr:uid="{00000000-0009-0000-0100-000002000000}"/>
  <tableColumns count="6">
    <tableColumn id="1" xr3:uid="{00000000-0010-0000-0100-000001000000}" name="Series"/>
    <tableColumn id="2" xr3:uid="{00000000-0010-0000-0100-000002000000}" name="Label"/>
    <tableColumn id="3" xr3:uid="{00000000-0010-0000-0100-000003000000}" name="Chart position (year)"/>
    <tableColumn id="4" xr3:uid="{00000000-0010-0000-0100-000004000000}" name="Years since cycle start"/>
    <tableColumn id="5" xr3:uid="{00000000-0010-0000-0100-000005000000}" name="% of US GDP"/>
    <tableColumn id="6" xr3:uid="{00000000-0010-0000-0100-000006000000}" name="Year (annual series)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nnual" displayName="Annual" ref="A1:E60">
  <autoFilter ref="A1:E60" xr:uid="{00000000-0009-0000-0100-000003000000}"/>
  <tableColumns count="5">
    <tableColumn id="1" xr3:uid="{00000000-0010-0000-0200-000001000000}" name="Year"/>
    <tableColumn id="2" xr3:uid="{00000000-0010-0000-0200-000002000000}" name="US railroads (1900 onwards)"/>
    <tableColumn id="3" xr3:uid="{00000000-0010-0000-0200-000003000000}" name="O&amp;G (1970-80s)"/>
    <tableColumn id="4" xr3:uid="{00000000-0010-0000-0200-000004000000}" name="Telecoms (1990s)"/>
    <tableColumn id="5" xr3:uid="{00000000-0010-0000-0200-000005000000}" name="O&amp;G (Shale)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Hyperscalers" displayName="Hyperscalers" ref="A1:E18">
  <autoFilter ref="A1:E18" xr:uid="{00000000-0009-0000-0100-000004000000}"/>
  <tableColumns count="5">
    <tableColumn id="1" xr3:uid="{00000000-0010-0000-0300-000001000000}" name="Trailing 4 quarters to"/>
    <tableColumn id="2" xr3:uid="{00000000-0010-0000-0300-000002000000}" name="Position (year)"/>
    <tableColumn id="3" xr3:uid="{00000000-0010-0000-0300-000003000000}" name="Hyperscalers"/>
    <tableColumn id="4" xr3:uid="{00000000-0010-0000-0300-000004000000}" name="Hyperscalers (lease adjusted)"/>
    <tableColumn id="5" xr3:uid="{00000000-0010-0000-0300-000005000000}" name="Lease adjustment (pp)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HyperQuarterly" displayName="HyperQuarterly" ref="A1:S27">
  <autoFilter ref="A1:S27" xr:uid="{00000000-0009-0000-0100-000005000000}"/>
  <tableColumns count="19">
    <tableColumn id="1" xr3:uid="{00000000-0010-0000-0400-000001000000}" name="Calendar quarter"/>
    <tableColumn id="2" xr3:uid="{00000000-0010-0000-0400-000002000000}" name="MSFT"/>
    <tableColumn id="3" xr3:uid="{00000000-0010-0000-0400-000003000000}" name="GOOGL"/>
    <tableColumn id="4" xr3:uid="{00000000-0010-0000-0400-000004000000}" name="AMZN"/>
    <tableColumn id="5" xr3:uid="{00000000-0010-0000-0400-000005000000}" name="META"/>
    <tableColumn id="6" xr3:uid="{00000000-0010-0000-0400-000006000000}" name="ORCL (calendarised)"/>
    <tableColumn id="7" xr3:uid="{00000000-0010-0000-0400-000007000000}" name="Capex, 5 names"/>
    <tableColumn id="8" xr3:uid="{00000000-0010-0000-0400-000008000000}" name="BEA GDP, SAAR"/>
    <tableColumn id="9" xr3:uid="{00000000-0010-0000-0400-000009000000}" name="TTM capex"/>
    <tableColumn id="10" xr3:uid="{00000000-0010-0000-0400-00000A000000}" name="TTM GDP"/>
    <tableColumn id="11" xr3:uid="{00000000-0010-0000-0400-00000B000000}" name="TTM capex % of GDP"/>
    <tableColumn id="12" xr3:uid="{00000000-0010-0000-0400-00000C000000}" name="BofA chart (PDF)"/>
    <tableColumn id="13" xr3:uid="{00000000-0010-0000-0400-00000D000000}" name="BofA - first-hand (pp)"/>
    <tableColumn id="14" xr3:uid="{00000000-0010-0000-0400-00000E000000}" name="CoreWeave"/>
    <tableColumn id="15" xr3:uid="{00000000-0010-0000-0400-00000F000000}" name="Nebius"/>
    <tableColumn id="16" xr3:uid="{00000000-0010-0000-0400-000010000000}" name="SpaceX AI segment"/>
    <tableColumn id="17" xr3:uid="{00000000-0010-0000-0400-000011000000}" name="Reported period (if not one quarter)"/>
    <tableColumn id="18" xr3:uid="{00000000-0010-0000-0400-000012000000}" name="TTM capex, 8 names"/>
    <tableColumn id="19" xr3:uid="{00000000-0010-0000-0400-000013000000}" name="TTM 8 names % of GDP"/>
  </tableColumns>
  <tableStyleInfo name="TableStyleLight1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nnualFirstHand" displayName="AnnualFirstHand" ref="A1:E60">
  <autoFilter ref="A1:E60" xr:uid="{00000000-0009-0000-0100-000006000000}"/>
  <tableColumns count="5">
    <tableColumn id="1" xr3:uid="{00000000-0010-0000-0500-000001000000}" name="Year"/>
    <tableColumn id="2" xr3:uid="{00000000-0010-0000-0500-000002000000}" name="US railroads (1900 onwards)"/>
    <tableColumn id="3" xr3:uid="{00000000-0010-0000-0500-000003000000}" name="O&amp;G (1970-80s)"/>
    <tableColumn id="4" xr3:uid="{00000000-0010-0000-0500-000004000000}" name="Telecoms (1990s)"/>
    <tableColumn id="5" xr3:uid="{00000000-0010-0000-0500-000005000000}" name="O&amp;G (Shale)"/>
  </tableColumns>
  <tableStyleInfo name="TableStyleLight1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hartPointsFirstHand" displayName="ChartPointsFirstHand" ref="A1:E124">
  <autoFilter ref="A1:E124" xr:uid="{00000000-0009-0000-0100-000007000000}"/>
  <tableColumns count="5">
    <tableColumn id="1" xr3:uid="{00000000-0010-0000-0600-000001000000}" name="Series"/>
    <tableColumn id="2" xr3:uid="{00000000-0010-0000-0600-000002000000}" name="Label"/>
    <tableColumn id="3" xr3:uid="{00000000-0010-0000-0600-000003000000}" name="Calendar position (year)"/>
    <tableColumn id="4" xr3:uid="{00000000-0010-0000-0600-000004000000}" name="Years since cycle start"/>
    <tableColumn id="5" xr3:uid="{00000000-0010-0000-0600-000005000000}" name="% of US GDP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A10295-BF82-4E74-A02F-E458C032067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7687f8fc-4076-42f2-9801-d44a8828b1c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showGridLines="0" topLeftCell="A15" workbookViewId="0"/>
  </sheetViews>
  <sheetFormatPr defaultRowHeight="15.75" x14ac:dyDescent="0.25"/>
  <cols>
    <col min="1" max="1" width="30" customWidth="1"/>
    <col min="2" max="3" width="10" customWidth="1"/>
    <col min="4" max="4" width="11" customWidth="1"/>
    <col min="5" max="5" width="9" customWidth="1"/>
    <col min="6" max="6" width="14" customWidth="1"/>
    <col min="7" max="7" width="10" customWidth="1"/>
    <col min="8" max="8" width="11" customWidth="1"/>
    <col min="9" max="9" width="14" customWidth="1"/>
    <col min="10" max="10" width="13" customWidth="1"/>
  </cols>
  <sheetData>
    <row r="1" spans="1:10" ht="18" x14ac:dyDescent="0.25">
      <c r="A1" s="1" t="s">
        <v>0</v>
      </c>
    </row>
    <row r="2" spans="1:10" x14ac:dyDescent="0.25">
      <c r="A2" s="2" t="s">
        <v>1</v>
      </c>
    </row>
    <row r="4" spans="1:10" ht="26.25" x14ac:dyDescent="0.25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spans="1:10" x14ac:dyDescent="0.25">
      <c r="A5" s="2" t="s">
        <v>12</v>
      </c>
      <c r="B5" s="2">
        <f>_xlfn.MINIFS(Annual!A2:A60,Annual!B2:B60,"&lt;&gt;")</f>
        <v>1899</v>
      </c>
      <c r="C5" s="2">
        <f>_xlfn.MAXIFS(Annual!A2:A60,Annual!B2:B60,"&lt;&gt;")</f>
        <v>1920</v>
      </c>
      <c r="D5" s="5">
        <f>INDEX(Annual!B2:B60,MATCH(B5,Annual!A2:A60,0))</f>
        <v>1.169</v>
      </c>
      <c r="E5" s="5">
        <f>MAX(Annual!B2:B60)</f>
        <v>2.3029999999999999</v>
      </c>
      <c r="F5" s="2">
        <f>INDEX(Annual!A2:A60,MATCH(E5,Annual!B2:B60,0))</f>
        <v>1910</v>
      </c>
      <c r="G5" s="5">
        <f>INDEX(Annual!B2:B60,MATCH(C5,Annual!A2:A60,0))</f>
        <v>0.72599999999999998</v>
      </c>
      <c r="H5" s="6">
        <f t="shared" ref="H5:H10" si="0">E5/D5</f>
        <v>1.9700598802395208</v>
      </c>
      <c r="I5" s="7">
        <f t="shared" ref="I5:I10" si="1">G5/E5-1</f>
        <v>-0.68475900998697359</v>
      </c>
      <c r="J5" s="8">
        <f>F5-B5</f>
        <v>11</v>
      </c>
    </row>
    <row r="6" spans="1:10" x14ac:dyDescent="0.25">
      <c r="A6" s="2" t="s">
        <v>13</v>
      </c>
      <c r="B6" s="2">
        <f>_xlfn.MINIFS(Annual!A2:A60,Annual!C2:C60,"&lt;&gt;")</f>
        <v>1972</v>
      </c>
      <c r="C6" s="2">
        <f>_xlfn.MAXIFS(Annual!A2:A60,Annual!C2:C60,"&lt;&gt;")</f>
        <v>1986</v>
      </c>
      <c r="D6" s="5">
        <f>INDEX(Annual!C2:C60,MATCH(B6,Annual!A2:A60,0))</f>
        <v>0.379</v>
      </c>
      <c r="E6" s="5">
        <f>MAX(Annual!C2:C60)</f>
        <v>1.972</v>
      </c>
      <c r="F6" s="2">
        <f>INDEX(Annual!A2:A60,MATCH(E6,Annual!C2:C60,0))</f>
        <v>1981</v>
      </c>
      <c r="G6" s="5">
        <f>INDEX(Annual!C2:C60,MATCH(C6,Annual!A2:A60,0))</f>
        <v>0.51600000000000001</v>
      </c>
      <c r="H6" s="6">
        <f t="shared" si="0"/>
        <v>5.2031662269129288</v>
      </c>
      <c r="I6" s="7">
        <f t="shared" si="1"/>
        <v>-0.73833671399594314</v>
      </c>
      <c r="J6" s="8">
        <f>F6-B6</f>
        <v>9</v>
      </c>
    </row>
    <row r="7" spans="1:10" x14ac:dyDescent="0.25">
      <c r="A7" s="2" t="s">
        <v>14</v>
      </c>
      <c r="B7" s="2">
        <f>_xlfn.MINIFS(Annual!A2:A60,Annual!D2:D60,"&lt;&gt;")</f>
        <v>1995</v>
      </c>
      <c r="C7" s="2">
        <f>_xlfn.MAXIFS(Annual!A2:A60,Annual!D2:D60,"&lt;&gt;")</f>
        <v>2003</v>
      </c>
      <c r="D7" s="5">
        <f>INDEX(Annual!D2:D60,MATCH(B7,Annual!A2:A60,0))</f>
        <v>1.054</v>
      </c>
      <c r="E7" s="5">
        <f>MAX(Annual!D2:D60)</f>
        <v>1.54</v>
      </c>
      <c r="F7" s="2">
        <f>INDEX(Annual!A2:A60,MATCH(E7,Annual!D2:D60,0))</f>
        <v>2000</v>
      </c>
      <c r="G7" s="5">
        <f>INDEX(Annual!D2:D60,MATCH(C7,Annual!A2:A60,0))</f>
        <v>0.78900000000000003</v>
      </c>
      <c r="H7" s="6">
        <f t="shared" si="0"/>
        <v>1.4611005692599621</v>
      </c>
      <c r="I7" s="7">
        <f t="shared" si="1"/>
        <v>-0.48766233766233769</v>
      </c>
      <c r="J7" s="8">
        <f>F7-B7</f>
        <v>5</v>
      </c>
    </row>
    <row r="8" spans="1:10" x14ac:dyDescent="0.25">
      <c r="A8" s="2" t="s">
        <v>15</v>
      </c>
      <c r="B8" s="2">
        <f>_xlfn.MINIFS(Annual!A2:A60,Annual!E2:E60,"&lt;&gt;")</f>
        <v>2002</v>
      </c>
      <c r="C8" s="2">
        <f>_xlfn.MAXIFS(Annual!A2:A60,Annual!E2:E60,"&lt;&gt;")</f>
        <v>2016</v>
      </c>
      <c r="D8" s="5">
        <f>INDEX(Annual!E2:E60,MATCH(B8,Annual!A2:A60,0))</f>
        <v>0.39500000000000002</v>
      </c>
      <c r="E8" s="5">
        <f>MAX(Annual!E2:E60)</f>
        <v>1.415</v>
      </c>
      <c r="F8" s="2">
        <f>INDEX(Annual!A2:A60,MATCH(E8,Annual!E2:E60,0))</f>
        <v>2014</v>
      </c>
      <c r="G8" s="5">
        <f>INDEX(Annual!E2:E60,MATCH(C8,Annual!A2:A60,0))</f>
        <v>0.56000000000000005</v>
      </c>
      <c r="H8" s="6">
        <f t="shared" si="0"/>
        <v>3.5822784810126582</v>
      </c>
      <c r="I8" s="7">
        <f t="shared" si="1"/>
        <v>-0.60424028268551233</v>
      </c>
      <c r="J8" s="8">
        <f>F8-B8</f>
        <v>12</v>
      </c>
    </row>
    <row r="9" spans="1:10" x14ac:dyDescent="0.25">
      <c r="A9" s="2" t="s">
        <v>16</v>
      </c>
      <c r="B9" s="2">
        <f>MIN(Hyperscalers!B2:B18)</f>
        <v>2021.5</v>
      </c>
      <c r="C9" s="2">
        <f>MAX(Hyperscalers!B2:B18)</f>
        <v>2025.5</v>
      </c>
      <c r="D9" s="5">
        <f>INDEX(Hyperscalers!C2:C18,1)</f>
        <v>0.53700000000000003</v>
      </c>
      <c r="E9" s="5">
        <f>MAX(Hyperscalers!C2:C18)</f>
        <v>1.536</v>
      </c>
      <c r="F9" s="2" t="str">
        <f>INDEX(Hyperscalers!A2:A18,MATCH(E9,Hyperscalers!C2:C18,0))</f>
        <v>TTM to 2026Q1</v>
      </c>
      <c r="G9" s="5">
        <f>INDEX(Hyperscalers!C2:C18,ROWS(Hyperscalers!C2:C18))</f>
        <v>1.536</v>
      </c>
      <c r="H9" s="6">
        <f t="shared" si="0"/>
        <v>2.8603351955307263</v>
      </c>
      <c r="I9" s="7">
        <f t="shared" si="1"/>
        <v>0</v>
      </c>
      <c r="J9" s="8">
        <f>INDEX(Hyperscalers!B2:B18,MATCH(E9,Hyperscalers!C2:C18,0))-B9</f>
        <v>4</v>
      </c>
    </row>
    <row r="10" spans="1:10" x14ac:dyDescent="0.25">
      <c r="A10" s="2" t="s">
        <v>17</v>
      </c>
      <c r="B10" s="2">
        <f>MIN(Hyperscalers!B2:B18)</f>
        <v>2021.5</v>
      </c>
      <c r="C10" s="2">
        <f>MAX(Hyperscalers!B2:B18)</f>
        <v>2025.5</v>
      </c>
      <c r="D10" s="5">
        <f>INDEX(Hyperscalers!D2:D18,1)</f>
        <v>0.61599999999999999</v>
      </c>
      <c r="E10" s="5">
        <f>MAX(Hyperscalers!D2:D18)</f>
        <v>1.702</v>
      </c>
      <c r="F10" s="2" t="str">
        <f>INDEX(Hyperscalers!A2:A18,MATCH(E10,Hyperscalers!D2:D18,0))</f>
        <v>TTM to 2026Q1</v>
      </c>
      <c r="G10" s="5">
        <f>INDEX(Hyperscalers!D2:D18,ROWS(Hyperscalers!D2:D18))</f>
        <v>1.702</v>
      </c>
      <c r="H10" s="6">
        <f t="shared" si="0"/>
        <v>2.7629870129870131</v>
      </c>
      <c r="I10" s="7">
        <f t="shared" si="1"/>
        <v>0</v>
      </c>
      <c r="J10" s="8">
        <f>INDEX(Hyperscalers!B2:B18,MATCH(E10,Hyperscalers!D2:D18,0))-B10</f>
        <v>4</v>
      </c>
    </row>
    <row r="12" spans="1:10" x14ac:dyDescent="0.25">
      <c r="A12" s="22" t="s">
        <v>18</v>
      </c>
      <c r="B12" s="23"/>
      <c r="C12" s="23"/>
      <c r="D12" s="23"/>
      <c r="E12" s="23"/>
      <c r="F12" s="23"/>
      <c r="G12" s="23"/>
      <c r="H12" s="23"/>
      <c r="I12" s="23"/>
      <c r="J12" s="23"/>
    </row>
    <row r="13" spans="1:10" x14ac:dyDescent="0.25">
      <c r="A13" s="23"/>
      <c r="B13" s="23"/>
      <c r="C13" s="23"/>
      <c r="D13" s="23"/>
      <c r="E13" s="23"/>
      <c r="F13" s="23"/>
      <c r="G13" s="23"/>
      <c r="H13" s="23"/>
      <c r="I13" s="23"/>
      <c r="J13" s="23"/>
    </row>
  </sheetData>
  <mergeCells count="1">
    <mergeCell ref="A12:J13"/>
  </mergeCells>
  <phoneticPr fontId="6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"/>
  <sheetViews>
    <sheetView showGridLines="0" topLeftCell="A11" workbookViewId="0">
      <selection activeCell="P28" sqref="P28"/>
    </sheetView>
  </sheetViews>
  <sheetFormatPr defaultRowHeight="15.75" x14ac:dyDescent="0.25"/>
  <cols>
    <col min="1" max="1" width="36" customWidth="1"/>
    <col min="2" max="3" width="10" customWidth="1"/>
    <col min="4" max="4" width="11" customWidth="1"/>
    <col min="5" max="5" width="9" customWidth="1"/>
    <col min="6" max="6" width="14" customWidth="1"/>
    <col min="7" max="7" width="10" customWidth="1"/>
    <col min="8" max="8" width="11" customWidth="1"/>
    <col min="9" max="9" width="14" customWidth="1"/>
    <col min="10" max="10" width="13" customWidth="1"/>
    <col min="11" max="11" width="12" customWidth="1"/>
    <col min="12" max="12" width="14" customWidth="1"/>
  </cols>
  <sheetData>
    <row r="1" spans="1:12" ht="18" x14ac:dyDescent="0.25">
      <c r="A1" s="1" t="s">
        <v>19</v>
      </c>
    </row>
    <row r="2" spans="1:12" x14ac:dyDescent="0.25">
      <c r="A2" s="2" t="s">
        <v>20</v>
      </c>
    </row>
    <row r="4" spans="1:12" ht="39" x14ac:dyDescent="0.25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21</v>
      </c>
      <c r="L4" s="4" t="s">
        <v>22</v>
      </c>
    </row>
    <row r="5" spans="1:12" x14ac:dyDescent="0.25">
      <c r="A5" s="2" t="s">
        <v>23</v>
      </c>
      <c r="B5" s="2">
        <f>_xlfn.MINIFS('Annual (first-hand)'!A2:A60,'Annual (first-hand)'!B2:B60,"&lt;&gt;")</f>
        <v>1899</v>
      </c>
      <c r="C5" s="2">
        <f>_xlfn.MAXIFS('Annual (first-hand)'!A2:A60,'Annual (first-hand)'!B2:B60,"&lt;&gt;")</f>
        <v>1920</v>
      </c>
      <c r="D5" s="5">
        <f>INDEX('Annual (first-hand)'!B2:B60,MATCH(B5,'Annual (first-hand)'!A2:A60,0))</f>
        <v>1.1705202312138729</v>
      </c>
      <c r="E5" s="5">
        <f>MAX('Annual (first-hand)'!B2:B60)</f>
        <v>2.3030303030303028</v>
      </c>
      <c r="F5" s="2">
        <f>INDEX('Annual (first-hand)'!A2:A60,MATCH(E5,'Annual (first-hand)'!B2:B60,0))</f>
        <v>1910</v>
      </c>
      <c r="G5" s="5">
        <f>INDEX('Annual (first-hand)'!B2:B60,MATCH(C5,'Annual (first-hand)'!A2:A60,0))</f>
        <v>0.7270072992700729</v>
      </c>
      <c r="H5" s="6">
        <f t="shared" ref="H5:H10" si="0">E5/D5</f>
        <v>1.9675271230826783</v>
      </c>
      <c r="I5" s="7">
        <f t="shared" ref="I5:I10" si="1">G5/E5-1</f>
        <v>-0.68432577794852101</v>
      </c>
      <c r="J5" s="8">
        <f>F5-B5</f>
        <v>11</v>
      </c>
      <c r="K5" s="5">
        <f>Summary!E5</f>
        <v>2.3029999999999999</v>
      </c>
      <c r="L5" s="9">
        <f>E5-K5</f>
        <v>3.0303030302825107E-5</v>
      </c>
    </row>
    <row r="6" spans="1:12" x14ac:dyDescent="0.25">
      <c r="A6" s="2" t="s">
        <v>24</v>
      </c>
      <c r="B6" s="2">
        <f>_xlfn.MINIFS('Annual (first-hand)'!A2:A60,'Annual (first-hand)'!C2:C60,"&lt;&gt;")</f>
        <v>1972</v>
      </c>
      <c r="C6" s="2">
        <f>_xlfn.MAXIFS('Annual (first-hand)'!A2:A60,'Annual (first-hand)'!C2:C60,"&lt;&gt;")</f>
        <v>1986</v>
      </c>
      <c r="D6" s="5">
        <f>INDEX('Annual (first-hand)'!C2:C60,MATCH(B6,'Annual (first-hand)'!A2:A60,0))</f>
        <v>0.38010804387425634</v>
      </c>
      <c r="E6" s="5">
        <f>MAX('Annual (first-hand)'!C2:C60)</f>
        <v>1.9725659883986515</v>
      </c>
      <c r="F6" s="2">
        <f>INDEX('Annual (first-hand)'!A2:A60,MATCH(E6,'Annual (first-hand)'!C2:C60,0))</f>
        <v>1981</v>
      </c>
      <c r="G6" s="5">
        <f>INDEX('Annual (first-hand)'!C2:C60,MATCH(C6,'Annual (first-hand)'!A2:A60,0))</f>
        <v>0.51707222699820143</v>
      </c>
      <c r="H6" s="6">
        <f t="shared" si="0"/>
        <v>5.18948762118593</v>
      </c>
      <c r="I6" s="7">
        <f t="shared" si="1"/>
        <v>-0.73786822340074631</v>
      </c>
      <c r="J6" s="8">
        <f>F6-B6</f>
        <v>9</v>
      </c>
      <c r="K6" s="5">
        <f>Summary!E6</f>
        <v>1.972</v>
      </c>
      <c r="L6" s="9">
        <f>E6-K6</f>
        <v>5.6598839865151795E-4</v>
      </c>
    </row>
    <row r="7" spans="1:12" x14ac:dyDescent="0.25">
      <c r="A7" s="2" t="s">
        <v>25</v>
      </c>
      <c r="B7" s="2">
        <f>_xlfn.MINIFS('Annual (first-hand)'!A2:A60,'Annual (first-hand)'!D2:D60,"&lt;&gt;")</f>
        <v>1995</v>
      </c>
      <c r="C7" s="2">
        <f>_xlfn.MAXIFS('Annual (first-hand)'!A2:A60,'Annual (first-hand)'!D2:D60,"&lt;&gt;")</f>
        <v>2003</v>
      </c>
      <c r="D7" s="5">
        <f>INDEX('Annual (first-hand)'!D2:D60,MATCH(B7,'Annual (first-hand)'!A2:A60,0))</f>
        <v>1.0547205150326275</v>
      </c>
      <c r="E7" s="5">
        <f>MAX('Annual (first-hand)'!D2:D60)</f>
        <v>1.540588620452032</v>
      </c>
      <c r="F7" s="2">
        <f>INDEX('Annual (first-hand)'!A2:A60,MATCH(E7,'Annual (first-hand)'!D2:D60,0))</f>
        <v>2000</v>
      </c>
      <c r="G7" s="5">
        <f>INDEX('Annual (first-hand)'!D2:D60,MATCH(C7,'Annual (first-hand)'!A2:A60,0))</f>
        <v>0.78955522871395589</v>
      </c>
      <c r="H7" s="6">
        <f t="shared" si="0"/>
        <v>1.4606605242758308</v>
      </c>
      <c r="I7" s="7">
        <f t="shared" si="1"/>
        <v>-0.48749768871959576</v>
      </c>
      <c r="J7" s="8">
        <f>F7-B7</f>
        <v>5</v>
      </c>
      <c r="K7" s="5">
        <f>Summary!E7</f>
        <v>1.54</v>
      </c>
      <c r="L7" s="9">
        <f>E7-K7</f>
        <v>5.8862045203200708E-4</v>
      </c>
    </row>
    <row r="8" spans="1:12" x14ac:dyDescent="0.25">
      <c r="A8" s="2" t="s">
        <v>26</v>
      </c>
      <c r="B8" s="2">
        <f>_xlfn.MINIFS('Annual (first-hand)'!A2:A60,'Annual (first-hand)'!E2:E60,"&lt;&gt;")</f>
        <v>2002</v>
      </c>
      <c r="C8" s="2">
        <f>_xlfn.MAXIFS('Annual (first-hand)'!A2:A60,'Annual (first-hand)'!E2:E60,"&lt;&gt;")</f>
        <v>2016</v>
      </c>
      <c r="D8" s="5">
        <f>INDEX('Annual (first-hand)'!E2:E60,MATCH(B8,'Annual (first-hand)'!A2:A60,0))</f>
        <v>0.3961073492914518</v>
      </c>
      <c r="E8" s="5">
        <f>MAX('Annual (first-hand)'!E2:E60)</f>
        <v>1.4153001299739927</v>
      </c>
      <c r="F8" s="2">
        <f>INDEX('Annual (first-hand)'!A2:A60,MATCH(E8,'Annual (first-hand)'!E2:E60,0))</f>
        <v>2014</v>
      </c>
      <c r="G8" s="5">
        <f>INDEX('Annual (first-hand)'!E2:E60,MATCH(C8,'Annual (first-hand)'!A2:A60,0))</f>
        <v>0.5610927314579971</v>
      </c>
      <c r="H8" s="6">
        <f t="shared" si="0"/>
        <v>3.5730216379616553</v>
      </c>
      <c r="I8" s="7">
        <f t="shared" si="1"/>
        <v>-0.6035521232741583</v>
      </c>
      <c r="J8" s="8">
        <f>F8-B8</f>
        <v>12</v>
      </c>
      <c r="K8" s="5">
        <f>Summary!E8</f>
        <v>1.415</v>
      </c>
      <c r="L8" s="9">
        <f>E8-K8</f>
        <v>3.0012997399264663E-4</v>
      </c>
    </row>
    <row r="9" spans="1:12" x14ac:dyDescent="0.25">
      <c r="A9" s="2" t="s">
        <v>27</v>
      </c>
      <c r="B9" s="2" t="str">
        <f>INDEX('Hyperscalers first-hand'!A10:A27,MATCH(TRUE,INDEX(ISNUMBER('Hyperscalers first-hand'!K10:K27),0),0))</f>
        <v>2022Q1</v>
      </c>
      <c r="C9" s="2" t="str">
        <f>LOOKUP(2,1/ISNUMBER('Hyperscalers first-hand'!K10:K27),'Hyperscalers first-hand'!A10:A27)</f>
        <v>2026Q2</v>
      </c>
      <c r="D9" s="5">
        <f>INDEX('Hyperscalers first-hand'!K10:K27,MATCH(TRUE,INDEX(ISNUMBER('Hyperscalers first-hand'!K10:K27),0),0))</f>
        <v>0.5730701131853253</v>
      </c>
      <c r="E9" s="5">
        <f>MAX('Hyperscalers first-hand'!K10:K27)</f>
        <v>1.803229353902648</v>
      </c>
      <c r="F9" s="2" t="str">
        <f>INDEX('Hyperscalers first-hand'!A10:A27,MATCH(E9,'Hyperscalers first-hand'!K10:K27,0))</f>
        <v>2026Q2</v>
      </c>
      <c r="G9" s="5">
        <f>LOOKUP(2,1/ISNUMBER('Hyperscalers first-hand'!K10:K27),'Hyperscalers first-hand'!K10:K27)</f>
        <v>1.803229353902648</v>
      </c>
      <c r="H9" s="6">
        <f t="shared" si="0"/>
        <v>3.1466121028012872</v>
      </c>
      <c r="I9" s="7">
        <f t="shared" si="1"/>
        <v>0</v>
      </c>
      <c r="J9" s="8">
        <f>(MATCH(E9,'Hyperscalers first-hand'!K10:K27,0)-MATCH(TRUE,INDEX(ISNUMBER('Hyperscalers first-hand'!K10:K27),0),0))/4</f>
        <v>4.25</v>
      </c>
      <c r="K9" s="5">
        <f>Summary!E9</f>
        <v>1.536</v>
      </c>
      <c r="L9" s="9">
        <f>E9-K9</f>
        <v>0.26722935390264801</v>
      </c>
    </row>
    <row r="10" spans="1:12" x14ac:dyDescent="0.25">
      <c r="A10" s="2" t="s">
        <v>28</v>
      </c>
      <c r="B10" s="2" t="str">
        <f>INDEX('Hyperscalers first-hand'!A17:A27,MATCH(TRUE,INDEX(ISNUMBER('Hyperscalers first-hand'!S17:S27),0),0))</f>
        <v>2023Q4</v>
      </c>
      <c r="C10" s="2" t="str">
        <f>LOOKUP(2,1/ISNUMBER('Hyperscalers first-hand'!S17:S27),'Hyperscalers first-hand'!A17:A27)</f>
        <v>2026Q2</v>
      </c>
      <c r="D10" s="5">
        <f>INDEX('Hyperscalers first-hand'!S17:S27,MATCH(TRUE,INDEX(ISNUMBER('Hyperscalers first-hand'!S17:S27),0),0))</f>
        <v>0.56541918768175803</v>
      </c>
      <c r="E10" s="5">
        <f>MAX('Hyperscalers first-hand'!S17:S27)</f>
        <v>2.0067337821122821</v>
      </c>
      <c r="F10" s="2" t="str">
        <f>INDEX('Hyperscalers first-hand'!A17:A27,MATCH(E10,'Hyperscalers first-hand'!S17:S27,0))</f>
        <v>2026Q2</v>
      </c>
      <c r="G10" s="5">
        <f>LOOKUP(2,1/ISNUMBER('Hyperscalers first-hand'!S17:S27),'Hyperscalers first-hand'!S17:S27)</f>
        <v>2.0067337821122821</v>
      </c>
      <c r="H10" s="6">
        <f t="shared" si="0"/>
        <v>3.5491080349430186</v>
      </c>
      <c r="I10" s="7">
        <f t="shared" si="1"/>
        <v>0</v>
      </c>
      <c r="J10" s="8">
        <f>(MATCH(E10,'Hyperscalers first-hand'!S17:S27,0)-MATCH(TRUE,INDEX(ISNUMBER('Hyperscalers first-hand'!S17:S27),0),0))/4</f>
        <v>2.5</v>
      </c>
    </row>
    <row r="12" spans="1:12" x14ac:dyDescent="0.25">
      <c r="A12" s="24" t="s">
        <v>29</v>
      </c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</row>
    <row r="13" spans="1:12" x14ac:dyDescent="0.25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</row>
    <row r="14" spans="1:12" x14ac:dyDescent="0.25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</row>
  </sheetData>
  <mergeCells count="1">
    <mergeCell ref="A12:L14"/>
  </mergeCells>
  <phoneticPr fontId="6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showGridLines="0" workbookViewId="0"/>
  </sheetViews>
  <sheetFormatPr defaultRowHeight="15.75" x14ac:dyDescent="0.25"/>
  <cols>
    <col min="1" max="1" width="24" customWidth="1"/>
    <col min="2" max="2" width="90" customWidth="1"/>
    <col min="3" max="3" width="8" customWidth="1"/>
    <col min="4" max="5" width="13" customWidth="1"/>
    <col min="6" max="6" width="22" customWidth="1"/>
  </cols>
  <sheetData>
    <row r="1" spans="1:6" x14ac:dyDescent="0.25">
      <c r="A1" s="11" t="s">
        <v>30</v>
      </c>
    </row>
    <row r="3" spans="1:6" ht="26.25" x14ac:dyDescent="0.25">
      <c r="A3" s="3" t="s">
        <v>31</v>
      </c>
      <c r="B3" s="4" t="s">
        <v>32</v>
      </c>
      <c r="C3" s="4" t="s">
        <v>33</v>
      </c>
      <c r="D3" s="4" t="s">
        <v>34</v>
      </c>
      <c r="E3" s="4" t="s">
        <v>35</v>
      </c>
      <c r="F3" s="4" t="s">
        <v>36</v>
      </c>
    </row>
    <row r="4" spans="1:6" x14ac:dyDescent="0.25">
      <c r="A4" s="2" t="s">
        <v>37</v>
      </c>
      <c r="B4" s="2" t="s">
        <v>38</v>
      </c>
      <c r="C4" s="12">
        <v>22</v>
      </c>
      <c r="D4" s="13">
        <f>_xlfn.MAXIFS('First-hand detail'!$K$2:$K$79,'First-hand detail'!$A$2:$A$79,"rail")</f>
        <v>1.6517412935321829E-3</v>
      </c>
      <c r="E4" s="13">
        <f>AVERAGEIFS('First-hand detail'!$K$2:$K$79,'First-hand detail'!$A$2:$A$79,"rail")</f>
        <v>7.7440752297770884E-4</v>
      </c>
      <c r="F4" s="2" t="s">
        <v>39</v>
      </c>
    </row>
    <row r="5" spans="1:6" x14ac:dyDescent="0.25">
      <c r="A5" s="2" t="s">
        <v>40</v>
      </c>
      <c r="B5" s="2" t="s">
        <v>41</v>
      </c>
      <c r="C5" s="12">
        <v>15</v>
      </c>
      <c r="D5" s="13">
        <f>_xlfn.MAXIFS('First-hand detail'!$K$2:$K$79,'First-hand detail'!$A$2:$A$79,"og70s")</f>
        <v>1.4914903351770925E-3</v>
      </c>
      <c r="E5" s="13">
        <f>AVERAGEIFS('First-hand detail'!$K$2:$K$79,'First-hand detail'!$A$2:$A$79,"og70s")</f>
        <v>7.7202158123589331E-4</v>
      </c>
      <c r="F5" s="2" t="s">
        <v>39</v>
      </c>
    </row>
    <row r="6" spans="1:6" x14ac:dyDescent="0.25">
      <c r="A6" s="2" t="s">
        <v>42</v>
      </c>
      <c r="B6" s="2" t="s">
        <v>41</v>
      </c>
      <c r="C6" s="12">
        <v>15</v>
      </c>
      <c r="D6" s="13">
        <f>_xlfn.MAXIFS('First-hand detail'!$K$2:$K$79,'First-hand detail'!$A$2:$A$79,"shale")</f>
        <v>1.3996431897926875E-3</v>
      </c>
      <c r="E6" s="13">
        <f>AVERAGEIFS('First-hand detail'!$K$2:$K$79,'First-hand detail'!$A$2:$A$79,"shale")</f>
        <v>7.0624623503021675E-4</v>
      </c>
      <c r="F6" s="2" t="s">
        <v>39</v>
      </c>
    </row>
    <row r="7" spans="1:6" x14ac:dyDescent="0.25">
      <c r="A7" s="2" t="s">
        <v>43</v>
      </c>
      <c r="B7" s="2" t="s">
        <v>44</v>
      </c>
      <c r="C7" s="12">
        <v>9</v>
      </c>
      <c r="D7" s="13">
        <f>_xlfn.MAXIFS('First-hand detail'!$K$2:$K$79,'First-hand detail'!$A$2:$A$79,"telecom")</f>
        <v>1.1902302479758209E-3</v>
      </c>
      <c r="E7" s="13">
        <f>AVERAGEIFS('First-hand detail'!$K$2:$K$79,'First-hand detail'!$A$2:$A$79,"telecom")</f>
        <v>6.7770967553483345E-4</v>
      </c>
      <c r="F7" s="2" t="s">
        <v>39</v>
      </c>
    </row>
    <row r="8" spans="1:6" x14ac:dyDescent="0.25">
      <c r="A8" s="2" t="s">
        <v>16</v>
      </c>
      <c r="B8" s="2" t="s">
        <v>45</v>
      </c>
      <c r="C8" s="12">
        <v>17</v>
      </c>
      <c r="D8" s="13">
        <f>_xlfn.MAXIFS('First-hand detail'!$K$2:$K$79,'First-hand detail'!$A$2:$A$79,"hyper")</f>
        <v>3.607011318532527E-2</v>
      </c>
      <c r="E8" s="13">
        <f>AVERAGEIFS('First-hand detail'!$K$2:$K$79,'First-hand detail'!$A$2:$A$79,"hyper")</f>
        <v>1.4525623407829251E-2</v>
      </c>
      <c r="F8" s="2" t="s">
        <v>46</v>
      </c>
    </row>
    <row r="9" spans="1:6" ht="45" customHeight="1" x14ac:dyDescent="0.25">
      <c r="A9" s="10" t="s">
        <v>17</v>
      </c>
      <c r="B9" s="10" t="s">
        <v>47</v>
      </c>
      <c r="C9" s="14"/>
      <c r="D9" s="14"/>
      <c r="E9" s="14"/>
      <c r="F9" s="10" t="s">
        <v>48</v>
      </c>
    </row>
    <row r="11" spans="1:6" x14ac:dyDescent="0.25">
      <c r="A11" s="2" t="s">
        <v>49</v>
      </c>
    </row>
    <row r="12" spans="1:6" x14ac:dyDescent="0.25">
      <c r="A12" s="2" t="s">
        <v>50</v>
      </c>
    </row>
    <row r="13" spans="1:6" x14ac:dyDescent="0.25">
      <c r="A13" s="2" t="s">
        <v>51</v>
      </c>
    </row>
    <row r="14" spans="1:6" x14ac:dyDescent="0.25">
      <c r="A14" s="2" t="s">
        <v>52</v>
      </c>
    </row>
    <row r="15" spans="1:6" x14ac:dyDescent="0.25">
      <c r="A15" s="2" t="s">
        <v>53</v>
      </c>
    </row>
    <row r="16" spans="1:6" x14ac:dyDescent="0.25">
      <c r="A16" s="2" t="s">
        <v>54</v>
      </c>
    </row>
  </sheetData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9"/>
  <sheetViews>
    <sheetView showGridLines="0" tabSelected="1" workbookViewId="0">
      <pane ySplit="1" topLeftCell="A54" activePane="bottomLeft" state="frozen"/>
      <selection pane="bottomLeft" activeCell="D54" sqref="D54"/>
    </sheetView>
  </sheetViews>
  <sheetFormatPr defaultRowHeight="15.75" x14ac:dyDescent="0.25"/>
  <cols>
    <col min="1" max="1" width="9" customWidth="1"/>
    <col min="2" max="2" width="15" customWidth="1"/>
    <col min="3" max="3" width="14" customWidth="1"/>
    <col min="4" max="4" width="30" customWidth="1"/>
    <col min="5" max="5" width="15" customWidth="1"/>
    <col min="6" max="6" width="30" customWidth="1"/>
    <col min="7" max="7" width="7" customWidth="1"/>
    <col min="8" max="9" width="12" customWidth="1"/>
    <col min="10" max="11" width="11" customWidth="1"/>
    <col min="12" max="12" width="80" customWidth="1"/>
  </cols>
  <sheetData>
    <row r="1" spans="1:12" ht="26.25" x14ac:dyDescent="0.25">
      <c r="A1" s="3" t="s">
        <v>55</v>
      </c>
      <c r="B1" s="4" t="s">
        <v>56</v>
      </c>
      <c r="C1" s="4" t="s">
        <v>57</v>
      </c>
      <c r="D1" s="4" t="s">
        <v>58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65</v>
      </c>
      <c r="L1" s="4" t="s">
        <v>66</v>
      </c>
    </row>
    <row r="2" spans="1:12" hidden="1" x14ac:dyDescent="0.25">
      <c r="A2" s="2" t="s">
        <v>67</v>
      </c>
      <c r="B2" s="2" t="s">
        <v>68</v>
      </c>
      <c r="C2" s="15">
        <v>405</v>
      </c>
      <c r="D2" s="2" t="s">
        <v>69</v>
      </c>
      <c r="E2" s="15">
        <v>34.6</v>
      </c>
      <c r="F2" s="2" t="s">
        <v>70</v>
      </c>
      <c r="G2" s="16">
        <v>1E-3</v>
      </c>
      <c r="H2" s="13">
        <f t="shared" ref="H2:H33" si="0">C2*G2/E2*100</f>
        <v>1.1705202312138729</v>
      </c>
      <c r="I2" s="16">
        <v>1.169</v>
      </c>
      <c r="J2" s="17">
        <f t="shared" ref="J2:J33" si="1">I2-H2</f>
        <v>-1.5202312138729024E-3</v>
      </c>
      <c r="K2" s="13">
        <f t="shared" ref="K2:K33" si="2">ABS(J2)</f>
        <v>1.5202312138729024E-3</v>
      </c>
      <c r="L2" s="2" t="s">
        <v>38</v>
      </c>
    </row>
    <row r="3" spans="1:12" hidden="1" x14ac:dyDescent="0.25">
      <c r="A3" s="2" t="s">
        <v>67</v>
      </c>
      <c r="B3" s="2" t="s">
        <v>71</v>
      </c>
      <c r="C3" s="15">
        <v>452</v>
      </c>
      <c r="D3" s="2" t="s">
        <v>69</v>
      </c>
      <c r="E3" s="15">
        <v>36.200000000000003</v>
      </c>
      <c r="F3" s="2" t="s">
        <v>70</v>
      </c>
      <c r="G3" s="16">
        <v>1E-3</v>
      </c>
      <c r="H3" s="13">
        <f t="shared" si="0"/>
        <v>1.2486187845303867</v>
      </c>
      <c r="I3" s="16">
        <v>1.2470000000000001</v>
      </c>
      <c r="J3" s="17">
        <f t="shared" si="1"/>
        <v>-1.6187845303865522E-3</v>
      </c>
      <c r="K3" s="13">
        <f t="shared" si="2"/>
        <v>1.6187845303865522E-3</v>
      </c>
      <c r="L3" s="2" t="s">
        <v>38</v>
      </c>
    </row>
    <row r="4" spans="1:12" hidden="1" x14ac:dyDescent="0.25">
      <c r="A4" s="2" t="s">
        <v>67</v>
      </c>
      <c r="B4" s="2" t="s">
        <v>72</v>
      </c>
      <c r="C4" s="15">
        <v>414</v>
      </c>
      <c r="D4" s="2" t="s">
        <v>69</v>
      </c>
      <c r="E4" s="15">
        <v>39.5</v>
      </c>
      <c r="F4" s="2" t="s">
        <v>70</v>
      </c>
      <c r="G4" s="16">
        <v>1E-3</v>
      </c>
      <c r="H4" s="13">
        <f t="shared" si="0"/>
        <v>1.0481012658227848</v>
      </c>
      <c r="I4" s="16">
        <v>1.0469999999999999</v>
      </c>
      <c r="J4" s="17">
        <f t="shared" si="1"/>
        <v>-1.1012658227849137E-3</v>
      </c>
      <c r="K4" s="13">
        <f t="shared" si="2"/>
        <v>1.1012658227849137E-3</v>
      </c>
      <c r="L4" s="2" t="s">
        <v>38</v>
      </c>
    </row>
    <row r="5" spans="1:12" hidden="1" x14ac:dyDescent="0.25">
      <c r="A5" s="2" t="s">
        <v>67</v>
      </c>
      <c r="B5" s="2" t="s">
        <v>73</v>
      </c>
      <c r="C5" s="15">
        <v>430</v>
      </c>
      <c r="D5" s="2" t="s">
        <v>69</v>
      </c>
      <c r="E5" s="15">
        <v>40.200000000000003</v>
      </c>
      <c r="F5" s="2" t="s">
        <v>70</v>
      </c>
      <c r="G5" s="16">
        <v>1E-3</v>
      </c>
      <c r="H5" s="13">
        <f t="shared" si="0"/>
        <v>1.0696517412935322</v>
      </c>
      <c r="I5" s="16">
        <v>1.0680000000000001</v>
      </c>
      <c r="J5" s="17">
        <f t="shared" si="1"/>
        <v>-1.6517412935321829E-3</v>
      </c>
      <c r="K5" s="13">
        <f t="shared" si="2"/>
        <v>1.6517412935321829E-3</v>
      </c>
      <c r="L5" s="2" t="s">
        <v>38</v>
      </c>
    </row>
    <row r="6" spans="1:12" hidden="1" x14ac:dyDescent="0.25">
      <c r="A6" s="2" t="s">
        <v>67</v>
      </c>
      <c r="B6" s="2" t="s">
        <v>74</v>
      </c>
      <c r="C6" s="15">
        <v>452</v>
      </c>
      <c r="D6" s="2" t="s">
        <v>69</v>
      </c>
      <c r="E6" s="15">
        <v>42.3</v>
      </c>
      <c r="F6" s="2" t="s">
        <v>70</v>
      </c>
      <c r="G6" s="16">
        <v>1E-3</v>
      </c>
      <c r="H6" s="13">
        <f t="shared" si="0"/>
        <v>1.0685579196217494</v>
      </c>
      <c r="I6" s="16">
        <v>1.0680000000000001</v>
      </c>
      <c r="J6" s="17">
        <f t="shared" si="1"/>
        <v>-5.5791962174933651E-4</v>
      </c>
      <c r="K6" s="13">
        <f t="shared" si="2"/>
        <v>5.5791962174933651E-4</v>
      </c>
      <c r="L6" s="2" t="s">
        <v>38</v>
      </c>
    </row>
    <row r="7" spans="1:12" hidden="1" x14ac:dyDescent="0.25">
      <c r="A7" s="2" t="s">
        <v>67</v>
      </c>
      <c r="B7" s="2" t="s">
        <v>75</v>
      </c>
      <c r="C7" s="15">
        <v>524</v>
      </c>
      <c r="D7" s="2" t="s">
        <v>69</v>
      </c>
      <c r="E7" s="15">
        <v>41.8</v>
      </c>
      <c r="F7" s="2" t="s">
        <v>70</v>
      </c>
      <c r="G7" s="16">
        <v>1E-3</v>
      </c>
      <c r="H7" s="13">
        <f t="shared" si="0"/>
        <v>1.2535885167464116</v>
      </c>
      <c r="I7" s="16">
        <v>1.252</v>
      </c>
      <c r="J7" s="17">
        <f t="shared" si="1"/>
        <v>-1.5885167464115835E-3</v>
      </c>
      <c r="K7" s="13">
        <f t="shared" si="2"/>
        <v>1.5885167464115835E-3</v>
      </c>
      <c r="L7" s="2" t="s">
        <v>38</v>
      </c>
    </row>
    <row r="8" spans="1:12" hidden="1" x14ac:dyDescent="0.25">
      <c r="A8" s="2" t="s">
        <v>67</v>
      </c>
      <c r="B8" s="2" t="s">
        <v>76</v>
      </c>
      <c r="C8" s="15">
        <v>662</v>
      </c>
      <c r="D8" s="2" t="s">
        <v>69</v>
      </c>
      <c r="E8" s="15">
        <v>44.4</v>
      </c>
      <c r="F8" s="2" t="s">
        <v>70</v>
      </c>
      <c r="G8" s="16">
        <v>1E-3</v>
      </c>
      <c r="H8" s="13">
        <f t="shared" si="0"/>
        <v>1.4909909909909911</v>
      </c>
      <c r="I8" s="16">
        <v>1.49</v>
      </c>
      <c r="J8" s="17">
        <f t="shared" si="1"/>
        <v>-9.9099099099109189E-4</v>
      </c>
      <c r="K8" s="13">
        <f t="shared" si="2"/>
        <v>9.9099099099109189E-4</v>
      </c>
      <c r="L8" s="2" t="s">
        <v>38</v>
      </c>
    </row>
    <row r="9" spans="1:12" hidden="1" x14ac:dyDescent="0.25">
      <c r="A9" s="2" t="s">
        <v>67</v>
      </c>
      <c r="B9" s="2" t="s">
        <v>77</v>
      </c>
      <c r="C9" s="15">
        <v>883</v>
      </c>
      <c r="D9" s="2" t="s">
        <v>69</v>
      </c>
      <c r="E9" s="15">
        <v>49.1</v>
      </c>
      <c r="F9" s="2" t="s">
        <v>70</v>
      </c>
      <c r="G9" s="16">
        <v>1E-3</v>
      </c>
      <c r="H9" s="13">
        <f t="shared" si="0"/>
        <v>1.7983706720977595</v>
      </c>
      <c r="I9" s="16">
        <v>1.798</v>
      </c>
      <c r="J9" s="17">
        <f t="shared" si="1"/>
        <v>-3.70672097759428E-4</v>
      </c>
      <c r="K9" s="13">
        <f t="shared" si="2"/>
        <v>3.70672097759428E-4</v>
      </c>
      <c r="L9" s="2" t="s">
        <v>38</v>
      </c>
    </row>
    <row r="10" spans="1:12" hidden="1" x14ac:dyDescent="0.25">
      <c r="A10" s="2" t="s">
        <v>67</v>
      </c>
      <c r="B10" s="2" t="s">
        <v>78</v>
      </c>
      <c r="C10" s="15">
        <v>1023</v>
      </c>
      <c r="D10" s="2" t="s">
        <v>69</v>
      </c>
      <c r="E10" s="15">
        <v>50.5</v>
      </c>
      <c r="F10" s="2" t="s">
        <v>70</v>
      </c>
      <c r="G10" s="16">
        <v>1E-3</v>
      </c>
      <c r="H10" s="13">
        <f t="shared" si="0"/>
        <v>2.0257425742574262</v>
      </c>
      <c r="I10" s="16">
        <v>2.0259999999999998</v>
      </c>
      <c r="J10" s="17">
        <f t="shared" si="1"/>
        <v>2.5742574257359152E-4</v>
      </c>
      <c r="K10" s="13">
        <f t="shared" si="2"/>
        <v>2.5742574257359152E-4</v>
      </c>
      <c r="L10" s="2" t="s">
        <v>38</v>
      </c>
    </row>
    <row r="11" spans="1:12" hidden="1" x14ac:dyDescent="0.25">
      <c r="A11" s="2" t="s">
        <v>67</v>
      </c>
      <c r="B11" s="2" t="s">
        <v>79</v>
      </c>
      <c r="C11" s="15">
        <v>1042</v>
      </c>
      <c r="D11" s="2" t="s">
        <v>69</v>
      </c>
      <c r="E11" s="15">
        <v>46.9</v>
      </c>
      <c r="F11" s="2" t="s">
        <v>70</v>
      </c>
      <c r="G11" s="16">
        <v>1E-3</v>
      </c>
      <c r="H11" s="13">
        <f t="shared" si="0"/>
        <v>2.2217484008528783</v>
      </c>
      <c r="I11" s="16">
        <v>2.2210000000000001</v>
      </c>
      <c r="J11" s="17">
        <f t="shared" si="1"/>
        <v>-7.4840085287819491E-4</v>
      </c>
      <c r="K11" s="13">
        <f t="shared" si="2"/>
        <v>7.4840085287819491E-4</v>
      </c>
      <c r="L11" s="2" t="s">
        <v>38</v>
      </c>
    </row>
    <row r="12" spans="1:12" hidden="1" x14ac:dyDescent="0.25">
      <c r="A12" s="2" t="s">
        <v>67</v>
      </c>
      <c r="B12" s="2" t="s">
        <v>80</v>
      </c>
      <c r="C12" s="15">
        <v>1102</v>
      </c>
      <c r="D12" s="2" t="s">
        <v>69</v>
      </c>
      <c r="E12" s="15">
        <v>52.1</v>
      </c>
      <c r="F12" s="2" t="s">
        <v>70</v>
      </c>
      <c r="G12" s="16">
        <v>1E-3</v>
      </c>
      <c r="H12" s="13">
        <f t="shared" si="0"/>
        <v>2.1151631477927064</v>
      </c>
      <c r="I12" s="16">
        <v>2.1150000000000002</v>
      </c>
      <c r="J12" s="17">
        <f t="shared" si="1"/>
        <v>-1.6314779270620861E-4</v>
      </c>
      <c r="K12" s="13">
        <f t="shared" si="2"/>
        <v>1.6314779270620861E-4</v>
      </c>
      <c r="L12" s="2" t="s">
        <v>38</v>
      </c>
    </row>
    <row r="13" spans="1:12" hidden="1" x14ac:dyDescent="0.25">
      <c r="A13" s="2" t="s">
        <v>67</v>
      </c>
      <c r="B13" s="2" t="s">
        <v>81</v>
      </c>
      <c r="C13" s="15">
        <v>1216</v>
      </c>
      <c r="D13" s="2" t="s">
        <v>69</v>
      </c>
      <c r="E13" s="15">
        <v>52.8</v>
      </c>
      <c r="F13" s="2" t="s">
        <v>70</v>
      </c>
      <c r="G13" s="16">
        <v>1E-3</v>
      </c>
      <c r="H13" s="13">
        <f t="shared" si="0"/>
        <v>2.3030303030303028</v>
      </c>
      <c r="I13" s="16">
        <v>2.3029999999999999</v>
      </c>
      <c r="J13" s="17">
        <f t="shared" si="1"/>
        <v>-3.0303030302825107E-5</v>
      </c>
      <c r="K13" s="13">
        <f t="shared" si="2"/>
        <v>3.0303030302825107E-5</v>
      </c>
      <c r="L13" s="2" t="s">
        <v>38</v>
      </c>
    </row>
    <row r="14" spans="1:12" hidden="1" x14ac:dyDescent="0.25">
      <c r="A14" s="2" t="s">
        <v>67</v>
      </c>
      <c r="B14" s="2" t="s">
        <v>82</v>
      </c>
      <c r="C14" s="15">
        <v>1114</v>
      </c>
      <c r="D14" s="2" t="s">
        <v>69</v>
      </c>
      <c r="E14" s="15">
        <v>52.6</v>
      </c>
      <c r="F14" s="2" t="s">
        <v>70</v>
      </c>
      <c r="G14" s="16">
        <v>1E-3</v>
      </c>
      <c r="H14" s="13">
        <f t="shared" si="0"/>
        <v>2.1178707224334601</v>
      </c>
      <c r="I14" s="16">
        <v>2.117</v>
      </c>
      <c r="J14" s="17">
        <f t="shared" si="1"/>
        <v>-8.7072243346009159E-4</v>
      </c>
      <c r="K14" s="13">
        <f t="shared" si="2"/>
        <v>8.7072243346009159E-4</v>
      </c>
      <c r="L14" s="2" t="s">
        <v>38</v>
      </c>
    </row>
    <row r="15" spans="1:12" hidden="1" x14ac:dyDescent="0.25">
      <c r="A15" s="2" t="s">
        <v>67</v>
      </c>
      <c r="B15" s="2" t="s">
        <v>83</v>
      </c>
      <c r="C15" s="15">
        <v>1067</v>
      </c>
      <c r="D15" s="2" t="s">
        <v>69</v>
      </c>
      <c r="E15" s="15">
        <v>53.4</v>
      </c>
      <c r="F15" s="2" t="s">
        <v>70</v>
      </c>
      <c r="G15" s="16">
        <v>1E-3</v>
      </c>
      <c r="H15" s="13">
        <f t="shared" si="0"/>
        <v>1.9981273408239699</v>
      </c>
      <c r="I15" s="16">
        <v>1.998</v>
      </c>
      <c r="J15" s="17">
        <f t="shared" si="1"/>
        <v>-1.2734082396992363E-4</v>
      </c>
      <c r="K15" s="13">
        <f t="shared" si="2"/>
        <v>1.2734082396992363E-4</v>
      </c>
      <c r="L15" s="2" t="s">
        <v>38</v>
      </c>
    </row>
    <row r="16" spans="1:12" hidden="1" x14ac:dyDescent="0.25">
      <c r="A16" s="2" t="s">
        <v>67</v>
      </c>
      <c r="B16" s="2" t="s">
        <v>84</v>
      </c>
      <c r="C16" s="15">
        <v>1116</v>
      </c>
      <c r="D16" s="2" t="s">
        <v>69</v>
      </c>
      <c r="E16" s="15">
        <v>56.4</v>
      </c>
      <c r="F16" s="2" t="s">
        <v>70</v>
      </c>
      <c r="G16" s="16">
        <v>1E-3</v>
      </c>
      <c r="H16" s="13">
        <f t="shared" si="0"/>
        <v>1.9787234042553195</v>
      </c>
      <c r="I16" s="16">
        <v>1.9790000000000001</v>
      </c>
      <c r="J16" s="17">
        <f t="shared" si="1"/>
        <v>2.7659574468064108E-4</v>
      </c>
      <c r="K16" s="13">
        <f t="shared" si="2"/>
        <v>2.7659574468064108E-4</v>
      </c>
      <c r="L16" s="2" t="s">
        <v>38</v>
      </c>
    </row>
    <row r="17" spans="1:12" hidden="1" x14ac:dyDescent="0.25">
      <c r="A17" s="2" t="s">
        <v>67</v>
      </c>
      <c r="B17" s="2" t="s">
        <v>85</v>
      </c>
      <c r="C17" s="15">
        <v>783</v>
      </c>
      <c r="D17" s="2" t="s">
        <v>69</v>
      </c>
      <c r="E17" s="15">
        <v>55.2</v>
      </c>
      <c r="F17" s="2" t="s">
        <v>70</v>
      </c>
      <c r="G17" s="16">
        <v>1E-3</v>
      </c>
      <c r="H17" s="13">
        <f t="shared" si="0"/>
        <v>1.4184782608695652</v>
      </c>
      <c r="I17" s="16">
        <v>1.4179999999999999</v>
      </c>
      <c r="J17" s="17">
        <f t="shared" si="1"/>
        <v>-4.7826086956526126E-4</v>
      </c>
      <c r="K17" s="13">
        <f t="shared" si="2"/>
        <v>4.7826086956526126E-4</v>
      </c>
      <c r="L17" s="2" t="s">
        <v>38</v>
      </c>
    </row>
    <row r="18" spans="1:12" hidden="1" x14ac:dyDescent="0.25">
      <c r="A18" s="2" t="s">
        <v>67</v>
      </c>
      <c r="B18" s="2" t="s">
        <v>86</v>
      </c>
      <c r="C18" s="15">
        <v>467</v>
      </c>
      <c r="D18" s="2" t="s">
        <v>69</v>
      </c>
      <c r="E18" s="15">
        <v>59.1</v>
      </c>
      <c r="F18" s="2" t="s">
        <v>70</v>
      </c>
      <c r="G18" s="16">
        <v>1E-3</v>
      </c>
      <c r="H18" s="13">
        <f t="shared" si="0"/>
        <v>0.79018612521150589</v>
      </c>
      <c r="I18" s="16">
        <v>0.79</v>
      </c>
      <c r="J18" s="17">
        <f t="shared" si="1"/>
        <v>-1.8612521150584982E-4</v>
      </c>
      <c r="K18" s="13">
        <f t="shared" si="2"/>
        <v>1.8612521150584982E-4</v>
      </c>
      <c r="L18" s="2" t="s">
        <v>38</v>
      </c>
    </row>
    <row r="19" spans="1:12" hidden="1" x14ac:dyDescent="0.25">
      <c r="A19" s="2" t="s">
        <v>67</v>
      </c>
      <c r="B19" s="2" t="s">
        <v>87</v>
      </c>
      <c r="C19" s="15">
        <v>524</v>
      </c>
      <c r="D19" s="2" t="s">
        <v>69</v>
      </c>
      <c r="E19" s="15">
        <v>64.2</v>
      </c>
      <c r="F19" s="2" t="s">
        <v>70</v>
      </c>
      <c r="G19" s="16">
        <v>1E-3</v>
      </c>
      <c r="H19" s="13">
        <f t="shared" si="0"/>
        <v>0.81619937694704048</v>
      </c>
      <c r="I19" s="16">
        <v>0.81599999999999995</v>
      </c>
      <c r="J19" s="17">
        <f t="shared" si="1"/>
        <v>-1.9937694704053044E-4</v>
      </c>
      <c r="K19" s="13">
        <f t="shared" si="2"/>
        <v>1.9937694704053044E-4</v>
      </c>
      <c r="L19" s="2" t="s">
        <v>38</v>
      </c>
    </row>
    <row r="20" spans="1:12" hidden="1" x14ac:dyDescent="0.25">
      <c r="A20" s="2" t="s">
        <v>67</v>
      </c>
      <c r="B20" s="2" t="s">
        <v>88</v>
      </c>
      <c r="C20" s="15">
        <v>657</v>
      </c>
      <c r="D20" s="2" t="s">
        <v>69</v>
      </c>
      <c r="E20" s="15">
        <v>64.8</v>
      </c>
      <c r="F20" s="2" t="s">
        <v>70</v>
      </c>
      <c r="G20" s="16">
        <v>1E-3</v>
      </c>
      <c r="H20" s="13">
        <f t="shared" si="0"/>
        <v>1.0138888888888891</v>
      </c>
      <c r="I20" s="16">
        <v>1.0129999999999999</v>
      </c>
      <c r="J20" s="17">
        <f t="shared" si="1"/>
        <v>-8.8888888888916107E-4</v>
      </c>
      <c r="K20" s="13">
        <f t="shared" si="2"/>
        <v>8.8888888888916107E-4</v>
      </c>
      <c r="L20" s="2" t="s">
        <v>38</v>
      </c>
    </row>
    <row r="21" spans="1:12" hidden="1" x14ac:dyDescent="0.25">
      <c r="A21" s="2" t="s">
        <v>67</v>
      </c>
      <c r="B21" s="2" t="s">
        <v>89</v>
      </c>
      <c r="C21" s="15">
        <v>483</v>
      </c>
      <c r="D21" s="2" t="s">
        <v>69</v>
      </c>
      <c r="E21" s="15">
        <v>61.8</v>
      </c>
      <c r="F21" s="2" t="s">
        <v>70</v>
      </c>
      <c r="G21" s="16">
        <v>1E-3</v>
      </c>
      <c r="H21" s="13">
        <f t="shared" si="0"/>
        <v>0.78155339805825241</v>
      </c>
      <c r="I21" s="16">
        <v>0.78</v>
      </c>
      <c r="J21" s="17">
        <f t="shared" si="1"/>
        <v>-1.5533980582523865E-3</v>
      </c>
      <c r="K21" s="13">
        <f t="shared" si="2"/>
        <v>1.5533980582523865E-3</v>
      </c>
      <c r="L21" s="2" t="s">
        <v>38</v>
      </c>
    </row>
    <row r="22" spans="1:12" hidden="1" x14ac:dyDescent="0.25">
      <c r="A22" s="2" t="s">
        <v>67</v>
      </c>
      <c r="B22" s="2" t="s">
        <v>90</v>
      </c>
      <c r="C22" s="15">
        <v>345</v>
      </c>
      <c r="D22" s="2" t="s">
        <v>69</v>
      </c>
      <c r="E22" s="15">
        <v>67.8</v>
      </c>
      <c r="F22" s="2" t="s">
        <v>70</v>
      </c>
      <c r="G22" s="16">
        <v>1E-3</v>
      </c>
      <c r="H22" s="13">
        <f t="shared" si="0"/>
        <v>0.50884955752212402</v>
      </c>
      <c r="I22" s="16">
        <v>0.50800000000000001</v>
      </c>
      <c r="J22" s="17">
        <f t="shared" si="1"/>
        <v>-8.4955752212401148E-4</v>
      </c>
      <c r="K22" s="13">
        <f t="shared" si="2"/>
        <v>8.4955752212401148E-4</v>
      </c>
      <c r="L22" s="2" t="s">
        <v>38</v>
      </c>
    </row>
    <row r="23" spans="1:12" hidden="1" x14ac:dyDescent="0.25">
      <c r="A23" s="2" t="s">
        <v>67</v>
      </c>
      <c r="B23" s="2" t="s">
        <v>91</v>
      </c>
      <c r="C23" s="15">
        <v>498</v>
      </c>
      <c r="D23" s="2" t="s">
        <v>69</v>
      </c>
      <c r="E23" s="15">
        <v>68.5</v>
      </c>
      <c r="F23" s="2" t="s">
        <v>70</v>
      </c>
      <c r="G23" s="16">
        <v>1E-3</v>
      </c>
      <c r="H23" s="13">
        <f t="shared" si="0"/>
        <v>0.7270072992700729</v>
      </c>
      <c r="I23" s="16">
        <v>0.72599999999999998</v>
      </c>
      <c r="J23" s="17">
        <f t="shared" si="1"/>
        <v>-1.0072992700729255E-3</v>
      </c>
      <c r="K23" s="13">
        <f t="shared" si="2"/>
        <v>1.0072992700729255E-3</v>
      </c>
      <c r="L23" s="2" t="s">
        <v>38</v>
      </c>
    </row>
    <row r="24" spans="1:12" hidden="1" x14ac:dyDescent="0.25">
      <c r="A24" s="2" t="s">
        <v>92</v>
      </c>
      <c r="B24" s="2" t="s">
        <v>93</v>
      </c>
      <c r="C24" s="15">
        <v>4862</v>
      </c>
      <c r="D24" s="2" t="s">
        <v>94</v>
      </c>
      <c r="E24" s="15">
        <v>1279110</v>
      </c>
      <c r="F24" s="2" t="s">
        <v>95</v>
      </c>
      <c r="G24" s="16">
        <v>1</v>
      </c>
      <c r="H24" s="13">
        <f t="shared" si="0"/>
        <v>0.38010804387425634</v>
      </c>
      <c r="I24" s="16">
        <v>0.379</v>
      </c>
      <c r="J24" s="17">
        <f t="shared" si="1"/>
        <v>-1.108043874256337E-3</v>
      </c>
      <c r="K24" s="13">
        <f t="shared" si="2"/>
        <v>1.108043874256337E-3</v>
      </c>
      <c r="L24" s="2" t="s">
        <v>41</v>
      </c>
    </row>
    <row r="25" spans="1:12" hidden="1" x14ac:dyDescent="0.25">
      <c r="A25" s="2" t="s">
        <v>92</v>
      </c>
      <c r="B25" s="2" t="s">
        <v>96</v>
      </c>
      <c r="C25" s="15">
        <v>5589</v>
      </c>
      <c r="D25" s="2" t="s">
        <v>94</v>
      </c>
      <c r="E25" s="15">
        <v>1425376</v>
      </c>
      <c r="F25" s="2" t="s">
        <v>95</v>
      </c>
      <c r="G25" s="16">
        <v>1</v>
      </c>
      <c r="H25" s="13">
        <f t="shared" si="0"/>
        <v>0.39210706508317805</v>
      </c>
      <c r="I25" s="16">
        <v>0.39100000000000001</v>
      </c>
      <c r="J25" s="17">
        <f t="shared" si="1"/>
        <v>-1.1070650831780382E-3</v>
      </c>
      <c r="K25" s="13">
        <f t="shared" si="2"/>
        <v>1.1070650831780382E-3</v>
      </c>
      <c r="L25" s="2" t="s">
        <v>41</v>
      </c>
    </row>
    <row r="26" spans="1:12" hidden="1" x14ac:dyDescent="0.25">
      <c r="A26" s="2" t="s">
        <v>92</v>
      </c>
      <c r="B26" s="2" t="s">
        <v>97</v>
      </c>
      <c r="C26" s="15">
        <v>7672</v>
      </c>
      <c r="D26" s="2" t="s">
        <v>94</v>
      </c>
      <c r="E26" s="15">
        <v>1545243</v>
      </c>
      <c r="F26" s="2" t="s">
        <v>95</v>
      </c>
      <c r="G26" s="16">
        <v>1</v>
      </c>
      <c r="H26" s="13">
        <f t="shared" si="0"/>
        <v>0.49649149033517709</v>
      </c>
      <c r="I26" s="16">
        <v>0.495</v>
      </c>
      <c r="J26" s="17">
        <f t="shared" si="1"/>
        <v>-1.4914903351770925E-3</v>
      </c>
      <c r="K26" s="13">
        <f t="shared" si="2"/>
        <v>1.4914903351770925E-3</v>
      </c>
      <c r="L26" s="2" t="s">
        <v>41</v>
      </c>
    </row>
    <row r="27" spans="1:12" hidden="1" x14ac:dyDescent="0.25">
      <c r="A27" s="2" t="s">
        <v>92</v>
      </c>
      <c r="B27" s="2" t="s">
        <v>98</v>
      </c>
      <c r="C27" s="15">
        <v>11205</v>
      </c>
      <c r="D27" s="2" t="s">
        <v>94</v>
      </c>
      <c r="E27" s="15">
        <v>1684904</v>
      </c>
      <c r="F27" s="2" t="s">
        <v>95</v>
      </c>
      <c r="G27" s="16">
        <v>1</v>
      </c>
      <c r="H27" s="13">
        <f t="shared" si="0"/>
        <v>0.66502305175843845</v>
      </c>
      <c r="I27" s="16">
        <v>0.66500000000000004</v>
      </c>
      <c r="J27" s="17">
        <f t="shared" si="1"/>
        <v>-2.3051758438419334E-5</v>
      </c>
      <c r="K27" s="13">
        <f t="shared" si="2"/>
        <v>2.3051758438419334E-5</v>
      </c>
      <c r="L27" s="2" t="s">
        <v>41</v>
      </c>
    </row>
    <row r="28" spans="1:12" hidden="1" x14ac:dyDescent="0.25">
      <c r="A28" s="2" t="s">
        <v>92</v>
      </c>
      <c r="B28" s="2" t="s">
        <v>99</v>
      </c>
      <c r="C28" s="15">
        <v>13141</v>
      </c>
      <c r="D28" s="2" t="s">
        <v>94</v>
      </c>
      <c r="E28" s="15">
        <v>1873412</v>
      </c>
      <c r="F28" s="2" t="s">
        <v>95</v>
      </c>
      <c r="G28" s="16">
        <v>1</v>
      </c>
      <c r="H28" s="13">
        <f t="shared" si="0"/>
        <v>0.70144741252858422</v>
      </c>
      <c r="I28" s="16">
        <v>0.7</v>
      </c>
      <c r="J28" s="17">
        <f t="shared" si="1"/>
        <v>-1.4474125285842687E-3</v>
      </c>
      <c r="K28" s="13">
        <f t="shared" si="2"/>
        <v>1.4474125285842687E-3</v>
      </c>
      <c r="L28" s="2" t="s">
        <v>41</v>
      </c>
    </row>
    <row r="29" spans="1:12" hidden="1" x14ac:dyDescent="0.25">
      <c r="A29" s="2" t="s">
        <v>92</v>
      </c>
      <c r="B29" s="2" t="s">
        <v>100</v>
      </c>
      <c r="C29" s="15">
        <v>15021</v>
      </c>
      <c r="D29" s="2" t="s">
        <v>94</v>
      </c>
      <c r="E29" s="15">
        <v>2081826</v>
      </c>
      <c r="F29" s="2" t="s">
        <v>95</v>
      </c>
      <c r="G29" s="16">
        <v>1</v>
      </c>
      <c r="H29" s="13">
        <f t="shared" si="0"/>
        <v>0.72153004141556498</v>
      </c>
      <c r="I29" s="16">
        <v>0.72199999999999998</v>
      </c>
      <c r="J29" s="17">
        <f t="shared" si="1"/>
        <v>4.6995858443499294E-4</v>
      </c>
      <c r="K29" s="13">
        <f t="shared" si="2"/>
        <v>4.6995858443499294E-4</v>
      </c>
      <c r="L29" s="2" t="s">
        <v>41</v>
      </c>
    </row>
    <row r="30" spans="1:12" hidden="1" x14ac:dyDescent="0.25">
      <c r="A30" s="2" t="s">
        <v>92</v>
      </c>
      <c r="B30" s="2" t="s">
        <v>101</v>
      </c>
      <c r="C30" s="15">
        <v>21389</v>
      </c>
      <c r="D30" s="2" t="s">
        <v>94</v>
      </c>
      <c r="E30" s="15">
        <v>2351599</v>
      </c>
      <c r="F30" s="2" t="s">
        <v>95</v>
      </c>
      <c r="G30" s="16">
        <v>1</v>
      </c>
      <c r="H30" s="13">
        <f t="shared" si="0"/>
        <v>0.90955133081788175</v>
      </c>
      <c r="I30" s="16">
        <v>0.90900000000000003</v>
      </c>
      <c r="J30" s="17">
        <f t="shared" si="1"/>
        <v>-5.5133081788172333E-4</v>
      </c>
      <c r="K30" s="13">
        <f t="shared" si="2"/>
        <v>5.5133081788172333E-4</v>
      </c>
      <c r="L30" s="2" t="s">
        <v>41</v>
      </c>
    </row>
    <row r="31" spans="1:12" hidden="1" x14ac:dyDescent="0.25">
      <c r="A31" s="2" t="s">
        <v>92</v>
      </c>
      <c r="B31" s="2" t="s">
        <v>102</v>
      </c>
      <c r="C31" s="15">
        <v>27942</v>
      </c>
      <c r="D31" s="2" t="s">
        <v>94</v>
      </c>
      <c r="E31" s="15">
        <v>2627333</v>
      </c>
      <c r="F31" s="2" t="s">
        <v>95</v>
      </c>
      <c r="G31" s="16">
        <v>1</v>
      </c>
      <c r="H31" s="13">
        <f t="shared" si="0"/>
        <v>1.0635119339649752</v>
      </c>
      <c r="I31" s="16">
        <v>1.0640000000000001</v>
      </c>
      <c r="J31" s="17">
        <f t="shared" si="1"/>
        <v>4.880660350248256E-4</v>
      </c>
      <c r="K31" s="13">
        <f t="shared" si="2"/>
        <v>4.880660350248256E-4</v>
      </c>
      <c r="L31" s="2" t="s">
        <v>41</v>
      </c>
    </row>
    <row r="32" spans="1:12" hidden="1" x14ac:dyDescent="0.25">
      <c r="A32" s="2" t="s">
        <v>92</v>
      </c>
      <c r="B32" s="2" t="s">
        <v>103</v>
      </c>
      <c r="C32" s="15">
        <v>40712</v>
      </c>
      <c r="D32" s="2" t="s">
        <v>94</v>
      </c>
      <c r="E32" s="15">
        <v>2857307</v>
      </c>
      <c r="F32" s="2" t="s">
        <v>95</v>
      </c>
      <c r="G32" s="16">
        <v>1</v>
      </c>
      <c r="H32" s="13">
        <f t="shared" si="0"/>
        <v>1.4248381430486818</v>
      </c>
      <c r="I32" s="16">
        <v>1.425</v>
      </c>
      <c r="J32" s="17">
        <f t="shared" si="1"/>
        <v>1.6185695131820665E-4</v>
      </c>
      <c r="K32" s="13">
        <f t="shared" si="2"/>
        <v>1.6185695131820665E-4</v>
      </c>
      <c r="L32" s="2" t="s">
        <v>41</v>
      </c>
    </row>
    <row r="33" spans="1:12" hidden="1" x14ac:dyDescent="0.25">
      <c r="A33" s="2" t="s">
        <v>92</v>
      </c>
      <c r="B33" s="2" t="s">
        <v>104</v>
      </c>
      <c r="C33" s="15">
        <v>63261</v>
      </c>
      <c r="D33" s="2" t="s">
        <v>94</v>
      </c>
      <c r="E33" s="15">
        <v>3207041</v>
      </c>
      <c r="F33" s="2" t="s">
        <v>95</v>
      </c>
      <c r="G33" s="16">
        <v>1</v>
      </c>
      <c r="H33" s="13">
        <f t="shared" si="0"/>
        <v>1.9725659883986515</v>
      </c>
      <c r="I33" s="16">
        <v>1.972</v>
      </c>
      <c r="J33" s="17">
        <f t="shared" si="1"/>
        <v>-5.6598839865151795E-4</v>
      </c>
      <c r="K33" s="13">
        <f t="shared" si="2"/>
        <v>5.6598839865151795E-4</v>
      </c>
      <c r="L33" s="2" t="s">
        <v>41</v>
      </c>
    </row>
    <row r="34" spans="1:12" hidden="1" x14ac:dyDescent="0.25">
      <c r="A34" s="2" t="s">
        <v>92</v>
      </c>
      <c r="B34" s="2" t="s">
        <v>105</v>
      </c>
      <c r="C34" s="15">
        <v>63204</v>
      </c>
      <c r="D34" s="2" t="s">
        <v>94</v>
      </c>
      <c r="E34" s="15">
        <v>3343789</v>
      </c>
      <c r="F34" s="2" t="s">
        <v>95</v>
      </c>
      <c r="G34" s="16">
        <v>1</v>
      </c>
      <c r="H34" s="13">
        <f t="shared" ref="H34:H65" si="3">C34*G34/E34*100</f>
        <v>1.8901910377718212</v>
      </c>
      <c r="I34" s="16">
        <v>1.891</v>
      </c>
      <c r="J34" s="17">
        <f t="shared" ref="J34:J65" si="4">I34-H34</f>
        <v>8.0896222817883334E-4</v>
      </c>
      <c r="K34" s="13">
        <f t="shared" ref="K34:K65" si="5">ABS(J34)</f>
        <v>8.0896222817883334E-4</v>
      </c>
      <c r="L34" s="2" t="s">
        <v>41</v>
      </c>
    </row>
    <row r="35" spans="1:12" hidden="1" x14ac:dyDescent="0.25">
      <c r="A35" s="2" t="s">
        <v>92</v>
      </c>
      <c r="B35" s="2" t="s">
        <v>106</v>
      </c>
      <c r="C35" s="15">
        <v>43001</v>
      </c>
      <c r="D35" s="2" t="s">
        <v>94</v>
      </c>
      <c r="E35" s="15">
        <v>3634038</v>
      </c>
      <c r="F35" s="2" t="s">
        <v>95</v>
      </c>
      <c r="G35" s="16">
        <v>1</v>
      </c>
      <c r="H35" s="13">
        <f t="shared" si="3"/>
        <v>1.1832842694545296</v>
      </c>
      <c r="I35" s="16">
        <v>1.1819999999999999</v>
      </c>
      <c r="J35" s="17">
        <f t="shared" si="4"/>
        <v>-1.2842694545296407E-3</v>
      </c>
      <c r="K35" s="13">
        <f t="shared" si="5"/>
        <v>1.2842694545296407E-3</v>
      </c>
      <c r="L35" s="2" t="s">
        <v>41</v>
      </c>
    </row>
    <row r="36" spans="1:12" hidden="1" x14ac:dyDescent="0.25">
      <c r="A36" s="2" t="s">
        <v>92</v>
      </c>
      <c r="B36" s="2" t="s">
        <v>107</v>
      </c>
      <c r="C36" s="15">
        <v>44159</v>
      </c>
      <c r="D36" s="2" t="s">
        <v>94</v>
      </c>
      <c r="E36" s="15">
        <v>4037613</v>
      </c>
      <c r="F36" s="2" t="s">
        <v>95</v>
      </c>
      <c r="G36" s="16">
        <v>1</v>
      </c>
      <c r="H36" s="13">
        <f t="shared" si="3"/>
        <v>1.0936907524321919</v>
      </c>
      <c r="I36" s="16">
        <v>1.093</v>
      </c>
      <c r="J36" s="17">
        <f t="shared" si="4"/>
        <v>-6.9075243219196558E-4</v>
      </c>
      <c r="K36" s="13">
        <f t="shared" si="5"/>
        <v>6.9075243219196558E-4</v>
      </c>
      <c r="L36" s="2" t="s">
        <v>41</v>
      </c>
    </row>
    <row r="37" spans="1:12" hidden="1" x14ac:dyDescent="0.25">
      <c r="A37" s="2" t="s">
        <v>92</v>
      </c>
      <c r="B37" s="2" t="s">
        <v>108</v>
      </c>
      <c r="C37" s="15">
        <v>40149</v>
      </c>
      <c r="D37" s="2" t="s">
        <v>94</v>
      </c>
      <c r="E37" s="15">
        <v>4338979</v>
      </c>
      <c r="F37" s="2" t="s">
        <v>95</v>
      </c>
      <c r="G37" s="16">
        <v>1</v>
      </c>
      <c r="H37" s="13">
        <f t="shared" si="3"/>
        <v>0.92530984823849116</v>
      </c>
      <c r="I37" s="16">
        <v>0.92500000000000004</v>
      </c>
      <c r="J37" s="17">
        <f t="shared" si="4"/>
        <v>-3.098482384911172E-4</v>
      </c>
      <c r="K37" s="13">
        <f t="shared" si="5"/>
        <v>3.098482384911172E-4</v>
      </c>
      <c r="L37" s="2" t="s">
        <v>41</v>
      </c>
    </row>
    <row r="38" spans="1:12" hidden="1" x14ac:dyDescent="0.25">
      <c r="A38" s="2" t="s">
        <v>92</v>
      </c>
      <c r="B38" s="2" t="s">
        <v>109</v>
      </c>
      <c r="C38" s="15">
        <v>23680</v>
      </c>
      <c r="D38" s="2" t="s">
        <v>94</v>
      </c>
      <c r="E38" s="15">
        <v>4579631</v>
      </c>
      <c r="F38" s="2" t="s">
        <v>95</v>
      </c>
      <c r="G38" s="16">
        <v>1</v>
      </c>
      <c r="H38" s="13">
        <f t="shared" si="3"/>
        <v>0.51707222699820143</v>
      </c>
      <c r="I38" s="16">
        <v>0.51600000000000001</v>
      </c>
      <c r="J38" s="17">
        <f t="shared" si="4"/>
        <v>-1.0722269982014199E-3</v>
      </c>
      <c r="K38" s="13">
        <f t="shared" si="5"/>
        <v>1.0722269982014199E-3</v>
      </c>
      <c r="L38" s="2" t="s">
        <v>41</v>
      </c>
    </row>
    <row r="39" spans="1:12" hidden="1" x14ac:dyDescent="0.25">
      <c r="A39" s="2" t="s">
        <v>110</v>
      </c>
      <c r="B39" s="2" t="s">
        <v>111</v>
      </c>
      <c r="C39" s="15">
        <v>43291</v>
      </c>
      <c r="D39" s="2" t="s">
        <v>94</v>
      </c>
      <c r="E39" s="15">
        <v>10929108</v>
      </c>
      <c r="F39" s="2" t="s">
        <v>95</v>
      </c>
      <c r="G39" s="16">
        <v>1</v>
      </c>
      <c r="H39" s="13">
        <f t="shared" si="3"/>
        <v>0.3961073492914518</v>
      </c>
      <c r="I39" s="16">
        <v>0.39500000000000002</v>
      </c>
      <c r="J39" s="17">
        <f t="shared" si="4"/>
        <v>-1.1073492914517868E-3</v>
      </c>
      <c r="K39" s="13">
        <f t="shared" si="5"/>
        <v>1.1073492914517868E-3</v>
      </c>
      <c r="L39" s="2" t="s">
        <v>41</v>
      </c>
    </row>
    <row r="40" spans="1:12" hidden="1" x14ac:dyDescent="0.25">
      <c r="A40" s="2" t="s">
        <v>110</v>
      </c>
      <c r="B40" s="2" t="s">
        <v>112</v>
      </c>
      <c r="C40" s="15">
        <v>53559</v>
      </c>
      <c r="D40" s="2" t="s">
        <v>94</v>
      </c>
      <c r="E40" s="15">
        <v>11456450</v>
      </c>
      <c r="F40" s="2" t="s">
        <v>95</v>
      </c>
      <c r="G40" s="16">
        <v>1</v>
      </c>
      <c r="H40" s="13">
        <f t="shared" si="3"/>
        <v>0.46750084013808813</v>
      </c>
      <c r="I40" s="16">
        <v>0.46800000000000003</v>
      </c>
      <c r="J40" s="17">
        <f t="shared" si="4"/>
        <v>4.9915986191190198E-4</v>
      </c>
      <c r="K40" s="13">
        <f t="shared" si="5"/>
        <v>4.9915986191190198E-4</v>
      </c>
      <c r="L40" s="2" t="s">
        <v>41</v>
      </c>
    </row>
    <row r="41" spans="1:12" hidden="1" x14ac:dyDescent="0.25">
      <c r="A41" s="2" t="s">
        <v>110</v>
      </c>
      <c r="B41" s="2" t="s">
        <v>113</v>
      </c>
      <c r="C41" s="15">
        <v>61702</v>
      </c>
      <c r="D41" s="2" t="s">
        <v>94</v>
      </c>
      <c r="E41" s="15">
        <v>12217196</v>
      </c>
      <c r="F41" s="2" t="s">
        <v>95</v>
      </c>
      <c r="G41" s="16">
        <v>1</v>
      </c>
      <c r="H41" s="13">
        <f t="shared" si="3"/>
        <v>0.50504223718764929</v>
      </c>
      <c r="I41" s="16">
        <v>0.505</v>
      </c>
      <c r="J41" s="17">
        <f t="shared" si="4"/>
        <v>-4.2237187649285524E-5</v>
      </c>
      <c r="K41" s="13">
        <f t="shared" si="5"/>
        <v>4.2237187649285524E-5</v>
      </c>
      <c r="L41" s="2" t="s">
        <v>41</v>
      </c>
    </row>
    <row r="42" spans="1:12" hidden="1" x14ac:dyDescent="0.25">
      <c r="A42" s="2" t="s">
        <v>110</v>
      </c>
      <c r="B42" s="2" t="s">
        <v>114</v>
      </c>
      <c r="C42" s="15">
        <v>85201</v>
      </c>
      <c r="D42" s="2" t="s">
        <v>94</v>
      </c>
      <c r="E42" s="15">
        <v>13039197</v>
      </c>
      <c r="F42" s="2" t="s">
        <v>95</v>
      </c>
      <c r="G42" s="16">
        <v>1</v>
      </c>
      <c r="H42" s="13">
        <f t="shared" si="3"/>
        <v>0.65342213941548699</v>
      </c>
      <c r="I42" s="16">
        <v>0.65300000000000002</v>
      </c>
      <c r="J42" s="17">
        <f t="shared" si="4"/>
        <v>-4.2213941548696621E-4</v>
      </c>
      <c r="K42" s="13">
        <f t="shared" si="5"/>
        <v>4.2213941548696621E-4</v>
      </c>
      <c r="L42" s="2" t="s">
        <v>41</v>
      </c>
    </row>
    <row r="43" spans="1:12" hidden="1" x14ac:dyDescent="0.25">
      <c r="A43" s="2" t="s">
        <v>110</v>
      </c>
      <c r="B43" s="2" t="s">
        <v>115</v>
      </c>
      <c r="C43" s="15">
        <v>119755</v>
      </c>
      <c r="D43" s="2" t="s">
        <v>94</v>
      </c>
      <c r="E43" s="15">
        <v>13815583</v>
      </c>
      <c r="F43" s="2" t="s">
        <v>95</v>
      </c>
      <c r="G43" s="16">
        <v>1</v>
      </c>
      <c r="H43" s="13">
        <f t="shared" si="3"/>
        <v>0.86681104952284671</v>
      </c>
      <c r="I43" s="16">
        <v>0.86599999999999999</v>
      </c>
      <c r="J43" s="17">
        <f t="shared" si="4"/>
        <v>-8.110495228467185E-4</v>
      </c>
      <c r="K43" s="13">
        <f t="shared" si="5"/>
        <v>8.110495228467185E-4</v>
      </c>
      <c r="L43" s="2" t="s">
        <v>41</v>
      </c>
    </row>
    <row r="44" spans="1:12" hidden="1" x14ac:dyDescent="0.25">
      <c r="A44" s="2" t="s">
        <v>110</v>
      </c>
      <c r="B44" s="2" t="s">
        <v>116</v>
      </c>
      <c r="C44" s="15">
        <v>137621</v>
      </c>
      <c r="D44" s="2" t="s">
        <v>94</v>
      </c>
      <c r="E44" s="15">
        <v>14474228</v>
      </c>
      <c r="F44" s="2" t="s">
        <v>95</v>
      </c>
      <c r="G44" s="16">
        <v>1</v>
      </c>
      <c r="H44" s="13">
        <f t="shared" si="3"/>
        <v>0.95080027756920782</v>
      </c>
      <c r="I44" s="16">
        <v>0.95</v>
      </c>
      <c r="J44" s="17">
        <f t="shared" si="4"/>
        <v>-8.0027756920786342E-4</v>
      </c>
      <c r="K44" s="13">
        <f t="shared" si="5"/>
        <v>8.0027756920786342E-4</v>
      </c>
      <c r="L44" s="2" t="s">
        <v>41</v>
      </c>
    </row>
    <row r="45" spans="1:12" hidden="1" x14ac:dyDescent="0.25">
      <c r="A45" s="2" t="s">
        <v>110</v>
      </c>
      <c r="B45" s="2" t="s">
        <v>117</v>
      </c>
      <c r="C45" s="15">
        <v>164624</v>
      </c>
      <c r="D45" s="2" t="s">
        <v>94</v>
      </c>
      <c r="E45" s="15">
        <v>14769862</v>
      </c>
      <c r="F45" s="2" t="s">
        <v>95</v>
      </c>
      <c r="G45" s="16">
        <v>1</v>
      </c>
      <c r="H45" s="13">
        <f t="shared" si="3"/>
        <v>1.1145940293822649</v>
      </c>
      <c r="I45" s="16">
        <v>1.1140000000000001</v>
      </c>
      <c r="J45" s="17">
        <f t="shared" si="4"/>
        <v>-5.9402938226482682E-4</v>
      </c>
      <c r="K45" s="13">
        <f t="shared" si="5"/>
        <v>5.9402938226482682E-4</v>
      </c>
      <c r="L45" s="2" t="s">
        <v>41</v>
      </c>
    </row>
    <row r="46" spans="1:12" hidden="1" x14ac:dyDescent="0.25">
      <c r="A46" s="2" t="s">
        <v>110</v>
      </c>
      <c r="B46" s="2" t="s">
        <v>118</v>
      </c>
      <c r="C46" s="15">
        <v>112278</v>
      </c>
      <c r="D46" s="2" t="s">
        <v>94</v>
      </c>
      <c r="E46" s="15">
        <v>14478067</v>
      </c>
      <c r="F46" s="2" t="s">
        <v>95</v>
      </c>
      <c r="G46" s="16">
        <v>1</v>
      </c>
      <c r="H46" s="13">
        <f t="shared" si="3"/>
        <v>0.77550407799604737</v>
      </c>
      <c r="I46" s="16">
        <v>0.77500000000000002</v>
      </c>
      <c r="J46" s="17">
        <f t="shared" si="4"/>
        <v>-5.0407799604734738E-4</v>
      </c>
      <c r="K46" s="13">
        <f t="shared" si="5"/>
        <v>5.0407799604734738E-4</v>
      </c>
      <c r="L46" s="2" t="s">
        <v>41</v>
      </c>
    </row>
    <row r="47" spans="1:12" hidden="1" x14ac:dyDescent="0.25">
      <c r="A47" s="2" t="s">
        <v>110</v>
      </c>
      <c r="B47" s="2" t="s">
        <v>119</v>
      </c>
      <c r="C47" s="15">
        <v>128345</v>
      </c>
      <c r="D47" s="2" t="s">
        <v>94</v>
      </c>
      <c r="E47" s="15">
        <v>15048971</v>
      </c>
      <c r="F47" s="2" t="s">
        <v>95</v>
      </c>
      <c r="G47" s="16">
        <v>1</v>
      </c>
      <c r="H47" s="13">
        <f t="shared" si="3"/>
        <v>0.85284900874617942</v>
      </c>
      <c r="I47" s="16">
        <v>0.85199999999999998</v>
      </c>
      <c r="J47" s="17">
        <f t="shared" si="4"/>
        <v>-8.49008746179436E-4</v>
      </c>
      <c r="K47" s="13">
        <f t="shared" si="5"/>
        <v>8.49008746179436E-4</v>
      </c>
      <c r="L47" s="2" t="s">
        <v>41</v>
      </c>
    </row>
    <row r="48" spans="1:12" hidden="1" x14ac:dyDescent="0.25">
      <c r="A48" s="2" t="s">
        <v>110</v>
      </c>
      <c r="B48" s="2" t="s">
        <v>120</v>
      </c>
      <c r="C48" s="15">
        <v>161349</v>
      </c>
      <c r="D48" s="2" t="s">
        <v>94</v>
      </c>
      <c r="E48" s="15">
        <v>15599732</v>
      </c>
      <c r="F48" s="2" t="s">
        <v>95</v>
      </c>
      <c r="G48" s="16">
        <v>1</v>
      </c>
      <c r="H48" s="13">
        <f t="shared" si="3"/>
        <v>1.0343062303890862</v>
      </c>
      <c r="I48" s="16">
        <v>1.034</v>
      </c>
      <c r="J48" s="17">
        <f t="shared" si="4"/>
        <v>-3.0623038908617062E-4</v>
      </c>
      <c r="K48" s="13">
        <f t="shared" si="5"/>
        <v>3.0623038908617062E-4</v>
      </c>
      <c r="L48" s="2" t="s">
        <v>41</v>
      </c>
    </row>
    <row r="49" spans="1:12" hidden="1" x14ac:dyDescent="0.25">
      <c r="A49" s="2" t="s">
        <v>110</v>
      </c>
      <c r="B49" s="2" t="s">
        <v>121</v>
      </c>
      <c r="C49" s="15">
        <v>204805</v>
      </c>
      <c r="D49" s="2" t="s">
        <v>94</v>
      </c>
      <c r="E49" s="15">
        <v>16253970</v>
      </c>
      <c r="F49" s="2" t="s">
        <v>95</v>
      </c>
      <c r="G49" s="16">
        <v>1</v>
      </c>
      <c r="H49" s="13">
        <f t="shared" si="3"/>
        <v>1.2600306263638976</v>
      </c>
      <c r="I49" s="16">
        <v>1.2589999999999999</v>
      </c>
      <c r="J49" s="17">
        <f t="shared" si="4"/>
        <v>-1.0306263638977242E-3</v>
      </c>
      <c r="K49" s="13">
        <f t="shared" si="5"/>
        <v>1.0306263638977242E-3</v>
      </c>
      <c r="L49" s="2" t="s">
        <v>41</v>
      </c>
    </row>
    <row r="50" spans="1:12" hidden="1" x14ac:dyDescent="0.25">
      <c r="A50" s="2" t="s">
        <v>110</v>
      </c>
      <c r="B50" s="2" t="s">
        <v>122</v>
      </c>
      <c r="C50" s="15">
        <v>211076</v>
      </c>
      <c r="D50" s="2" t="s">
        <v>94</v>
      </c>
      <c r="E50" s="15">
        <v>16880683</v>
      </c>
      <c r="F50" s="2" t="s">
        <v>95</v>
      </c>
      <c r="G50" s="16">
        <v>1</v>
      </c>
      <c r="H50" s="13">
        <f t="shared" si="3"/>
        <v>1.2503996431897928</v>
      </c>
      <c r="I50" s="16">
        <v>1.2490000000000001</v>
      </c>
      <c r="J50" s="17">
        <f t="shared" si="4"/>
        <v>-1.3996431897926875E-3</v>
      </c>
      <c r="K50" s="13">
        <f t="shared" si="5"/>
        <v>1.3996431897926875E-3</v>
      </c>
      <c r="L50" s="2" t="s">
        <v>41</v>
      </c>
    </row>
    <row r="51" spans="1:12" hidden="1" x14ac:dyDescent="0.25">
      <c r="A51" s="2" t="s">
        <v>110</v>
      </c>
      <c r="B51" s="2" t="s">
        <v>123</v>
      </c>
      <c r="C51" s="15">
        <v>249208</v>
      </c>
      <c r="D51" s="2" t="s">
        <v>94</v>
      </c>
      <c r="E51" s="15">
        <v>17608138</v>
      </c>
      <c r="F51" s="2" t="s">
        <v>95</v>
      </c>
      <c r="G51" s="16">
        <v>1</v>
      </c>
      <c r="H51" s="13">
        <f t="shared" si="3"/>
        <v>1.4153001299739927</v>
      </c>
      <c r="I51" s="16">
        <v>1.415</v>
      </c>
      <c r="J51" s="17">
        <f t="shared" si="4"/>
        <v>-3.0012997399264663E-4</v>
      </c>
      <c r="K51" s="13">
        <f t="shared" si="5"/>
        <v>3.0012997399264663E-4</v>
      </c>
      <c r="L51" s="2" t="s">
        <v>41</v>
      </c>
    </row>
    <row r="52" spans="1:12" hidden="1" x14ac:dyDescent="0.25">
      <c r="A52" s="2" t="s">
        <v>110</v>
      </c>
      <c r="B52" s="2" t="s">
        <v>124</v>
      </c>
      <c r="C52" s="15">
        <v>179261</v>
      </c>
      <c r="D52" s="2" t="s">
        <v>94</v>
      </c>
      <c r="E52" s="15">
        <v>18295019</v>
      </c>
      <c r="F52" s="2" t="s">
        <v>95</v>
      </c>
      <c r="G52" s="16">
        <v>1</v>
      </c>
      <c r="H52" s="13">
        <f t="shared" si="3"/>
        <v>0.97983500317764083</v>
      </c>
      <c r="I52" s="16">
        <v>0.97899999999999998</v>
      </c>
      <c r="J52" s="17">
        <f t="shared" si="4"/>
        <v>-8.350031776408473E-4</v>
      </c>
      <c r="K52" s="13">
        <f t="shared" si="5"/>
        <v>8.350031776408473E-4</v>
      </c>
      <c r="L52" s="2" t="s">
        <v>41</v>
      </c>
    </row>
    <row r="53" spans="1:12" hidden="1" x14ac:dyDescent="0.25">
      <c r="A53" s="2" t="s">
        <v>110</v>
      </c>
      <c r="B53" s="2" t="s">
        <v>125</v>
      </c>
      <c r="C53" s="15">
        <v>105513</v>
      </c>
      <c r="D53" s="2" t="s">
        <v>94</v>
      </c>
      <c r="E53" s="15">
        <v>18804913</v>
      </c>
      <c r="F53" s="2" t="s">
        <v>95</v>
      </c>
      <c r="G53" s="16">
        <v>1</v>
      </c>
      <c r="H53" s="13">
        <f t="shared" si="3"/>
        <v>0.5610927314579971</v>
      </c>
      <c r="I53" s="16">
        <v>0.56000000000000005</v>
      </c>
      <c r="J53" s="17">
        <f t="shared" si="4"/>
        <v>-1.0927314579970426E-3</v>
      </c>
      <c r="K53" s="13">
        <f t="shared" si="5"/>
        <v>1.0927314579970426E-3</v>
      </c>
      <c r="L53" s="2" t="s">
        <v>41</v>
      </c>
    </row>
    <row r="54" spans="1:12" x14ac:dyDescent="0.25">
      <c r="A54" s="2" t="s">
        <v>126</v>
      </c>
      <c r="B54" s="2" t="s">
        <v>127</v>
      </c>
      <c r="C54" s="15">
        <v>80578</v>
      </c>
      <c r="D54" s="2" t="s">
        <v>128</v>
      </c>
      <c r="E54" s="15">
        <v>7639749</v>
      </c>
      <c r="F54" s="2" t="s">
        <v>95</v>
      </c>
      <c r="G54" s="16">
        <v>1</v>
      </c>
      <c r="H54" s="13">
        <f t="shared" si="3"/>
        <v>1.0547205150326275</v>
      </c>
      <c r="I54" s="16">
        <v>1.054</v>
      </c>
      <c r="J54" s="17">
        <f t="shared" si="4"/>
        <v>-7.2051503262748895E-4</v>
      </c>
      <c r="K54" s="13">
        <f t="shared" si="5"/>
        <v>7.2051503262748895E-4</v>
      </c>
      <c r="L54" s="2" t="s">
        <v>44</v>
      </c>
    </row>
    <row r="55" spans="1:12" x14ac:dyDescent="0.25">
      <c r="A55" s="2" t="s">
        <v>126</v>
      </c>
      <c r="B55" s="2" t="s">
        <v>129</v>
      </c>
      <c r="C55" s="15">
        <v>87528</v>
      </c>
      <c r="D55" s="2" t="s">
        <v>128</v>
      </c>
      <c r="E55" s="15">
        <v>8073122</v>
      </c>
      <c r="F55" s="2" t="s">
        <v>95</v>
      </c>
      <c r="G55" s="16">
        <v>1</v>
      </c>
      <c r="H55" s="13">
        <f t="shared" si="3"/>
        <v>1.0841902302479758</v>
      </c>
      <c r="I55" s="16">
        <v>1.083</v>
      </c>
      <c r="J55" s="17">
        <f t="shared" si="4"/>
        <v>-1.1902302479758209E-3</v>
      </c>
      <c r="K55" s="13">
        <f t="shared" si="5"/>
        <v>1.1902302479758209E-3</v>
      </c>
      <c r="L55" s="2" t="s">
        <v>44</v>
      </c>
    </row>
    <row r="56" spans="1:12" x14ac:dyDescent="0.25">
      <c r="A56" s="2" t="s">
        <v>126</v>
      </c>
      <c r="B56" s="2" t="s">
        <v>130</v>
      </c>
      <c r="C56" s="15">
        <v>94134</v>
      </c>
      <c r="D56" s="2" t="s">
        <v>128</v>
      </c>
      <c r="E56" s="15">
        <v>8577552</v>
      </c>
      <c r="F56" s="2" t="s">
        <v>95</v>
      </c>
      <c r="G56" s="16">
        <v>1</v>
      </c>
      <c r="H56" s="13">
        <f t="shared" si="3"/>
        <v>1.09744598458861</v>
      </c>
      <c r="I56" s="16">
        <v>1.0980000000000001</v>
      </c>
      <c r="J56" s="17">
        <f t="shared" si="4"/>
        <v>5.5401541139010746E-4</v>
      </c>
      <c r="K56" s="13">
        <f t="shared" si="5"/>
        <v>5.5401541139010746E-4</v>
      </c>
      <c r="L56" s="2" t="s">
        <v>44</v>
      </c>
    </row>
    <row r="57" spans="1:12" x14ac:dyDescent="0.25">
      <c r="A57" s="2" t="s">
        <v>126</v>
      </c>
      <c r="B57" s="2" t="s">
        <v>131</v>
      </c>
      <c r="C57" s="15">
        <v>102970</v>
      </c>
      <c r="D57" s="2" t="s">
        <v>128</v>
      </c>
      <c r="E57" s="15">
        <v>9062817</v>
      </c>
      <c r="F57" s="2" t="s">
        <v>95</v>
      </c>
      <c r="G57" s="16">
        <v>1</v>
      </c>
      <c r="H57" s="13">
        <f t="shared" si="3"/>
        <v>1.1361809468292254</v>
      </c>
      <c r="I57" s="16">
        <v>1.135</v>
      </c>
      <c r="J57" s="17">
        <f t="shared" si="4"/>
        <v>-1.1809468292254266E-3</v>
      </c>
      <c r="K57" s="13">
        <f t="shared" si="5"/>
        <v>1.1809468292254266E-3</v>
      </c>
      <c r="L57" s="2" t="s">
        <v>44</v>
      </c>
    </row>
    <row r="58" spans="1:12" x14ac:dyDescent="0.25">
      <c r="A58" s="2" t="s">
        <v>126</v>
      </c>
      <c r="B58" s="2" t="s">
        <v>132</v>
      </c>
      <c r="C58" s="15">
        <v>123751</v>
      </c>
      <c r="D58" s="2" t="s">
        <v>128</v>
      </c>
      <c r="E58" s="15">
        <v>9631172</v>
      </c>
      <c r="F58" s="2" t="s">
        <v>95</v>
      </c>
      <c r="G58" s="16">
        <v>1</v>
      </c>
      <c r="H58" s="13">
        <f t="shared" si="3"/>
        <v>1.2849007368988947</v>
      </c>
      <c r="I58" s="16">
        <v>1.2849999999999999</v>
      </c>
      <c r="J58" s="17">
        <f t="shared" si="4"/>
        <v>9.9263101105195872E-5</v>
      </c>
      <c r="K58" s="13">
        <f t="shared" si="5"/>
        <v>9.9263101105195872E-5</v>
      </c>
      <c r="L58" s="2" t="s">
        <v>44</v>
      </c>
    </row>
    <row r="59" spans="1:12" x14ac:dyDescent="0.25">
      <c r="A59" s="2" t="s">
        <v>126</v>
      </c>
      <c r="B59" s="2" t="s">
        <v>133</v>
      </c>
      <c r="C59" s="15">
        <v>157925</v>
      </c>
      <c r="D59" s="2" t="s">
        <v>128</v>
      </c>
      <c r="E59" s="15">
        <v>10250952</v>
      </c>
      <c r="F59" s="2" t="s">
        <v>95</v>
      </c>
      <c r="G59" s="16">
        <v>1</v>
      </c>
      <c r="H59" s="13">
        <f t="shared" si="3"/>
        <v>1.540588620452032</v>
      </c>
      <c r="I59" s="16">
        <v>1.54</v>
      </c>
      <c r="J59" s="17">
        <f t="shared" si="4"/>
        <v>-5.8862045203200708E-4</v>
      </c>
      <c r="K59" s="13">
        <f t="shared" si="5"/>
        <v>5.8862045203200708E-4</v>
      </c>
      <c r="L59" s="2" t="s">
        <v>44</v>
      </c>
    </row>
    <row r="60" spans="1:12" x14ac:dyDescent="0.25">
      <c r="A60" s="2" t="s">
        <v>126</v>
      </c>
      <c r="B60" s="2" t="s">
        <v>134</v>
      </c>
      <c r="C60" s="15">
        <v>141498</v>
      </c>
      <c r="D60" s="2" t="s">
        <v>128</v>
      </c>
      <c r="E60" s="15">
        <v>10581929</v>
      </c>
      <c r="F60" s="2" t="s">
        <v>95</v>
      </c>
      <c r="G60" s="16">
        <v>1</v>
      </c>
      <c r="H60" s="13">
        <f t="shared" si="3"/>
        <v>1.3371664088844293</v>
      </c>
      <c r="I60" s="16">
        <v>1.337</v>
      </c>
      <c r="J60" s="17">
        <f t="shared" si="4"/>
        <v>-1.6640888442931434E-4</v>
      </c>
      <c r="K60" s="13">
        <f t="shared" si="5"/>
        <v>1.6640888442931434E-4</v>
      </c>
      <c r="L60" s="2" t="s">
        <v>44</v>
      </c>
    </row>
    <row r="61" spans="1:12" x14ac:dyDescent="0.25">
      <c r="A61" s="2" t="s">
        <v>126</v>
      </c>
      <c r="B61" s="2" t="s">
        <v>111</v>
      </c>
      <c r="C61" s="15">
        <v>99569</v>
      </c>
      <c r="D61" s="2" t="s">
        <v>128</v>
      </c>
      <c r="E61" s="15">
        <v>10929108</v>
      </c>
      <c r="F61" s="2" t="s">
        <v>95</v>
      </c>
      <c r="G61" s="16">
        <v>1</v>
      </c>
      <c r="H61" s="13">
        <f t="shared" si="3"/>
        <v>0.91104415840707231</v>
      </c>
      <c r="I61" s="16">
        <v>0.91</v>
      </c>
      <c r="J61" s="17">
        <f t="shared" si="4"/>
        <v>-1.044158407072282E-3</v>
      </c>
      <c r="K61" s="13">
        <f t="shared" si="5"/>
        <v>1.044158407072282E-3</v>
      </c>
      <c r="L61" s="2" t="s">
        <v>44</v>
      </c>
    </row>
    <row r="62" spans="1:12" x14ac:dyDescent="0.25">
      <c r="A62" s="2" t="s">
        <v>126</v>
      </c>
      <c r="B62" s="2" t="s">
        <v>112</v>
      </c>
      <c r="C62" s="15">
        <v>90455</v>
      </c>
      <c r="D62" s="2" t="s">
        <v>128</v>
      </c>
      <c r="E62" s="15">
        <v>11456450</v>
      </c>
      <c r="F62" s="2" t="s">
        <v>95</v>
      </c>
      <c r="G62" s="16">
        <v>1</v>
      </c>
      <c r="H62" s="13">
        <f t="shared" si="3"/>
        <v>0.78955522871395589</v>
      </c>
      <c r="I62" s="16">
        <v>0.78900000000000003</v>
      </c>
      <c r="J62" s="17">
        <f t="shared" si="4"/>
        <v>-5.552287139558576E-4</v>
      </c>
      <c r="K62" s="13">
        <f t="shared" si="5"/>
        <v>5.552287139558576E-4</v>
      </c>
      <c r="L62" s="2" t="s">
        <v>44</v>
      </c>
    </row>
    <row r="63" spans="1:12" hidden="1" x14ac:dyDescent="0.25">
      <c r="A63" s="2" t="s">
        <v>135</v>
      </c>
      <c r="B63" s="2" t="s">
        <v>136</v>
      </c>
      <c r="C63" s="18">
        <f>'Hyperscalers first-hand'!I10</f>
        <v>139.74133333333333</v>
      </c>
      <c r="D63" s="2" t="s">
        <v>137</v>
      </c>
      <c r="E63" s="18">
        <f>'Hyperscalers first-hand'!J10</f>
        <v>24384.683499999999</v>
      </c>
      <c r="F63" s="2" t="s">
        <v>138</v>
      </c>
      <c r="G63" s="16">
        <v>1</v>
      </c>
      <c r="H63" s="13">
        <f t="shared" si="3"/>
        <v>0.5730701131853253</v>
      </c>
      <c r="I63" s="16">
        <v>0.53700000000000003</v>
      </c>
      <c r="J63" s="17">
        <f t="shared" si="4"/>
        <v>-3.607011318532527E-2</v>
      </c>
      <c r="K63" s="13">
        <f t="shared" si="5"/>
        <v>3.607011318532527E-2</v>
      </c>
      <c r="L63" s="2" t="s">
        <v>45</v>
      </c>
    </row>
    <row r="64" spans="1:12" hidden="1" x14ac:dyDescent="0.25">
      <c r="A64" s="2" t="s">
        <v>135</v>
      </c>
      <c r="B64" s="2" t="s">
        <v>139</v>
      </c>
      <c r="C64" s="18">
        <f>'Hyperscalers first-hand'!I11</f>
        <v>146.54900000000001</v>
      </c>
      <c r="D64" s="2" t="s">
        <v>137</v>
      </c>
      <c r="E64" s="18">
        <f>'Hyperscalers first-hand'!J11</f>
        <v>24987.84475</v>
      </c>
      <c r="F64" s="2" t="s">
        <v>138</v>
      </c>
      <c r="G64" s="16">
        <v>1</v>
      </c>
      <c r="H64" s="13">
        <f t="shared" si="3"/>
        <v>0.5864811530014008</v>
      </c>
      <c r="I64" s="16">
        <v>0.56399999999999995</v>
      </c>
      <c r="J64" s="17">
        <f t="shared" si="4"/>
        <v>-2.2481153001400855E-2</v>
      </c>
      <c r="K64" s="13">
        <f t="shared" si="5"/>
        <v>2.2481153001400855E-2</v>
      </c>
      <c r="L64" s="2" t="s">
        <v>45</v>
      </c>
    </row>
    <row r="65" spans="1:12" hidden="1" x14ac:dyDescent="0.25">
      <c r="A65" s="2" t="s">
        <v>135</v>
      </c>
      <c r="B65" s="2" t="s">
        <v>140</v>
      </c>
      <c r="C65" s="18">
        <f>'Hyperscalers first-hand'!I12</f>
        <v>154.07933333333335</v>
      </c>
      <c r="D65" s="2" t="s">
        <v>137</v>
      </c>
      <c r="E65" s="18">
        <f>'Hyperscalers first-hand'!J12</f>
        <v>25571.97725</v>
      </c>
      <c r="F65" s="2" t="s">
        <v>138</v>
      </c>
      <c r="G65" s="16">
        <v>1</v>
      </c>
      <c r="H65" s="13">
        <f t="shared" si="3"/>
        <v>0.60253195060750864</v>
      </c>
      <c r="I65" s="16">
        <v>0.59499999999999997</v>
      </c>
      <c r="J65" s="17">
        <f t="shared" si="4"/>
        <v>-7.531950607508664E-3</v>
      </c>
      <c r="K65" s="13">
        <f t="shared" si="5"/>
        <v>7.531950607508664E-3</v>
      </c>
      <c r="L65" s="2" t="s">
        <v>45</v>
      </c>
    </row>
    <row r="66" spans="1:12" hidden="1" x14ac:dyDescent="0.25">
      <c r="A66" s="2" t="s">
        <v>135</v>
      </c>
      <c r="B66" s="2" t="s">
        <v>141</v>
      </c>
      <c r="C66" s="18">
        <f>'Hyperscalers first-hand'!I13</f>
        <v>158.27100000000002</v>
      </c>
      <c r="D66" s="2" t="s">
        <v>137</v>
      </c>
      <c r="E66" s="18">
        <f>'Hyperscalers first-hand'!J13</f>
        <v>26059.708999999999</v>
      </c>
      <c r="F66" s="2" t="s">
        <v>138</v>
      </c>
      <c r="G66" s="16">
        <v>1</v>
      </c>
      <c r="H66" s="13">
        <f t="shared" ref="H66:H97" si="6">C66*G66/E66*100</f>
        <v>0.60733985939750912</v>
      </c>
      <c r="I66" s="16">
        <v>0.61099999999999999</v>
      </c>
      <c r="J66" s="17">
        <f t="shared" ref="J66:J97" si="7">I66-H66</f>
        <v>3.6601406024908689E-3</v>
      </c>
      <c r="K66" s="13">
        <f t="shared" ref="K66:K97" si="8">ABS(J66)</f>
        <v>3.6601406024908689E-3</v>
      </c>
      <c r="L66" s="2" t="s">
        <v>45</v>
      </c>
    </row>
    <row r="67" spans="1:12" hidden="1" x14ac:dyDescent="0.25">
      <c r="A67" s="2" t="s">
        <v>135</v>
      </c>
      <c r="B67" s="2" t="s">
        <v>142</v>
      </c>
      <c r="C67" s="18">
        <f>'Hyperscalers first-hand'!I14</f>
        <v>157.86033333333336</v>
      </c>
      <c r="D67" s="2" t="s">
        <v>137</v>
      </c>
      <c r="E67" s="18">
        <f>'Hyperscalers first-hand'!J14</f>
        <v>26555.031499999997</v>
      </c>
      <c r="F67" s="2" t="s">
        <v>138</v>
      </c>
      <c r="G67" s="16">
        <v>1</v>
      </c>
      <c r="H67" s="13">
        <f t="shared" si="6"/>
        <v>0.59446486942910759</v>
      </c>
      <c r="I67" s="16">
        <v>0.56899999999999995</v>
      </c>
      <c r="J67" s="17">
        <f t="shared" si="7"/>
        <v>-2.5464869429107639E-2</v>
      </c>
      <c r="K67" s="13">
        <f t="shared" si="8"/>
        <v>2.5464869429107639E-2</v>
      </c>
      <c r="L67" s="2" t="s">
        <v>45</v>
      </c>
    </row>
    <row r="68" spans="1:12" hidden="1" x14ac:dyDescent="0.25">
      <c r="A68" s="2" t="s">
        <v>135</v>
      </c>
      <c r="B68" s="2" t="s">
        <v>143</v>
      </c>
      <c r="C68" s="18">
        <f>'Hyperscalers first-hand'!I15</f>
        <v>154.477</v>
      </c>
      <c r="D68" s="2" t="s">
        <v>137</v>
      </c>
      <c r="E68" s="18">
        <f>'Hyperscalers first-hand'!J15</f>
        <v>26971.174499999997</v>
      </c>
      <c r="F68" s="2" t="s">
        <v>138</v>
      </c>
      <c r="G68" s="16">
        <v>1</v>
      </c>
      <c r="H68" s="13">
        <f t="shared" si="6"/>
        <v>0.57274850970987568</v>
      </c>
      <c r="I68" s="16">
        <v>0.55500000000000005</v>
      </c>
      <c r="J68" s="17">
        <f t="shared" si="7"/>
        <v>-1.7748509709875626E-2</v>
      </c>
      <c r="K68" s="13">
        <f t="shared" si="8"/>
        <v>1.7748509709875626E-2</v>
      </c>
      <c r="L68" s="2" t="s">
        <v>45</v>
      </c>
    </row>
    <row r="69" spans="1:12" hidden="1" x14ac:dyDescent="0.25">
      <c r="A69" s="2" t="s">
        <v>135</v>
      </c>
      <c r="B69" s="2" t="s">
        <v>144</v>
      </c>
      <c r="C69" s="18">
        <f>'Hyperscalers first-hand'!I16</f>
        <v>151.39033333333333</v>
      </c>
      <c r="D69" s="2" t="s">
        <v>137</v>
      </c>
      <c r="E69" s="18">
        <f>'Hyperscalers first-hand'!J16</f>
        <v>27403.339</v>
      </c>
      <c r="F69" s="2" t="s">
        <v>138</v>
      </c>
      <c r="G69" s="16">
        <v>1</v>
      </c>
      <c r="H69" s="13">
        <f t="shared" si="6"/>
        <v>0.55245214217629957</v>
      </c>
      <c r="I69" s="16">
        <v>0.54200000000000004</v>
      </c>
      <c r="J69" s="17">
        <f t="shared" si="7"/>
        <v>-1.0452142176299528E-2</v>
      </c>
      <c r="K69" s="13">
        <f t="shared" si="8"/>
        <v>1.0452142176299528E-2</v>
      </c>
      <c r="L69" s="2" t="s">
        <v>45</v>
      </c>
    </row>
    <row r="70" spans="1:12" hidden="1" x14ac:dyDescent="0.25">
      <c r="A70" s="2" t="s">
        <v>135</v>
      </c>
      <c r="B70" s="2" t="s">
        <v>145</v>
      </c>
      <c r="C70" s="18">
        <f>'Hyperscalers first-hand'!I17</f>
        <v>153.84399999999999</v>
      </c>
      <c r="D70" s="2" t="s">
        <v>137</v>
      </c>
      <c r="E70" s="18">
        <f>'Hyperscalers first-hand'!J17</f>
        <v>27825.88625</v>
      </c>
      <c r="F70" s="2" t="s">
        <v>138</v>
      </c>
      <c r="G70" s="16">
        <v>1</v>
      </c>
      <c r="H70" s="13">
        <f t="shared" si="6"/>
        <v>0.55288086286919258</v>
      </c>
      <c r="I70" s="16">
        <v>0.55100000000000005</v>
      </c>
      <c r="J70" s="17">
        <f t="shared" si="7"/>
        <v>-1.8808628691925344E-3</v>
      </c>
      <c r="K70" s="13">
        <f t="shared" si="8"/>
        <v>1.8808628691925344E-3</v>
      </c>
      <c r="L70" s="2" t="s">
        <v>45</v>
      </c>
    </row>
    <row r="71" spans="1:12" hidden="1" x14ac:dyDescent="0.25">
      <c r="A71" s="2" t="s">
        <v>135</v>
      </c>
      <c r="B71" s="2" t="s">
        <v>146</v>
      </c>
      <c r="C71" s="18">
        <f>'Hyperscalers first-hand'!I18</f>
        <v>163.86599999999999</v>
      </c>
      <c r="D71" s="2" t="s">
        <v>137</v>
      </c>
      <c r="E71" s="18">
        <f>'Hyperscalers first-hand'!J18</f>
        <v>28213.863499999999</v>
      </c>
      <c r="F71" s="2" t="s">
        <v>138</v>
      </c>
      <c r="G71" s="16">
        <v>1</v>
      </c>
      <c r="H71" s="13">
        <f t="shared" si="6"/>
        <v>0.5807995774843101</v>
      </c>
      <c r="I71" s="16">
        <v>0.56200000000000006</v>
      </c>
      <c r="J71" s="17">
        <f t="shared" si="7"/>
        <v>-1.8799577484310048E-2</v>
      </c>
      <c r="K71" s="13">
        <f t="shared" si="8"/>
        <v>1.8799577484310048E-2</v>
      </c>
      <c r="L71" s="2" t="s">
        <v>45</v>
      </c>
    </row>
    <row r="72" spans="1:12" hidden="1" x14ac:dyDescent="0.25">
      <c r="A72" s="2" t="s">
        <v>135</v>
      </c>
      <c r="B72" s="2" t="s">
        <v>147</v>
      </c>
      <c r="C72" s="18">
        <f>'Hyperscalers first-hand'!I19</f>
        <v>184.21766666666667</v>
      </c>
      <c r="D72" s="2" t="s">
        <v>137</v>
      </c>
      <c r="E72" s="18">
        <f>'Hyperscalers first-hand'!J19</f>
        <v>28638.623250000004</v>
      </c>
      <c r="F72" s="2" t="s">
        <v>138</v>
      </c>
      <c r="G72" s="16">
        <v>1</v>
      </c>
      <c r="H72" s="13">
        <f t="shared" si="6"/>
        <v>0.64324903141657364</v>
      </c>
      <c r="I72" s="16">
        <v>0.63</v>
      </c>
      <c r="J72" s="17">
        <f t="shared" si="7"/>
        <v>-1.3249031416573631E-2</v>
      </c>
      <c r="K72" s="13">
        <f t="shared" si="8"/>
        <v>1.3249031416573631E-2</v>
      </c>
      <c r="L72" s="2" t="s">
        <v>45</v>
      </c>
    </row>
    <row r="73" spans="1:12" hidden="1" x14ac:dyDescent="0.25">
      <c r="A73" s="2" t="s">
        <v>135</v>
      </c>
      <c r="B73" s="2" t="s">
        <v>148</v>
      </c>
      <c r="C73" s="18">
        <f>'Hyperscalers first-hand'!I20</f>
        <v>207.75533333333334</v>
      </c>
      <c r="D73" s="2" t="s">
        <v>137</v>
      </c>
      <c r="E73" s="18">
        <f>'Hyperscalers first-hand'!J20</f>
        <v>29014.679250000001</v>
      </c>
      <c r="F73" s="2" t="s">
        <v>138</v>
      </c>
      <c r="G73" s="16">
        <v>1</v>
      </c>
      <c r="H73" s="13">
        <f t="shared" si="6"/>
        <v>0.71603525768196574</v>
      </c>
      <c r="I73" s="16">
        <v>0.71499999999999997</v>
      </c>
      <c r="J73" s="17">
        <f t="shared" si="7"/>
        <v>-1.0352576819657733E-3</v>
      </c>
      <c r="K73" s="13">
        <f t="shared" si="8"/>
        <v>1.0352576819657733E-3</v>
      </c>
      <c r="L73" s="2" t="s">
        <v>45</v>
      </c>
    </row>
    <row r="74" spans="1:12" hidden="1" x14ac:dyDescent="0.25">
      <c r="A74" s="2" t="s">
        <v>135</v>
      </c>
      <c r="B74" s="2" t="s">
        <v>149</v>
      </c>
      <c r="C74" s="18">
        <f>'Hyperscalers first-hand'!I21</f>
        <v>240.483</v>
      </c>
      <c r="D74" s="2" t="s">
        <v>137</v>
      </c>
      <c r="E74" s="18">
        <f>'Hyperscalers first-hand'!J21</f>
        <v>29380.990749999997</v>
      </c>
      <c r="F74" s="2" t="s">
        <v>138</v>
      </c>
      <c r="G74" s="16">
        <v>1</v>
      </c>
      <c r="H74" s="13">
        <f t="shared" si="6"/>
        <v>0.81849860696069276</v>
      </c>
      <c r="I74" s="16">
        <v>0.82899999999999996</v>
      </c>
      <c r="J74" s="17">
        <f t="shared" si="7"/>
        <v>1.0501393039307194E-2</v>
      </c>
      <c r="K74" s="13">
        <f t="shared" si="8"/>
        <v>1.0501393039307194E-2</v>
      </c>
      <c r="L74" s="2" t="s">
        <v>45</v>
      </c>
    </row>
    <row r="75" spans="1:12" hidden="1" x14ac:dyDescent="0.25">
      <c r="A75" s="2" t="s">
        <v>135</v>
      </c>
      <c r="B75" s="2" t="s">
        <v>150</v>
      </c>
      <c r="C75" s="18">
        <f>'Hyperscalers first-hand'!I22</f>
        <v>272.98199999999997</v>
      </c>
      <c r="D75" s="2" t="s">
        <v>137</v>
      </c>
      <c r="E75" s="18">
        <f>'Hyperscalers first-hand'!J22</f>
        <v>29725.687749999997</v>
      </c>
      <c r="F75" s="2" t="s">
        <v>138</v>
      </c>
      <c r="G75" s="16">
        <v>1</v>
      </c>
      <c r="H75" s="13">
        <f t="shared" si="6"/>
        <v>0.91833703662583877</v>
      </c>
      <c r="I75" s="16">
        <v>0.90100000000000002</v>
      </c>
      <c r="J75" s="17">
        <f t="shared" si="7"/>
        <v>-1.7337036625838742E-2</v>
      </c>
      <c r="K75" s="13">
        <f t="shared" si="8"/>
        <v>1.7337036625838742E-2</v>
      </c>
      <c r="L75" s="2" t="s">
        <v>45</v>
      </c>
    </row>
    <row r="76" spans="1:12" hidden="1" x14ac:dyDescent="0.25">
      <c r="A76" s="2" t="s">
        <v>135</v>
      </c>
      <c r="B76" s="2" t="s">
        <v>151</v>
      </c>
      <c r="C76" s="18">
        <f>'Hyperscalers first-hand'!I23</f>
        <v>314.63033333333328</v>
      </c>
      <c r="D76" s="2" t="s">
        <v>137</v>
      </c>
      <c r="E76" s="18">
        <f>'Hyperscalers first-hand'!J23</f>
        <v>30074.990250000003</v>
      </c>
      <c r="F76" s="2" t="s">
        <v>138</v>
      </c>
      <c r="G76" s="16">
        <v>1</v>
      </c>
      <c r="H76" s="13">
        <f t="shared" si="6"/>
        <v>1.0461527359375726</v>
      </c>
      <c r="I76" s="16">
        <v>1.036</v>
      </c>
      <c r="J76" s="17">
        <f t="shared" si="7"/>
        <v>-1.0152735937572599E-2</v>
      </c>
      <c r="K76" s="13">
        <f t="shared" si="8"/>
        <v>1.0152735937572599E-2</v>
      </c>
      <c r="L76" s="2" t="s">
        <v>45</v>
      </c>
    </row>
    <row r="77" spans="1:12" hidden="1" x14ac:dyDescent="0.25">
      <c r="A77" s="2" t="s">
        <v>135</v>
      </c>
      <c r="B77" s="2" t="s">
        <v>152</v>
      </c>
      <c r="C77" s="18">
        <f>'Hyperscalers first-hand'!I24</f>
        <v>359.85966666666667</v>
      </c>
      <c r="D77" s="2" t="s">
        <v>137</v>
      </c>
      <c r="E77" s="18">
        <f>'Hyperscalers first-hand'!J24</f>
        <v>30478.049500000001</v>
      </c>
      <c r="F77" s="2" t="s">
        <v>138</v>
      </c>
      <c r="G77" s="16">
        <v>1</v>
      </c>
      <c r="H77" s="13">
        <f t="shared" si="6"/>
        <v>1.1807175084044228</v>
      </c>
      <c r="I77" s="16">
        <v>1.1870000000000001</v>
      </c>
      <c r="J77" s="17">
        <f t="shared" si="7"/>
        <v>6.2824915955772553E-3</v>
      </c>
      <c r="K77" s="13">
        <f t="shared" si="8"/>
        <v>6.2824915955772553E-3</v>
      </c>
      <c r="L77" s="2" t="s">
        <v>45</v>
      </c>
    </row>
    <row r="78" spans="1:12" hidden="1" x14ac:dyDescent="0.25">
      <c r="A78" s="2" t="s">
        <v>135</v>
      </c>
      <c r="B78" s="2" t="s">
        <v>153</v>
      </c>
      <c r="C78" s="18">
        <f>'Hyperscalers first-hand'!I25</f>
        <v>415.7856666666666</v>
      </c>
      <c r="D78" s="2" t="s">
        <v>137</v>
      </c>
      <c r="E78" s="18">
        <f>'Hyperscalers first-hand'!J25</f>
        <v>30861.292249999999</v>
      </c>
      <c r="F78" s="2" t="s">
        <v>138</v>
      </c>
      <c r="G78" s="16">
        <v>1</v>
      </c>
      <c r="H78" s="13">
        <f t="shared" si="6"/>
        <v>1.3472723802311506</v>
      </c>
      <c r="I78" s="16">
        <v>1.379</v>
      </c>
      <c r="J78" s="17">
        <f t="shared" si="7"/>
        <v>3.1727619768849413E-2</v>
      </c>
      <c r="K78" s="13">
        <f t="shared" si="8"/>
        <v>3.1727619768849413E-2</v>
      </c>
      <c r="L78" s="2" t="s">
        <v>45</v>
      </c>
    </row>
    <row r="79" spans="1:12" hidden="1" x14ac:dyDescent="0.25">
      <c r="A79" s="2" t="s">
        <v>135</v>
      </c>
      <c r="B79" s="2" t="s">
        <v>154</v>
      </c>
      <c r="C79" s="18">
        <f>'Hyperscalers first-hand'!I26</f>
        <v>484.61999999999995</v>
      </c>
      <c r="D79" s="2" t="s">
        <v>137</v>
      </c>
      <c r="E79" s="18">
        <f>'Hyperscalers first-hand'!J26</f>
        <v>31294.866000000002</v>
      </c>
      <c r="F79" s="2" t="s">
        <v>138</v>
      </c>
      <c r="G79" s="16">
        <v>1</v>
      </c>
      <c r="H79" s="13">
        <f t="shared" si="6"/>
        <v>1.5485607128019017</v>
      </c>
      <c r="I79" s="16">
        <v>1.536</v>
      </c>
      <c r="J79" s="17">
        <f t="shared" si="7"/>
        <v>-1.256071280190163E-2</v>
      </c>
      <c r="K79" s="13">
        <f t="shared" si="8"/>
        <v>1.256071280190163E-2</v>
      </c>
      <c r="L79" s="2" t="s">
        <v>45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02"/>
  <sheetViews>
    <sheetView showGridLines="0"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0" customWidth="1"/>
    <col min="2" max="2" width="30" customWidth="1"/>
    <col min="3" max="4" width="14" customWidth="1"/>
    <col min="5" max="5" width="12" customWidth="1"/>
    <col min="6" max="6" width="14" customWidth="1"/>
  </cols>
  <sheetData>
    <row r="1" spans="1:6" ht="26.25" x14ac:dyDescent="0.25">
      <c r="A1" s="3" t="s">
        <v>55</v>
      </c>
      <c r="B1" s="4" t="s">
        <v>155</v>
      </c>
      <c r="C1" s="4" t="s">
        <v>156</v>
      </c>
      <c r="D1" s="4" t="s">
        <v>157</v>
      </c>
      <c r="E1" s="4" t="s">
        <v>158</v>
      </c>
      <c r="F1" s="4" t="s">
        <v>159</v>
      </c>
    </row>
    <row r="2" spans="1:6" x14ac:dyDescent="0.25">
      <c r="A2" s="2" t="s">
        <v>67</v>
      </c>
      <c r="B2" s="2" t="s">
        <v>12</v>
      </c>
      <c r="C2" s="2">
        <v>1899</v>
      </c>
      <c r="D2" s="2">
        <f>C2-C2</f>
        <v>0</v>
      </c>
      <c r="E2" s="19">
        <v>1.169</v>
      </c>
      <c r="F2" s="2">
        <v>1899</v>
      </c>
    </row>
    <row r="3" spans="1:6" x14ac:dyDescent="0.25">
      <c r="A3" s="2" t="s">
        <v>67</v>
      </c>
      <c r="B3" s="2" t="s">
        <v>12</v>
      </c>
      <c r="C3" s="2">
        <v>1900</v>
      </c>
      <c r="D3" s="2">
        <f>C3-C2</f>
        <v>1</v>
      </c>
      <c r="E3" s="19">
        <v>1.2470000000000001</v>
      </c>
      <c r="F3" s="2">
        <v>1900</v>
      </c>
    </row>
    <row r="4" spans="1:6" x14ac:dyDescent="0.25">
      <c r="A4" s="2" t="s">
        <v>67</v>
      </c>
      <c r="B4" s="2" t="s">
        <v>12</v>
      </c>
      <c r="C4" s="2">
        <v>1901</v>
      </c>
      <c r="D4" s="2">
        <f>C4-C2</f>
        <v>2</v>
      </c>
      <c r="E4" s="19">
        <v>1.0469999999999999</v>
      </c>
      <c r="F4" s="2">
        <v>1901</v>
      </c>
    </row>
    <row r="5" spans="1:6" x14ac:dyDescent="0.25">
      <c r="A5" s="2" t="s">
        <v>67</v>
      </c>
      <c r="B5" s="2" t="s">
        <v>12</v>
      </c>
      <c r="C5" s="2">
        <v>1902</v>
      </c>
      <c r="D5" s="2">
        <f>C5-C2</f>
        <v>3</v>
      </c>
      <c r="E5" s="19">
        <v>1.0680000000000001</v>
      </c>
      <c r="F5" s="2">
        <v>1902</v>
      </c>
    </row>
    <row r="6" spans="1:6" x14ac:dyDescent="0.25">
      <c r="A6" s="2" t="s">
        <v>67</v>
      </c>
      <c r="B6" s="2" t="s">
        <v>12</v>
      </c>
      <c r="C6" s="2">
        <v>1903</v>
      </c>
      <c r="D6" s="2">
        <f>C6-C2</f>
        <v>4</v>
      </c>
      <c r="E6" s="19">
        <v>1.0680000000000001</v>
      </c>
      <c r="F6" s="2">
        <v>1903</v>
      </c>
    </row>
    <row r="7" spans="1:6" x14ac:dyDescent="0.25">
      <c r="A7" s="2" t="s">
        <v>67</v>
      </c>
      <c r="B7" s="2" t="s">
        <v>12</v>
      </c>
      <c r="C7" s="2">
        <v>1904</v>
      </c>
      <c r="D7" s="2">
        <f>C7-C2</f>
        <v>5</v>
      </c>
      <c r="E7" s="19">
        <v>1.252</v>
      </c>
      <c r="F7" s="2">
        <v>1904</v>
      </c>
    </row>
    <row r="8" spans="1:6" x14ac:dyDescent="0.25">
      <c r="A8" s="2" t="s">
        <v>67</v>
      </c>
      <c r="B8" s="2" t="s">
        <v>12</v>
      </c>
      <c r="C8" s="2">
        <v>1905</v>
      </c>
      <c r="D8" s="2">
        <f>C8-C2</f>
        <v>6</v>
      </c>
      <c r="E8" s="19">
        <v>1.49</v>
      </c>
      <c r="F8" s="2">
        <v>1905</v>
      </c>
    </row>
    <row r="9" spans="1:6" x14ac:dyDescent="0.25">
      <c r="A9" s="2" t="s">
        <v>67</v>
      </c>
      <c r="B9" s="2" t="s">
        <v>12</v>
      </c>
      <c r="C9" s="2">
        <v>1906</v>
      </c>
      <c r="D9" s="2">
        <f>C9-C2</f>
        <v>7</v>
      </c>
      <c r="E9" s="19">
        <v>1.798</v>
      </c>
      <c r="F9" s="2">
        <v>1906</v>
      </c>
    </row>
    <row r="10" spans="1:6" x14ac:dyDescent="0.25">
      <c r="A10" s="2" t="s">
        <v>67</v>
      </c>
      <c r="B10" s="2" t="s">
        <v>12</v>
      </c>
      <c r="C10" s="2">
        <v>1907</v>
      </c>
      <c r="D10" s="2">
        <f>C10-C2</f>
        <v>8</v>
      </c>
      <c r="E10" s="19">
        <v>2.0259999999999998</v>
      </c>
      <c r="F10" s="2">
        <v>1907</v>
      </c>
    </row>
    <row r="11" spans="1:6" x14ac:dyDescent="0.25">
      <c r="A11" s="2" t="s">
        <v>67</v>
      </c>
      <c r="B11" s="2" t="s">
        <v>12</v>
      </c>
      <c r="C11" s="2">
        <v>1908</v>
      </c>
      <c r="D11" s="2">
        <f>C11-C2</f>
        <v>9</v>
      </c>
      <c r="E11" s="19">
        <v>2.2210000000000001</v>
      </c>
      <c r="F11" s="2">
        <v>1908</v>
      </c>
    </row>
    <row r="12" spans="1:6" x14ac:dyDescent="0.25">
      <c r="A12" s="2" t="s">
        <v>67</v>
      </c>
      <c r="B12" s="2" t="s">
        <v>12</v>
      </c>
      <c r="C12" s="2">
        <v>1909</v>
      </c>
      <c r="D12" s="2">
        <f>C12-C2</f>
        <v>10</v>
      </c>
      <c r="E12" s="19">
        <v>2.1150000000000002</v>
      </c>
      <c r="F12" s="2">
        <v>1909</v>
      </c>
    </row>
    <row r="13" spans="1:6" x14ac:dyDescent="0.25">
      <c r="A13" s="2" t="s">
        <v>67</v>
      </c>
      <c r="B13" s="2" t="s">
        <v>12</v>
      </c>
      <c r="C13" s="2">
        <v>1910</v>
      </c>
      <c r="D13" s="2">
        <f>C13-C2</f>
        <v>11</v>
      </c>
      <c r="E13" s="19">
        <v>2.3029999999999999</v>
      </c>
      <c r="F13" s="2">
        <v>1910</v>
      </c>
    </row>
    <row r="14" spans="1:6" x14ac:dyDescent="0.25">
      <c r="A14" s="2" t="s">
        <v>67</v>
      </c>
      <c r="B14" s="2" t="s">
        <v>12</v>
      </c>
      <c r="C14" s="2">
        <v>1911</v>
      </c>
      <c r="D14" s="2">
        <f>C14-C2</f>
        <v>12</v>
      </c>
      <c r="E14" s="19">
        <v>2.117</v>
      </c>
      <c r="F14" s="2">
        <v>1911</v>
      </c>
    </row>
    <row r="15" spans="1:6" x14ac:dyDescent="0.25">
      <c r="A15" s="2" t="s">
        <v>67</v>
      </c>
      <c r="B15" s="2" t="s">
        <v>12</v>
      </c>
      <c r="C15" s="2">
        <v>1912</v>
      </c>
      <c r="D15" s="2">
        <f>C15-C2</f>
        <v>13</v>
      </c>
      <c r="E15" s="19">
        <v>1.998</v>
      </c>
      <c r="F15" s="2">
        <v>1912</v>
      </c>
    </row>
    <row r="16" spans="1:6" x14ac:dyDescent="0.25">
      <c r="A16" s="2" t="s">
        <v>67</v>
      </c>
      <c r="B16" s="2" t="s">
        <v>12</v>
      </c>
      <c r="C16" s="2">
        <v>1913</v>
      </c>
      <c r="D16" s="2">
        <f>C16-C2</f>
        <v>14</v>
      </c>
      <c r="E16" s="19">
        <v>1.9790000000000001</v>
      </c>
      <c r="F16" s="2">
        <v>1913</v>
      </c>
    </row>
    <row r="17" spans="1:6" x14ac:dyDescent="0.25">
      <c r="A17" s="2" t="s">
        <v>67</v>
      </c>
      <c r="B17" s="2" t="s">
        <v>12</v>
      </c>
      <c r="C17" s="2">
        <v>1914</v>
      </c>
      <c r="D17" s="2">
        <f>C17-C2</f>
        <v>15</v>
      </c>
      <c r="E17" s="19">
        <v>1.4179999999999999</v>
      </c>
      <c r="F17" s="2">
        <v>1914</v>
      </c>
    </row>
    <row r="18" spans="1:6" x14ac:dyDescent="0.25">
      <c r="A18" s="2" t="s">
        <v>67</v>
      </c>
      <c r="B18" s="2" t="s">
        <v>12</v>
      </c>
      <c r="C18" s="2">
        <v>1915</v>
      </c>
      <c r="D18" s="2">
        <f>C18-C2</f>
        <v>16</v>
      </c>
      <c r="E18" s="19">
        <v>0.79</v>
      </c>
      <c r="F18" s="2">
        <v>1915</v>
      </c>
    </row>
    <row r="19" spans="1:6" x14ac:dyDescent="0.25">
      <c r="A19" s="2" t="s">
        <v>67</v>
      </c>
      <c r="B19" s="2" t="s">
        <v>12</v>
      </c>
      <c r="C19" s="2">
        <v>1916</v>
      </c>
      <c r="D19" s="2">
        <f>C19-C2</f>
        <v>17</v>
      </c>
      <c r="E19" s="19">
        <v>0.81599999999999995</v>
      </c>
      <c r="F19" s="2">
        <v>1916</v>
      </c>
    </row>
    <row r="20" spans="1:6" x14ac:dyDescent="0.25">
      <c r="A20" s="2" t="s">
        <v>67</v>
      </c>
      <c r="B20" s="2" t="s">
        <v>12</v>
      </c>
      <c r="C20" s="2">
        <v>1917</v>
      </c>
      <c r="D20" s="2">
        <f>C20-C2</f>
        <v>18</v>
      </c>
      <c r="E20" s="19">
        <v>1.0129999999999999</v>
      </c>
      <c r="F20" s="2">
        <v>1917</v>
      </c>
    </row>
    <row r="21" spans="1:6" x14ac:dyDescent="0.25">
      <c r="A21" s="2" t="s">
        <v>67</v>
      </c>
      <c r="B21" s="2" t="s">
        <v>12</v>
      </c>
      <c r="C21" s="2">
        <v>1918</v>
      </c>
      <c r="D21" s="2">
        <f>C21-C2</f>
        <v>19</v>
      </c>
      <c r="E21" s="19">
        <v>0.78</v>
      </c>
      <c r="F21" s="2">
        <v>1918</v>
      </c>
    </row>
    <row r="22" spans="1:6" x14ac:dyDescent="0.25">
      <c r="A22" s="2" t="s">
        <v>67</v>
      </c>
      <c r="B22" s="2" t="s">
        <v>12</v>
      </c>
      <c r="C22" s="2">
        <v>1919</v>
      </c>
      <c r="D22" s="2">
        <f>C22-C2</f>
        <v>20</v>
      </c>
      <c r="E22" s="19">
        <v>0.50800000000000001</v>
      </c>
      <c r="F22" s="2">
        <v>1919</v>
      </c>
    </row>
    <row r="23" spans="1:6" x14ac:dyDescent="0.25">
      <c r="A23" s="2" t="s">
        <v>67</v>
      </c>
      <c r="B23" s="2" t="s">
        <v>12</v>
      </c>
      <c r="C23" s="2">
        <v>1920</v>
      </c>
      <c r="D23" s="2">
        <f>C23-C2</f>
        <v>21</v>
      </c>
      <c r="E23" s="19">
        <v>0.72599999999999998</v>
      </c>
      <c r="F23" s="2">
        <v>1920</v>
      </c>
    </row>
    <row r="24" spans="1:6" x14ac:dyDescent="0.25">
      <c r="A24" s="2" t="s">
        <v>92</v>
      </c>
      <c r="B24" s="2" t="s">
        <v>13</v>
      </c>
      <c r="C24" s="2">
        <v>1972</v>
      </c>
      <c r="D24" s="2">
        <f>C24-C24</f>
        <v>0</v>
      </c>
      <c r="E24" s="19">
        <v>0.379</v>
      </c>
      <c r="F24" s="2">
        <v>1972</v>
      </c>
    </row>
    <row r="25" spans="1:6" x14ac:dyDescent="0.25">
      <c r="A25" s="2" t="s">
        <v>92</v>
      </c>
      <c r="B25" s="2" t="s">
        <v>13</v>
      </c>
      <c r="C25" s="2">
        <v>1972.25</v>
      </c>
      <c r="D25" s="2">
        <f>C25-C24</f>
        <v>0.25</v>
      </c>
      <c r="E25" s="19">
        <v>0.379</v>
      </c>
      <c r="F25" s="2">
        <v>1972</v>
      </c>
    </row>
    <row r="26" spans="1:6" x14ac:dyDescent="0.25">
      <c r="A26" s="2" t="s">
        <v>92</v>
      </c>
      <c r="B26" s="2" t="s">
        <v>13</v>
      </c>
      <c r="C26" s="2">
        <v>1972.5</v>
      </c>
      <c r="D26" s="2">
        <f>C26-C24</f>
        <v>0.5</v>
      </c>
      <c r="E26" s="19">
        <v>0.39100000000000001</v>
      </c>
      <c r="F26" s="2">
        <v>1973</v>
      </c>
    </row>
    <row r="27" spans="1:6" x14ac:dyDescent="0.25">
      <c r="A27" s="2" t="s">
        <v>92</v>
      </c>
      <c r="B27" s="2" t="s">
        <v>13</v>
      </c>
      <c r="C27" s="2">
        <v>1972.75</v>
      </c>
      <c r="D27" s="2">
        <f>C27-C24</f>
        <v>0.75</v>
      </c>
      <c r="E27" s="19">
        <v>0.39100000000000001</v>
      </c>
      <c r="F27" s="2">
        <v>1973</v>
      </c>
    </row>
    <row r="28" spans="1:6" x14ac:dyDescent="0.25">
      <c r="A28" s="2" t="s">
        <v>92</v>
      </c>
      <c r="B28" s="2" t="s">
        <v>13</v>
      </c>
      <c r="C28" s="2">
        <v>1973</v>
      </c>
      <c r="D28" s="2">
        <f>C28-C24</f>
        <v>1</v>
      </c>
      <c r="E28" s="19">
        <v>0.39100000000000001</v>
      </c>
      <c r="F28" s="2">
        <v>1973</v>
      </c>
    </row>
    <row r="29" spans="1:6" x14ac:dyDescent="0.25">
      <c r="A29" s="2" t="s">
        <v>92</v>
      </c>
      <c r="B29" s="2" t="s">
        <v>13</v>
      </c>
      <c r="C29" s="2">
        <v>1973.25</v>
      </c>
      <c r="D29" s="2">
        <f>C29-C24</f>
        <v>1.25</v>
      </c>
      <c r="E29" s="19">
        <v>0.39100000000000001</v>
      </c>
      <c r="F29" s="2">
        <v>1973</v>
      </c>
    </row>
    <row r="30" spans="1:6" x14ac:dyDescent="0.25">
      <c r="A30" s="2" t="s">
        <v>92</v>
      </c>
      <c r="B30" s="2" t="s">
        <v>13</v>
      </c>
      <c r="C30" s="2">
        <v>1973.5</v>
      </c>
      <c r="D30" s="2">
        <f>C30-C24</f>
        <v>1.5</v>
      </c>
      <c r="E30" s="19">
        <v>0.495</v>
      </c>
      <c r="F30" s="2">
        <v>1974</v>
      </c>
    </row>
    <row r="31" spans="1:6" x14ac:dyDescent="0.25">
      <c r="A31" s="2" t="s">
        <v>92</v>
      </c>
      <c r="B31" s="2" t="s">
        <v>13</v>
      </c>
      <c r="C31" s="2">
        <v>1973.75</v>
      </c>
      <c r="D31" s="2">
        <f>C31-C24</f>
        <v>1.75</v>
      </c>
      <c r="E31" s="19">
        <v>0.495</v>
      </c>
      <c r="F31" s="2">
        <v>1974</v>
      </c>
    </row>
    <row r="32" spans="1:6" x14ac:dyDescent="0.25">
      <c r="A32" s="2" t="s">
        <v>92</v>
      </c>
      <c r="B32" s="2" t="s">
        <v>13</v>
      </c>
      <c r="C32" s="2">
        <v>1974</v>
      </c>
      <c r="D32" s="2">
        <f>C32-C24</f>
        <v>2</v>
      </c>
      <c r="E32" s="19">
        <v>0.495</v>
      </c>
      <c r="F32" s="2">
        <v>1974</v>
      </c>
    </row>
    <row r="33" spans="1:6" x14ac:dyDescent="0.25">
      <c r="A33" s="2" t="s">
        <v>92</v>
      </c>
      <c r="B33" s="2" t="s">
        <v>13</v>
      </c>
      <c r="C33" s="2">
        <v>1974.25</v>
      </c>
      <c r="D33" s="2">
        <f>C33-C24</f>
        <v>2.25</v>
      </c>
      <c r="E33" s="19">
        <v>0.495</v>
      </c>
      <c r="F33" s="2">
        <v>1974</v>
      </c>
    </row>
    <row r="34" spans="1:6" x14ac:dyDescent="0.25">
      <c r="A34" s="2" t="s">
        <v>92</v>
      </c>
      <c r="B34" s="2" t="s">
        <v>13</v>
      </c>
      <c r="C34" s="2">
        <v>1974.5</v>
      </c>
      <c r="D34" s="2">
        <f>C34-C24</f>
        <v>2.5</v>
      </c>
      <c r="E34" s="19">
        <v>0.66500000000000004</v>
      </c>
      <c r="F34" s="2">
        <v>1975</v>
      </c>
    </row>
    <row r="35" spans="1:6" x14ac:dyDescent="0.25">
      <c r="A35" s="2" t="s">
        <v>92</v>
      </c>
      <c r="B35" s="2" t="s">
        <v>13</v>
      </c>
      <c r="C35" s="2">
        <v>1974.75</v>
      </c>
      <c r="D35" s="2">
        <f>C35-C24</f>
        <v>2.75</v>
      </c>
      <c r="E35" s="19">
        <v>0.66500000000000004</v>
      </c>
      <c r="F35" s="2">
        <v>1975</v>
      </c>
    </row>
    <row r="36" spans="1:6" x14ac:dyDescent="0.25">
      <c r="A36" s="2" t="s">
        <v>92</v>
      </c>
      <c r="B36" s="2" t="s">
        <v>13</v>
      </c>
      <c r="C36" s="2">
        <v>1975</v>
      </c>
      <c r="D36" s="2">
        <f>C36-C24</f>
        <v>3</v>
      </c>
      <c r="E36" s="19">
        <v>0.66500000000000004</v>
      </c>
      <c r="F36" s="2">
        <v>1975</v>
      </c>
    </row>
    <row r="37" spans="1:6" x14ac:dyDescent="0.25">
      <c r="A37" s="2" t="s">
        <v>92</v>
      </c>
      <c r="B37" s="2" t="s">
        <v>13</v>
      </c>
      <c r="C37" s="2">
        <v>1975.25</v>
      </c>
      <c r="D37" s="2">
        <f>C37-C24</f>
        <v>3.25</v>
      </c>
      <c r="E37" s="19">
        <v>0.66500000000000004</v>
      </c>
      <c r="F37" s="2">
        <v>1975</v>
      </c>
    </row>
    <row r="38" spans="1:6" x14ac:dyDescent="0.25">
      <c r="A38" s="2" t="s">
        <v>92</v>
      </c>
      <c r="B38" s="2" t="s">
        <v>13</v>
      </c>
      <c r="C38" s="2">
        <v>1975.5</v>
      </c>
      <c r="D38" s="2">
        <f>C38-C24</f>
        <v>3.5</v>
      </c>
      <c r="E38" s="19">
        <v>0.7</v>
      </c>
      <c r="F38" s="2">
        <v>1976</v>
      </c>
    </row>
    <row r="39" spans="1:6" x14ac:dyDescent="0.25">
      <c r="A39" s="2" t="s">
        <v>92</v>
      </c>
      <c r="B39" s="2" t="s">
        <v>13</v>
      </c>
      <c r="C39" s="2">
        <v>1975.75</v>
      </c>
      <c r="D39" s="2">
        <f>C39-C24</f>
        <v>3.75</v>
      </c>
      <c r="E39" s="19">
        <v>0.7</v>
      </c>
      <c r="F39" s="2">
        <v>1976</v>
      </c>
    </row>
    <row r="40" spans="1:6" x14ac:dyDescent="0.25">
      <c r="A40" s="2" t="s">
        <v>92</v>
      </c>
      <c r="B40" s="2" t="s">
        <v>13</v>
      </c>
      <c r="C40" s="2">
        <v>1976</v>
      </c>
      <c r="D40" s="2">
        <f>C40-C24</f>
        <v>4</v>
      </c>
      <c r="E40" s="19">
        <v>0.7</v>
      </c>
      <c r="F40" s="2">
        <v>1976</v>
      </c>
    </row>
    <row r="41" spans="1:6" x14ac:dyDescent="0.25">
      <c r="A41" s="2" t="s">
        <v>92</v>
      </c>
      <c r="B41" s="2" t="s">
        <v>13</v>
      </c>
      <c r="C41" s="2">
        <v>1976.25</v>
      </c>
      <c r="D41" s="2">
        <f>C41-C24</f>
        <v>4.25</v>
      </c>
      <c r="E41" s="19">
        <v>0.7</v>
      </c>
      <c r="F41" s="2">
        <v>1976</v>
      </c>
    </row>
    <row r="42" spans="1:6" x14ac:dyDescent="0.25">
      <c r="A42" s="2" t="s">
        <v>92</v>
      </c>
      <c r="B42" s="2" t="s">
        <v>13</v>
      </c>
      <c r="C42" s="2">
        <v>1976.5</v>
      </c>
      <c r="D42" s="2">
        <f>C42-C24</f>
        <v>4.5</v>
      </c>
      <c r="E42" s="19">
        <v>0.72199999999999998</v>
      </c>
      <c r="F42" s="2">
        <v>1977</v>
      </c>
    </row>
    <row r="43" spans="1:6" x14ac:dyDescent="0.25">
      <c r="A43" s="2" t="s">
        <v>92</v>
      </c>
      <c r="B43" s="2" t="s">
        <v>13</v>
      </c>
      <c r="C43" s="2">
        <v>1976.75</v>
      </c>
      <c r="D43" s="2">
        <f>C43-C24</f>
        <v>4.75</v>
      </c>
      <c r="E43" s="19">
        <v>0.72199999999999998</v>
      </c>
      <c r="F43" s="2">
        <v>1977</v>
      </c>
    </row>
    <row r="44" spans="1:6" x14ac:dyDescent="0.25">
      <c r="A44" s="2" t="s">
        <v>92</v>
      </c>
      <c r="B44" s="2" t="s">
        <v>13</v>
      </c>
      <c r="C44" s="2">
        <v>1977</v>
      </c>
      <c r="D44" s="2">
        <f>C44-C24</f>
        <v>5</v>
      </c>
      <c r="E44" s="19">
        <v>0.72199999999999998</v>
      </c>
      <c r="F44" s="2">
        <v>1977</v>
      </c>
    </row>
    <row r="45" spans="1:6" x14ac:dyDescent="0.25">
      <c r="A45" s="2" t="s">
        <v>92</v>
      </c>
      <c r="B45" s="2" t="s">
        <v>13</v>
      </c>
      <c r="C45" s="2">
        <v>1977.25</v>
      </c>
      <c r="D45" s="2">
        <f>C45-C24</f>
        <v>5.25</v>
      </c>
      <c r="E45" s="19">
        <v>0.72199999999999998</v>
      </c>
      <c r="F45" s="2">
        <v>1977</v>
      </c>
    </row>
    <row r="46" spans="1:6" x14ac:dyDescent="0.25">
      <c r="A46" s="2" t="s">
        <v>92</v>
      </c>
      <c r="B46" s="2" t="s">
        <v>13</v>
      </c>
      <c r="C46" s="2">
        <v>1977.5</v>
      </c>
      <c r="D46" s="2">
        <f>C46-C24</f>
        <v>5.5</v>
      </c>
      <c r="E46" s="19">
        <v>0.90900000000000003</v>
      </c>
      <c r="F46" s="2">
        <v>1978</v>
      </c>
    </row>
    <row r="47" spans="1:6" x14ac:dyDescent="0.25">
      <c r="A47" s="2" t="s">
        <v>92</v>
      </c>
      <c r="B47" s="2" t="s">
        <v>13</v>
      </c>
      <c r="C47" s="2">
        <v>1977.75</v>
      </c>
      <c r="D47" s="2">
        <f>C47-C24</f>
        <v>5.75</v>
      </c>
      <c r="E47" s="19">
        <v>0.90900000000000003</v>
      </c>
      <c r="F47" s="2">
        <v>1978</v>
      </c>
    </row>
    <row r="48" spans="1:6" x14ac:dyDescent="0.25">
      <c r="A48" s="2" t="s">
        <v>92</v>
      </c>
      <c r="B48" s="2" t="s">
        <v>13</v>
      </c>
      <c r="C48" s="2">
        <v>1978</v>
      </c>
      <c r="D48" s="2">
        <f>C48-C24</f>
        <v>6</v>
      </c>
      <c r="E48" s="19">
        <v>0.90900000000000003</v>
      </c>
      <c r="F48" s="2">
        <v>1978</v>
      </c>
    </row>
    <row r="49" spans="1:6" x14ac:dyDescent="0.25">
      <c r="A49" s="2" t="s">
        <v>92</v>
      </c>
      <c r="B49" s="2" t="s">
        <v>13</v>
      </c>
      <c r="C49" s="2">
        <v>1978.25</v>
      </c>
      <c r="D49" s="2">
        <f>C49-C24</f>
        <v>6.25</v>
      </c>
      <c r="E49" s="19">
        <v>0.90900000000000003</v>
      </c>
      <c r="F49" s="2">
        <v>1978</v>
      </c>
    </row>
    <row r="50" spans="1:6" x14ac:dyDescent="0.25">
      <c r="A50" s="2" t="s">
        <v>92</v>
      </c>
      <c r="B50" s="2" t="s">
        <v>13</v>
      </c>
      <c r="C50" s="2">
        <v>1978.5</v>
      </c>
      <c r="D50" s="2">
        <f>C50-C24</f>
        <v>6.5</v>
      </c>
      <c r="E50" s="19">
        <v>1.0640000000000001</v>
      </c>
      <c r="F50" s="2">
        <v>1979</v>
      </c>
    </row>
    <row r="51" spans="1:6" x14ac:dyDescent="0.25">
      <c r="A51" s="2" t="s">
        <v>92</v>
      </c>
      <c r="B51" s="2" t="s">
        <v>13</v>
      </c>
      <c r="C51" s="2">
        <v>1978.75</v>
      </c>
      <c r="D51" s="2">
        <f>C51-C24</f>
        <v>6.75</v>
      </c>
      <c r="E51" s="19">
        <v>1.0640000000000001</v>
      </c>
      <c r="F51" s="2">
        <v>1979</v>
      </c>
    </row>
    <row r="52" spans="1:6" x14ac:dyDescent="0.25">
      <c r="A52" s="2" t="s">
        <v>92</v>
      </c>
      <c r="B52" s="2" t="s">
        <v>13</v>
      </c>
      <c r="C52" s="2">
        <v>1979</v>
      </c>
      <c r="D52" s="2">
        <f>C52-C24</f>
        <v>7</v>
      </c>
      <c r="E52" s="19">
        <v>1.0640000000000001</v>
      </c>
      <c r="F52" s="2">
        <v>1979</v>
      </c>
    </row>
    <row r="53" spans="1:6" x14ac:dyDescent="0.25">
      <c r="A53" s="2" t="s">
        <v>92</v>
      </c>
      <c r="B53" s="2" t="s">
        <v>13</v>
      </c>
      <c r="C53" s="2">
        <v>1979.25</v>
      </c>
      <c r="D53" s="2">
        <f>C53-C24</f>
        <v>7.25</v>
      </c>
      <c r="E53" s="19">
        <v>1.0640000000000001</v>
      </c>
      <c r="F53" s="2">
        <v>1979</v>
      </c>
    </row>
    <row r="54" spans="1:6" x14ac:dyDescent="0.25">
      <c r="A54" s="2" t="s">
        <v>92</v>
      </c>
      <c r="B54" s="2" t="s">
        <v>13</v>
      </c>
      <c r="C54" s="2">
        <v>1979.5</v>
      </c>
      <c r="D54" s="2">
        <f>C54-C24</f>
        <v>7.5</v>
      </c>
      <c r="E54" s="19">
        <v>1.425</v>
      </c>
      <c r="F54" s="2">
        <v>1980</v>
      </c>
    </row>
    <row r="55" spans="1:6" x14ac:dyDescent="0.25">
      <c r="A55" s="2" t="s">
        <v>92</v>
      </c>
      <c r="B55" s="2" t="s">
        <v>13</v>
      </c>
      <c r="C55" s="2">
        <v>1979.75</v>
      </c>
      <c r="D55" s="2">
        <f>C55-C24</f>
        <v>7.75</v>
      </c>
      <c r="E55" s="19">
        <v>1.425</v>
      </c>
      <c r="F55" s="2">
        <v>1980</v>
      </c>
    </row>
    <row r="56" spans="1:6" x14ac:dyDescent="0.25">
      <c r="A56" s="2" t="s">
        <v>92</v>
      </c>
      <c r="B56" s="2" t="s">
        <v>13</v>
      </c>
      <c r="C56" s="2">
        <v>1980</v>
      </c>
      <c r="D56" s="2">
        <f>C56-C24</f>
        <v>8</v>
      </c>
      <c r="E56" s="19">
        <v>1.425</v>
      </c>
      <c r="F56" s="2">
        <v>1980</v>
      </c>
    </row>
    <row r="57" spans="1:6" x14ac:dyDescent="0.25">
      <c r="A57" s="2" t="s">
        <v>92</v>
      </c>
      <c r="B57" s="2" t="s">
        <v>13</v>
      </c>
      <c r="C57" s="2">
        <v>1980.25</v>
      </c>
      <c r="D57" s="2">
        <f>C57-C24</f>
        <v>8.25</v>
      </c>
      <c r="E57" s="19">
        <v>1.425</v>
      </c>
      <c r="F57" s="2">
        <v>1980</v>
      </c>
    </row>
    <row r="58" spans="1:6" x14ac:dyDescent="0.25">
      <c r="A58" s="2" t="s">
        <v>92</v>
      </c>
      <c r="B58" s="2" t="s">
        <v>13</v>
      </c>
      <c r="C58" s="2">
        <v>1980.5</v>
      </c>
      <c r="D58" s="2">
        <f>C58-C24</f>
        <v>8.5</v>
      </c>
      <c r="E58" s="19">
        <v>1.972</v>
      </c>
      <c r="F58" s="2">
        <v>1981</v>
      </c>
    </row>
    <row r="59" spans="1:6" x14ac:dyDescent="0.25">
      <c r="A59" s="2" t="s">
        <v>92</v>
      </c>
      <c r="B59" s="2" t="s">
        <v>13</v>
      </c>
      <c r="C59" s="2">
        <v>1980.75</v>
      </c>
      <c r="D59" s="2">
        <f>C59-C24</f>
        <v>8.75</v>
      </c>
      <c r="E59" s="19">
        <v>1.972</v>
      </c>
      <c r="F59" s="2">
        <v>1981</v>
      </c>
    </row>
    <row r="60" spans="1:6" x14ac:dyDescent="0.25">
      <c r="A60" s="2" t="s">
        <v>92</v>
      </c>
      <c r="B60" s="2" t="s">
        <v>13</v>
      </c>
      <c r="C60" s="2">
        <v>1981</v>
      </c>
      <c r="D60" s="2">
        <f>C60-C24</f>
        <v>9</v>
      </c>
      <c r="E60" s="19">
        <v>1.972</v>
      </c>
      <c r="F60" s="2">
        <v>1981</v>
      </c>
    </row>
    <row r="61" spans="1:6" x14ac:dyDescent="0.25">
      <c r="A61" s="2" t="s">
        <v>92</v>
      </c>
      <c r="B61" s="2" t="s">
        <v>13</v>
      </c>
      <c r="C61" s="2">
        <v>1981.25</v>
      </c>
      <c r="D61" s="2">
        <f>C61-C24</f>
        <v>9.25</v>
      </c>
      <c r="E61" s="19">
        <v>1.972</v>
      </c>
      <c r="F61" s="2">
        <v>1981</v>
      </c>
    </row>
    <row r="62" spans="1:6" x14ac:dyDescent="0.25">
      <c r="A62" s="2" t="s">
        <v>92</v>
      </c>
      <c r="B62" s="2" t="s">
        <v>13</v>
      </c>
      <c r="C62" s="2">
        <v>1981.5</v>
      </c>
      <c r="D62" s="2">
        <f>C62-C24</f>
        <v>9.5</v>
      </c>
      <c r="E62" s="19">
        <v>1.891</v>
      </c>
      <c r="F62" s="2">
        <v>1982</v>
      </c>
    </row>
    <row r="63" spans="1:6" x14ac:dyDescent="0.25">
      <c r="A63" s="2" t="s">
        <v>92</v>
      </c>
      <c r="B63" s="2" t="s">
        <v>13</v>
      </c>
      <c r="C63" s="2">
        <v>1981.75</v>
      </c>
      <c r="D63" s="2">
        <f>C63-C24</f>
        <v>9.75</v>
      </c>
      <c r="E63" s="19">
        <v>1.891</v>
      </c>
      <c r="F63" s="2">
        <v>1982</v>
      </c>
    </row>
    <row r="64" spans="1:6" x14ac:dyDescent="0.25">
      <c r="A64" s="2" t="s">
        <v>92</v>
      </c>
      <c r="B64" s="2" t="s">
        <v>13</v>
      </c>
      <c r="C64" s="2">
        <v>1982</v>
      </c>
      <c r="D64" s="2">
        <f>C64-C24</f>
        <v>10</v>
      </c>
      <c r="E64" s="19">
        <v>1.891</v>
      </c>
      <c r="F64" s="2">
        <v>1982</v>
      </c>
    </row>
    <row r="65" spans="1:6" x14ac:dyDescent="0.25">
      <c r="A65" s="2" t="s">
        <v>92</v>
      </c>
      <c r="B65" s="2" t="s">
        <v>13</v>
      </c>
      <c r="C65" s="2">
        <v>1982.25</v>
      </c>
      <c r="D65" s="2">
        <f>C65-C24</f>
        <v>10.25</v>
      </c>
      <c r="E65" s="19">
        <v>1.891</v>
      </c>
      <c r="F65" s="2">
        <v>1982</v>
      </c>
    </row>
    <row r="66" spans="1:6" x14ac:dyDescent="0.25">
      <c r="A66" s="2" t="s">
        <v>92</v>
      </c>
      <c r="B66" s="2" t="s">
        <v>13</v>
      </c>
      <c r="C66" s="2">
        <v>1982.5</v>
      </c>
      <c r="D66" s="2">
        <f>C66-C24</f>
        <v>10.5</v>
      </c>
      <c r="E66" s="19">
        <v>1.1819999999999999</v>
      </c>
      <c r="F66" s="2">
        <v>1983</v>
      </c>
    </row>
    <row r="67" spans="1:6" x14ac:dyDescent="0.25">
      <c r="A67" s="2" t="s">
        <v>92</v>
      </c>
      <c r="B67" s="2" t="s">
        <v>13</v>
      </c>
      <c r="C67" s="2">
        <v>1982.75</v>
      </c>
      <c r="D67" s="2">
        <f>C67-C24</f>
        <v>10.75</v>
      </c>
      <c r="E67" s="19">
        <v>1.1819999999999999</v>
      </c>
      <c r="F67" s="2">
        <v>1983</v>
      </c>
    </row>
    <row r="68" spans="1:6" x14ac:dyDescent="0.25">
      <c r="A68" s="2" t="s">
        <v>92</v>
      </c>
      <c r="B68" s="2" t="s">
        <v>13</v>
      </c>
      <c r="C68" s="2">
        <v>1983</v>
      </c>
      <c r="D68" s="2">
        <f>C68-C24</f>
        <v>11</v>
      </c>
      <c r="E68" s="19">
        <v>1.1819999999999999</v>
      </c>
      <c r="F68" s="2">
        <v>1983</v>
      </c>
    </row>
    <row r="69" spans="1:6" x14ac:dyDescent="0.25">
      <c r="A69" s="2" t="s">
        <v>92</v>
      </c>
      <c r="B69" s="2" t="s">
        <v>13</v>
      </c>
      <c r="C69" s="2">
        <v>1983.25</v>
      </c>
      <c r="D69" s="2">
        <f>C69-C24</f>
        <v>11.25</v>
      </c>
      <c r="E69" s="19">
        <v>1.1819999999999999</v>
      </c>
      <c r="F69" s="2">
        <v>1983</v>
      </c>
    </row>
    <row r="70" spans="1:6" x14ac:dyDescent="0.25">
      <c r="A70" s="2" t="s">
        <v>92</v>
      </c>
      <c r="B70" s="2" t="s">
        <v>13</v>
      </c>
      <c r="C70" s="2">
        <v>1983.5</v>
      </c>
      <c r="D70" s="2">
        <f>C70-C24</f>
        <v>11.5</v>
      </c>
      <c r="E70" s="19">
        <v>1.093</v>
      </c>
      <c r="F70" s="2">
        <v>1984</v>
      </c>
    </row>
    <row r="71" spans="1:6" x14ac:dyDescent="0.25">
      <c r="A71" s="2" t="s">
        <v>92</v>
      </c>
      <c r="B71" s="2" t="s">
        <v>13</v>
      </c>
      <c r="C71" s="2">
        <v>1983.75</v>
      </c>
      <c r="D71" s="2">
        <f>C71-C24</f>
        <v>11.75</v>
      </c>
      <c r="E71" s="19">
        <v>1.093</v>
      </c>
      <c r="F71" s="2">
        <v>1984</v>
      </c>
    </row>
    <row r="72" spans="1:6" x14ac:dyDescent="0.25">
      <c r="A72" s="2" t="s">
        <v>92</v>
      </c>
      <c r="B72" s="2" t="s">
        <v>13</v>
      </c>
      <c r="C72" s="2">
        <v>1984</v>
      </c>
      <c r="D72" s="2">
        <f>C72-C24</f>
        <v>12</v>
      </c>
      <c r="E72" s="19">
        <v>1.093</v>
      </c>
      <c r="F72" s="2">
        <v>1984</v>
      </c>
    </row>
    <row r="73" spans="1:6" x14ac:dyDescent="0.25">
      <c r="A73" s="2" t="s">
        <v>92</v>
      </c>
      <c r="B73" s="2" t="s">
        <v>13</v>
      </c>
      <c r="C73" s="2">
        <v>1984.25</v>
      </c>
      <c r="D73" s="2">
        <f>C73-C24</f>
        <v>12.25</v>
      </c>
      <c r="E73" s="19">
        <v>1.093</v>
      </c>
      <c r="F73" s="2">
        <v>1984</v>
      </c>
    </row>
    <row r="74" spans="1:6" x14ac:dyDescent="0.25">
      <c r="A74" s="2" t="s">
        <v>92</v>
      </c>
      <c r="B74" s="2" t="s">
        <v>13</v>
      </c>
      <c r="C74" s="2">
        <v>1984.5</v>
      </c>
      <c r="D74" s="2">
        <f>C74-C24</f>
        <v>12.5</v>
      </c>
      <c r="E74" s="19">
        <v>0.92500000000000004</v>
      </c>
      <c r="F74" s="2">
        <v>1985</v>
      </c>
    </row>
    <row r="75" spans="1:6" x14ac:dyDescent="0.25">
      <c r="A75" s="2" t="s">
        <v>92</v>
      </c>
      <c r="B75" s="2" t="s">
        <v>13</v>
      </c>
      <c r="C75" s="2">
        <v>1984.75</v>
      </c>
      <c r="D75" s="2">
        <f>C75-C24</f>
        <v>12.75</v>
      </c>
      <c r="E75" s="19">
        <v>0.92500000000000004</v>
      </c>
      <c r="F75" s="2">
        <v>1985</v>
      </c>
    </row>
    <row r="76" spans="1:6" x14ac:dyDescent="0.25">
      <c r="A76" s="2" t="s">
        <v>92</v>
      </c>
      <c r="B76" s="2" t="s">
        <v>13</v>
      </c>
      <c r="C76" s="2">
        <v>1985</v>
      </c>
      <c r="D76" s="2">
        <f>C76-C24</f>
        <v>13</v>
      </c>
      <c r="E76" s="19">
        <v>0.92500000000000004</v>
      </c>
      <c r="F76" s="2">
        <v>1985</v>
      </c>
    </row>
    <row r="77" spans="1:6" x14ac:dyDescent="0.25">
      <c r="A77" s="2" t="s">
        <v>92</v>
      </c>
      <c r="B77" s="2" t="s">
        <v>13</v>
      </c>
      <c r="C77" s="2">
        <v>1985.25</v>
      </c>
      <c r="D77" s="2">
        <f>C77-C24</f>
        <v>13.25</v>
      </c>
      <c r="E77" s="19">
        <v>0.92500000000000004</v>
      </c>
      <c r="F77" s="2">
        <v>1985</v>
      </c>
    </row>
    <row r="78" spans="1:6" x14ac:dyDescent="0.25">
      <c r="A78" s="2" t="s">
        <v>92</v>
      </c>
      <c r="B78" s="2" t="s">
        <v>13</v>
      </c>
      <c r="C78" s="2">
        <v>1985.5</v>
      </c>
      <c r="D78" s="2">
        <f>C78-C24</f>
        <v>13.5</v>
      </c>
      <c r="E78" s="19">
        <v>0.51600000000000001</v>
      </c>
      <c r="F78" s="2">
        <v>1986</v>
      </c>
    </row>
    <row r="79" spans="1:6" x14ac:dyDescent="0.25">
      <c r="A79" s="2" t="s">
        <v>92</v>
      </c>
      <c r="B79" s="2" t="s">
        <v>13</v>
      </c>
      <c r="C79" s="2">
        <v>1985.75</v>
      </c>
      <c r="D79" s="2">
        <f>C79-C24</f>
        <v>13.75</v>
      </c>
      <c r="E79" s="19">
        <v>0.51600000000000001</v>
      </c>
      <c r="F79" s="2">
        <v>1986</v>
      </c>
    </row>
    <row r="80" spans="1:6" x14ac:dyDescent="0.25">
      <c r="A80" s="2" t="s">
        <v>92</v>
      </c>
      <c r="B80" s="2" t="s">
        <v>13</v>
      </c>
      <c r="C80" s="2">
        <v>1986</v>
      </c>
      <c r="D80" s="2">
        <f>C80-C24</f>
        <v>14</v>
      </c>
      <c r="E80" s="19">
        <v>0.51600000000000001</v>
      </c>
      <c r="F80" s="2">
        <v>1986</v>
      </c>
    </row>
    <row r="81" spans="1:6" x14ac:dyDescent="0.25">
      <c r="A81" s="2" t="s">
        <v>126</v>
      </c>
      <c r="B81" s="2" t="s">
        <v>14</v>
      </c>
      <c r="C81" s="2">
        <v>1995</v>
      </c>
      <c r="D81" s="2">
        <f>C81-C81</f>
        <v>0</v>
      </c>
      <c r="E81" s="19">
        <v>1.054</v>
      </c>
      <c r="F81" s="2">
        <v>1995</v>
      </c>
    </row>
    <row r="82" spans="1:6" x14ac:dyDescent="0.25">
      <c r="A82" s="2" t="s">
        <v>126</v>
      </c>
      <c r="B82" s="2" t="s">
        <v>14</v>
      </c>
      <c r="C82" s="2">
        <v>1995.25</v>
      </c>
      <c r="D82" s="2">
        <f>C82-C81</f>
        <v>0.25</v>
      </c>
      <c r="E82" s="19">
        <v>1.054</v>
      </c>
      <c r="F82" s="2">
        <v>1995</v>
      </c>
    </row>
    <row r="83" spans="1:6" x14ac:dyDescent="0.25">
      <c r="A83" s="2" t="s">
        <v>126</v>
      </c>
      <c r="B83" s="2" t="s">
        <v>14</v>
      </c>
      <c r="C83" s="2">
        <v>1995.5</v>
      </c>
      <c r="D83" s="2">
        <f>C83-C81</f>
        <v>0.5</v>
      </c>
      <c r="E83" s="19">
        <v>1.083</v>
      </c>
      <c r="F83" s="2">
        <v>1996</v>
      </c>
    </row>
    <row r="84" spans="1:6" x14ac:dyDescent="0.25">
      <c r="A84" s="2" t="s">
        <v>126</v>
      </c>
      <c r="B84" s="2" t="s">
        <v>14</v>
      </c>
      <c r="C84" s="2">
        <v>1995.75</v>
      </c>
      <c r="D84" s="2">
        <f>C84-C81</f>
        <v>0.75</v>
      </c>
      <c r="E84" s="19">
        <v>1.083</v>
      </c>
      <c r="F84" s="2">
        <v>1996</v>
      </c>
    </row>
    <row r="85" spans="1:6" x14ac:dyDescent="0.25">
      <c r="A85" s="2" t="s">
        <v>126</v>
      </c>
      <c r="B85" s="2" t="s">
        <v>14</v>
      </c>
      <c r="C85" s="2">
        <v>1996</v>
      </c>
      <c r="D85" s="2">
        <f>C85-C81</f>
        <v>1</v>
      </c>
      <c r="E85" s="19">
        <v>1.083</v>
      </c>
      <c r="F85" s="2">
        <v>1996</v>
      </c>
    </row>
    <row r="86" spans="1:6" x14ac:dyDescent="0.25">
      <c r="A86" s="2" t="s">
        <v>126</v>
      </c>
      <c r="B86" s="2" t="s">
        <v>14</v>
      </c>
      <c r="C86" s="2">
        <v>1996.25</v>
      </c>
      <c r="D86" s="2">
        <f>C86-C81</f>
        <v>1.25</v>
      </c>
      <c r="E86" s="19">
        <v>1.083</v>
      </c>
      <c r="F86" s="2">
        <v>1996</v>
      </c>
    </row>
    <row r="87" spans="1:6" x14ac:dyDescent="0.25">
      <c r="A87" s="2" t="s">
        <v>126</v>
      </c>
      <c r="B87" s="2" t="s">
        <v>14</v>
      </c>
      <c r="C87" s="2">
        <v>1996.5</v>
      </c>
      <c r="D87" s="2">
        <f>C87-C81</f>
        <v>1.5</v>
      </c>
      <c r="E87" s="19">
        <v>1.0980000000000001</v>
      </c>
      <c r="F87" s="2">
        <v>1997</v>
      </c>
    </row>
    <row r="88" spans="1:6" x14ac:dyDescent="0.25">
      <c r="A88" s="2" t="s">
        <v>126</v>
      </c>
      <c r="B88" s="2" t="s">
        <v>14</v>
      </c>
      <c r="C88" s="2">
        <v>1996.75</v>
      </c>
      <c r="D88" s="2">
        <f>C88-C81</f>
        <v>1.75</v>
      </c>
      <c r="E88" s="19">
        <v>1.0980000000000001</v>
      </c>
      <c r="F88" s="2">
        <v>1997</v>
      </c>
    </row>
    <row r="89" spans="1:6" x14ac:dyDescent="0.25">
      <c r="A89" s="2" t="s">
        <v>126</v>
      </c>
      <c r="B89" s="2" t="s">
        <v>14</v>
      </c>
      <c r="C89" s="2">
        <v>1997</v>
      </c>
      <c r="D89" s="2">
        <f>C89-C81</f>
        <v>2</v>
      </c>
      <c r="E89" s="19">
        <v>1.0980000000000001</v>
      </c>
      <c r="F89" s="2">
        <v>1997</v>
      </c>
    </row>
    <row r="90" spans="1:6" x14ac:dyDescent="0.25">
      <c r="A90" s="2" t="s">
        <v>126</v>
      </c>
      <c r="B90" s="2" t="s">
        <v>14</v>
      </c>
      <c r="C90" s="2">
        <v>1997.25</v>
      </c>
      <c r="D90" s="2">
        <f>C90-C81</f>
        <v>2.25</v>
      </c>
      <c r="E90" s="19">
        <v>1.0980000000000001</v>
      </c>
      <c r="F90" s="2">
        <v>1997</v>
      </c>
    </row>
    <row r="91" spans="1:6" x14ac:dyDescent="0.25">
      <c r="A91" s="2" t="s">
        <v>126</v>
      </c>
      <c r="B91" s="2" t="s">
        <v>14</v>
      </c>
      <c r="C91" s="2">
        <v>1997.5</v>
      </c>
      <c r="D91" s="2">
        <f>C91-C81</f>
        <v>2.5</v>
      </c>
      <c r="E91" s="19">
        <v>1.135</v>
      </c>
      <c r="F91" s="2">
        <v>1998</v>
      </c>
    </row>
    <row r="92" spans="1:6" x14ac:dyDescent="0.25">
      <c r="A92" s="2" t="s">
        <v>126</v>
      </c>
      <c r="B92" s="2" t="s">
        <v>14</v>
      </c>
      <c r="C92" s="2">
        <v>1997.75</v>
      </c>
      <c r="D92" s="2">
        <f>C92-C81</f>
        <v>2.75</v>
      </c>
      <c r="E92" s="19">
        <v>1.135</v>
      </c>
      <c r="F92" s="2">
        <v>1998</v>
      </c>
    </row>
    <row r="93" spans="1:6" x14ac:dyDescent="0.25">
      <c r="A93" s="2" t="s">
        <v>126</v>
      </c>
      <c r="B93" s="2" t="s">
        <v>14</v>
      </c>
      <c r="C93" s="2">
        <v>1998</v>
      </c>
      <c r="D93" s="2">
        <f>C93-C81</f>
        <v>3</v>
      </c>
      <c r="E93" s="19">
        <v>1.135</v>
      </c>
      <c r="F93" s="2">
        <v>1998</v>
      </c>
    </row>
    <row r="94" spans="1:6" x14ac:dyDescent="0.25">
      <c r="A94" s="2" t="s">
        <v>126</v>
      </c>
      <c r="B94" s="2" t="s">
        <v>14</v>
      </c>
      <c r="C94" s="2">
        <v>1998.25</v>
      </c>
      <c r="D94" s="2">
        <f>C94-C81</f>
        <v>3.25</v>
      </c>
      <c r="E94" s="19">
        <v>1.135</v>
      </c>
      <c r="F94" s="2">
        <v>1998</v>
      </c>
    </row>
    <row r="95" spans="1:6" x14ac:dyDescent="0.25">
      <c r="A95" s="2" t="s">
        <v>126</v>
      </c>
      <c r="B95" s="2" t="s">
        <v>14</v>
      </c>
      <c r="C95" s="2">
        <v>1998.5</v>
      </c>
      <c r="D95" s="2">
        <f>C95-C81</f>
        <v>3.5</v>
      </c>
      <c r="E95" s="19">
        <v>1.2849999999999999</v>
      </c>
      <c r="F95" s="2">
        <v>1999</v>
      </c>
    </row>
    <row r="96" spans="1:6" x14ac:dyDescent="0.25">
      <c r="A96" s="2" t="s">
        <v>126</v>
      </c>
      <c r="B96" s="2" t="s">
        <v>14</v>
      </c>
      <c r="C96" s="2">
        <v>1998.75</v>
      </c>
      <c r="D96" s="2">
        <f>C96-C81</f>
        <v>3.75</v>
      </c>
      <c r="E96" s="19">
        <v>1.2849999999999999</v>
      </c>
      <c r="F96" s="2">
        <v>1999</v>
      </c>
    </row>
    <row r="97" spans="1:6" x14ac:dyDescent="0.25">
      <c r="A97" s="2" t="s">
        <v>126</v>
      </c>
      <c r="B97" s="2" t="s">
        <v>14</v>
      </c>
      <c r="C97" s="2">
        <v>1999</v>
      </c>
      <c r="D97" s="2">
        <f>C97-C81</f>
        <v>4</v>
      </c>
      <c r="E97" s="19">
        <v>1.2849999999999999</v>
      </c>
      <c r="F97" s="2">
        <v>1999</v>
      </c>
    </row>
    <row r="98" spans="1:6" x14ac:dyDescent="0.25">
      <c r="A98" s="2" t="s">
        <v>126</v>
      </c>
      <c r="B98" s="2" t="s">
        <v>14</v>
      </c>
      <c r="C98" s="2">
        <v>1999.25</v>
      </c>
      <c r="D98" s="2">
        <f>C98-C81</f>
        <v>4.25</v>
      </c>
      <c r="E98" s="19">
        <v>1.2849999999999999</v>
      </c>
      <c r="F98" s="2">
        <v>1999</v>
      </c>
    </row>
    <row r="99" spans="1:6" x14ac:dyDescent="0.25">
      <c r="A99" s="2" t="s">
        <v>126</v>
      </c>
      <c r="B99" s="2" t="s">
        <v>14</v>
      </c>
      <c r="C99" s="2">
        <v>1999.5</v>
      </c>
      <c r="D99" s="2">
        <f>C99-C81</f>
        <v>4.5</v>
      </c>
      <c r="E99" s="19">
        <v>1.54</v>
      </c>
      <c r="F99" s="2">
        <v>2000</v>
      </c>
    </row>
    <row r="100" spans="1:6" x14ac:dyDescent="0.25">
      <c r="A100" s="2" t="s">
        <v>126</v>
      </c>
      <c r="B100" s="2" t="s">
        <v>14</v>
      </c>
      <c r="C100" s="2">
        <v>1999.75</v>
      </c>
      <c r="D100" s="2">
        <f>C100-C81</f>
        <v>4.75</v>
      </c>
      <c r="E100" s="19">
        <v>1.54</v>
      </c>
      <c r="F100" s="2">
        <v>2000</v>
      </c>
    </row>
    <row r="101" spans="1:6" x14ac:dyDescent="0.25">
      <c r="A101" s="2" t="s">
        <v>126</v>
      </c>
      <c r="B101" s="2" t="s">
        <v>14</v>
      </c>
      <c r="C101" s="2">
        <v>2000</v>
      </c>
      <c r="D101" s="2">
        <f>C101-C81</f>
        <v>5</v>
      </c>
      <c r="E101" s="19">
        <v>1.54</v>
      </c>
      <c r="F101" s="2">
        <v>2000</v>
      </c>
    </row>
    <row r="102" spans="1:6" x14ac:dyDescent="0.25">
      <c r="A102" s="2" t="s">
        <v>126</v>
      </c>
      <c r="B102" s="2" t="s">
        <v>14</v>
      </c>
      <c r="C102" s="2">
        <v>2000.25</v>
      </c>
      <c r="D102" s="2">
        <f>C102-C81</f>
        <v>5.25</v>
      </c>
      <c r="E102" s="19">
        <v>1.54</v>
      </c>
      <c r="F102" s="2">
        <v>2000</v>
      </c>
    </row>
    <row r="103" spans="1:6" x14ac:dyDescent="0.25">
      <c r="A103" s="2" t="s">
        <v>126</v>
      </c>
      <c r="B103" s="2" t="s">
        <v>14</v>
      </c>
      <c r="C103" s="2">
        <v>2000.5</v>
      </c>
      <c r="D103" s="2">
        <f>C103-C81</f>
        <v>5.5</v>
      </c>
      <c r="E103" s="19">
        <v>1.337</v>
      </c>
      <c r="F103" s="2">
        <v>2001</v>
      </c>
    </row>
    <row r="104" spans="1:6" x14ac:dyDescent="0.25">
      <c r="A104" s="2" t="s">
        <v>126</v>
      </c>
      <c r="B104" s="2" t="s">
        <v>14</v>
      </c>
      <c r="C104" s="2">
        <v>2000.75</v>
      </c>
      <c r="D104" s="2">
        <f>C104-C81</f>
        <v>5.75</v>
      </c>
      <c r="E104" s="19">
        <v>1.337</v>
      </c>
      <c r="F104" s="2">
        <v>2001</v>
      </c>
    </row>
    <row r="105" spans="1:6" x14ac:dyDescent="0.25">
      <c r="A105" s="2" t="s">
        <v>126</v>
      </c>
      <c r="B105" s="2" t="s">
        <v>14</v>
      </c>
      <c r="C105" s="2">
        <v>2001</v>
      </c>
      <c r="D105" s="2">
        <f>C105-C81</f>
        <v>6</v>
      </c>
      <c r="E105" s="19">
        <v>1.337</v>
      </c>
      <c r="F105" s="2">
        <v>2001</v>
      </c>
    </row>
    <row r="106" spans="1:6" x14ac:dyDescent="0.25">
      <c r="A106" s="2" t="s">
        <v>126</v>
      </c>
      <c r="B106" s="2" t="s">
        <v>14</v>
      </c>
      <c r="C106" s="2">
        <v>2001.25</v>
      </c>
      <c r="D106" s="2">
        <f>C106-C81</f>
        <v>6.25</v>
      </c>
      <c r="E106" s="19">
        <v>1.337</v>
      </c>
      <c r="F106" s="2">
        <v>2001</v>
      </c>
    </row>
    <row r="107" spans="1:6" x14ac:dyDescent="0.25">
      <c r="A107" s="2" t="s">
        <v>126</v>
      </c>
      <c r="B107" s="2" t="s">
        <v>14</v>
      </c>
      <c r="C107" s="2">
        <v>2001.5</v>
      </c>
      <c r="D107" s="2">
        <f>C107-C81</f>
        <v>6.5</v>
      </c>
      <c r="E107" s="19">
        <v>0.91</v>
      </c>
      <c r="F107" s="2">
        <v>2002</v>
      </c>
    </row>
    <row r="108" spans="1:6" x14ac:dyDescent="0.25">
      <c r="A108" s="2" t="s">
        <v>126</v>
      </c>
      <c r="B108" s="2" t="s">
        <v>14</v>
      </c>
      <c r="C108" s="2">
        <v>2001.75</v>
      </c>
      <c r="D108" s="2">
        <f>C108-C81</f>
        <v>6.75</v>
      </c>
      <c r="E108" s="19">
        <v>0.91</v>
      </c>
      <c r="F108" s="2">
        <v>2002</v>
      </c>
    </row>
    <row r="109" spans="1:6" x14ac:dyDescent="0.25">
      <c r="A109" s="2" t="s">
        <v>126</v>
      </c>
      <c r="B109" s="2" t="s">
        <v>14</v>
      </c>
      <c r="C109" s="2">
        <v>2002</v>
      </c>
      <c r="D109" s="2">
        <f>C109-C81</f>
        <v>7</v>
      </c>
      <c r="E109" s="19">
        <v>0.91</v>
      </c>
      <c r="F109" s="2">
        <v>2002</v>
      </c>
    </row>
    <row r="110" spans="1:6" x14ac:dyDescent="0.25">
      <c r="A110" s="2" t="s">
        <v>126</v>
      </c>
      <c r="B110" s="2" t="s">
        <v>14</v>
      </c>
      <c r="C110" s="2">
        <v>2002.25</v>
      </c>
      <c r="D110" s="2">
        <f>C110-C81</f>
        <v>7.25</v>
      </c>
      <c r="E110" s="19">
        <v>0.91</v>
      </c>
      <c r="F110" s="2">
        <v>2002</v>
      </c>
    </row>
    <row r="111" spans="1:6" x14ac:dyDescent="0.25">
      <c r="A111" s="2" t="s">
        <v>126</v>
      </c>
      <c r="B111" s="2" t="s">
        <v>14</v>
      </c>
      <c r="C111" s="2">
        <v>2002.5</v>
      </c>
      <c r="D111" s="2">
        <f>C111-C81</f>
        <v>7.5</v>
      </c>
      <c r="E111" s="19">
        <v>0.78900000000000003</v>
      </c>
      <c r="F111" s="2">
        <v>2003</v>
      </c>
    </row>
    <row r="112" spans="1:6" x14ac:dyDescent="0.25">
      <c r="A112" s="2" t="s">
        <v>110</v>
      </c>
      <c r="B112" s="2" t="s">
        <v>15</v>
      </c>
      <c r="C112" s="2">
        <v>2002.25</v>
      </c>
      <c r="D112" s="2">
        <f>C112-C112</f>
        <v>0</v>
      </c>
      <c r="E112" s="19">
        <v>0.39500000000000002</v>
      </c>
      <c r="F112" s="2">
        <v>2002</v>
      </c>
    </row>
    <row r="113" spans="1:6" x14ac:dyDescent="0.25">
      <c r="A113" s="2" t="s">
        <v>110</v>
      </c>
      <c r="B113" s="2" t="s">
        <v>15</v>
      </c>
      <c r="C113" s="2">
        <v>2002.5</v>
      </c>
      <c r="D113" s="2">
        <f>C113-C112</f>
        <v>0.25</v>
      </c>
      <c r="E113" s="19">
        <v>0.46800000000000003</v>
      </c>
      <c r="F113" s="2">
        <v>2003</v>
      </c>
    </row>
    <row r="114" spans="1:6" x14ac:dyDescent="0.25">
      <c r="A114" s="2" t="s">
        <v>110</v>
      </c>
      <c r="B114" s="2" t="s">
        <v>15</v>
      </c>
      <c r="C114" s="2">
        <v>2002.75</v>
      </c>
      <c r="D114" s="2">
        <f>C114-C112</f>
        <v>0.5</v>
      </c>
      <c r="E114" s="19">
        <v>0.46800000000000003</v>
      </c>
      <c r="F114" s="2">
        <v>2003</v>
      </c>
    </row>
    <row r="115" spans="1:6" x14ac:dyDescent="0.25">
      <c r="A115" s="2" t="s">
        <v>110</v>
      </c>
      <c r="B115" s="2" t="s">
        <v>15</v>
      </c>
      <c r="C115" s="2">
        <v>2003</v>
      </c>
      <c r="D115" s="2">
        <f>C115-C112</f>
        <v>0.75</v>
      </c>
      <c r="E115" s="19">
        <v>0.46800000000000003</v>
      </c>
      <c r="F115" s="2">
        <v>2003</v>
      </c>
    </row>
    <row r="116" spans="1:6" x14ac:dyDescent="0.25">
      <c r="A116" s="2" t="s">
        <v>110</v>
      </c>
      <c r="B116" s="2" t="s">
        <v>15</v>
      </c>
      <c r="C116" s="2">
        <v>2003.25</v>
      </c>
      <c r="D116" s="2">
        <f>C116-C112</f>
        <v>1</v>
      </c>
      <c r="E116" s="19">
        <v>0.46800000000000003</v>
      </c>
      <c r="F116" s="2">
        <v>2003</v>
      </c>
    </row>
    <row r="117" spans="1:6" x14ac:dyDescent="0.25">
      <c r="A117" s="2" t="s">
        <v>110</v>
      </c>
      <c r="B117" s="2" t="s">
        <v>15</v>
      </c>
      <c r="C117" s="2">
        <v>2003.5</v>
      </c>
      <c r="D117" s="2">
        <f>C117-C112</f>
        <v>1.25</v>
      </c>
      <c r="E117" s="19">
        <v>0.505</v>
      </c>
      <c r="F117" s="2">
        <v>2004</v>
      </c>
    </row>
    <row r="118" spans="1:6" x14ac:dyDescent="0.25">
      <c r="A118" s="2" t="s">
        <v>110</v>
      </c>
      <c r="B118" s="2" t="s">
        <v>15</v>
      </c>
      <c r="C118" s="2">
        <v>2003.75</v>
      </c>
      <c r="D118" s="2">
        <f>C118-C112</f>
        <v>1.5</v>
      </c>
      <c r="E118" s="19">
        <v>0.505</v>
      </c>
      <c r="F118" s="2">
        <v>2004</v>
      </c>
    </row>
    <row r="119" spans="1:6" x14ac:dyDescent="0.25">
      <c r="A119" s="2" t="s">
        <v>110</v>
      </c>
      <c r="B119" s="2" t="s">
        <v>15</v>
      </c>
      <c r="C119" s="2">
        <v>2004</v>
      </c>
      <c r="D119" s="2">
        <f>C119-C112</f>
        <v>1.75</v>
      </c>
      <c r="E119" s="19">
        <v>0.505</v>
      </c>
      <c r="F119" s="2">
        <v>2004</v>
      </c>
    </row>
    <row r="120" spans="1:6" x14ac:dyDescent="0.25">
      <c r="A120" s="2" t="s">
        <v>110</v>
      </c>
      <c r="B120" s="2" t="s">
        <v>15</v>
      </c>
      <c r="C120" s="2">
        <v>2004.25</v>
      </c>
      <c r="D120" s="2">
        <f>C120-C112</f>
        <v>2</v>
      </c>
      <c r="E120" s="19">
        <v>0.505</v>
      </c>
      <c r="F120" s="2">
        <v>2004</v>
      </c>
    </row>
    <row r="121" spans="1:6" x14ac:dyDescent="0.25">
      <c r="A121" s="2" t="s">
        <v>110</v>
      </c>
      <c r="B121" s="2" t="s">
        <v>15</v>
      </c>
      <c r="C121" s="2">
        <v>2004.5</v>
      </c>
      <c r="D121" s="2">
        <f>C121-C112</f>
        <v>2.25</v>
      </c>
      <c r="E121" s="19">
        <v>0.65300000000000002</v>
      </c>
      <c r="F121" s="2">
        <v>2005</v>
      </c>
    </row>
    <row r="122" spans="1:6" x14ac:dyDescent="0.25">
      <c r="A122" s="2" t="s">
        <v>110</v>
      </c>
      <c r="B122" s="2" t="s">
        <v>15</v>
      </c>
      <c r="C122" s="2">
        <v>2004.75</v>
      </c>
      <c r="D122" s="2">
        <f>C122-C112</f>
        <v>2.5</v>
      </c>
      <c r="E122" s="19">
        <v>0.65300000000000002</v>
      </c>
      <c r="F122" s="2">
        <v>2005</v>
      </c>
    </row>
    <row r="123" spans="1:6" x14ac:dyDescent="0.25">
      <c r="A123" s="2" t="s">
        <v>110</v>
      </c>
      <c r="B123" s="2" t="s">
        <v>15</v>
      </c>
      <c r="C123" s="2">
        <v>2005</v>
      </c>
      <c r="D123" s="2">
        <f>C123-C112</f>
        <v>2.75</v>
      </c>
      <c r="E123" s="19">
        <v>0.65300000000000002</v>
      </c>
      <c r="F123" s="2">
        <v>2005</v>
      </c>
    </row>
    <row r="124" spans="1:6" x14ac:dyDescent="0.25">
      <c r="A124" s="2" t="s">
        <v>110</v>
      </c>
      <c r="B124" s="2" t="s">
        <v>15</v>
      </c>
      <c r="C124" s="2">
        <v>2005.25</v>
      </c>
      <c r="D124" s="2">
        <f>C124-C112</f>
        <v>3</v>
      </c>
      <c r="E124" s="19">
        <v>0.65300000000000002</v>
      </c>
      <c r="F124" s="2">
        <v>2005</v>
      </c>
    </row>
    <row r="125" spans="1:6" x14ac:dyDescent="0.25">
      <c r="A125" s="2" t="s">
        <v>110</v>
      </c>
      <c r="B125" s="2" t="s">
        <v>15</v>
      </c>
      <c r="C125" s="2">
        <v>2005.5</v>
      </c>
      <c r="D125" s="2">
        <f>C125-C112</f>
        <v>3.25</v>
      </c>
      <c r="E125" s="19">
        <v>0.86599999999999999</v>
      </c>
      <c r="F125" s="2">
        <v>2006</v>
      </c>
    </row>
    <row r="126" spans="1:6" x14ac:dyDescent="0.25">
      <c r="A126" s="2" t="s">
        <v>110</v>
      </c>
      <c r="B126" s="2" t="s">
        <v>15</v>
      </c>
      <c r="C126" s="2">
        <v>2005.75</v>
      </c>
      <c r="D126" s="2">
        <f>C126-C112</f>
        <v>3.5</v>
      </c>
      <c r="E126" s="19">
        <v>0.86599999999999999</v>
      </c>
      <c r="F126" s="2">
        <v>2006</v>
      </c>
    </row>
    <row r="127" spans="1:6" x14ac:dyDescent="0.25">
      <c r="A127" s="2" t="s">
        <v>110</v>
      </c>
      <c r="B127" s="2" t="s">
        <v>15</v>
      </c>
      <c r="C127" s="2">
        <v>2006</v>
      </c>
      <c r="D127" s="2">
        <f>C127-C112</f>
        <v>3.75</v>
      </c>
      <c r="E127" s="19">
        <v>0.86599999999999999</v>
      </c>
      <c r="F127" s="2">
        <v>2006</v>
      </c>
    </row>
    <row r="128" spans="1:6" x14ac:dyDescent="0.25">
      <c r="A128" s="2" t="s">
        <v>110</v>
      </c>
      <c r="B128" s="2" t="s">
        <v>15</v>
      </c>
      <c r="C128" s="2">
        <v>2006.25</v>
      </c>
      <c r="D128" s="2">
        <f>C128-C112</f>
        <v>4</v>
      </c>
      <c r="E128" s="19">
        <v>0.86599999999999999</v>
      </c>
      <c r="F128" s="2">
        <v>2006</v>
      </c>
    </row>
    <row r="129" spans="1:6" x14ac:dyDescent="0.25">
      <c r="A129" s="2" t="s">
        <v>110</v>
      </c>
      <c r="B129" s="2" t="s">
        <v>15</v>
      </c>
      <c r="C129" s="2">
        <v>2006.5</v>
      </c>
      <c r="D129" s="2">
        <f>C129-C112</f>
        <v>4.25</v>
      </c>
      <c r="E129" s="19">
        <v>0.95</v>
      </c>
      <c r="F129" s="2">
        <v>2007</v>
      </c>
    </row>
    <row r="130" spans="1:6" x14ac:dyDescent="0.25">
      <c r="A130" s="2" t="s">
        <v>110</v>
      </c>
      <c r="B130" s="2" t="s">
        <v>15</v>
      </c>
      <c r="C130" s="2">
        <v>2006.75</v>
      </c>
      <c r="D130" s="2">
        <f>C130-C112</f>
        <v>4.5</v>
      </c>
      <c r="E130" s="19">
        <v>0.95</v>
      </c>
      <c r="F130" s="2">
        <v>2007</v>
      </c>
    </row>
    <row r="131" spans="1:6" x14ac:dyDescent="0.25">
      <c r="A131" s="2" t="s">
        <v>110</v>
      </c>
      <c r="B131" s="2" t="s">
        <v>15</v>
      </c>
      <c r="C131" s="2">
        <v>2007</v>
      </c>
      <c r="D131" s="2">
        <f>C131-C112</f>
        <v>4.75</v>
      </c>
      <c r="E131" s="19">
        <v>0.95</v>
      </c>
      <c r="F131" s="2">
        <v>2007</v>
      </c>
    </row>
    <row r="132" spans="1:6" x14ac:dyDescent="0.25">
      <c r="A132" s="2" t="s">
        <v>110</v>
      </c>
      <c r="B132" s="2" t="s">
        <v>15</v>
      </c>
      <c r="C132" s="2">
        <v>2007.25</v>
      </c>
      <c r="D132" s="2">
        <f>C132-C112</f>
        <v>5</v>
      </c>
      <c r="E132" s="19">
        <v>0.95</v>
      </c>
      <c r="F132" s="2">
        <v>2007</v>
      </c>
    </row>
    <row r="133" spans="1:6" x14ac:dyDescent="0.25">
      <c r="A133" s="2" t="s">
        <v>110</v>
      </c>
      <c r="B133" s="2" t="s">
        <v>15</v>
      </c>
      <c r="C133" s="2">
        <v>2007.5</v>
      </c>
      <c r="D133" s="2">
        <f>C133-C112</f>
        <v>5.25</v>
      </c>
      <c r="E133" s="19">
        <v>1.1140000000000001</v>
      </c>
      <c r="F133" s="2">
        <v>2008</v>
      </c>
    </row>
    <row r="134" spans="1:6" x14ac:dyDescent="0.25">
      <c r="A134" s="2" t="s">
        <v>110</v>
      </c>
      <c r="B134" s="2" t="s">
        <v>15</v>
      </c>
      <c r="C134" s="2">
        <v>2007.75</v>
      </c>
      <c r="D134" s="2">
        <f>C134-C112</f>
        <v>5.5</v>
      </c>
      <c r="E134" s="19">
        <v>1.1140000000000001</v>
      </c>
      <c r="F134" s="2">
        <v>2008</v>
      </c>
    </row>
    <row r="135" spans="1:6" x14ac:dyDescent="0.25">
      <c r="A135" s="2" t="s">
        <v>110</v>
      </c>
      <c r="B135" s="2" t="s">
        <v>15</v>
      </c>
      <c r="C135" s="2">
        <v>2008</v>
      </c>
      <c r="D135" s="2">
        <f>C135-C112</f>
        <v>5.75</v>
      </c>
      <c r="E135" s="19">
        <v>1.1140000000000001</v>
      </c>
      <c r="F135" s="2">
        <v>2008</v>
      </c>
    </row>
    <row r="136" spans="1:6" x14ac:dyDescent="0.25">
      <c r="A136" s="2" t="s">
        <v>110</v>
      </c>
      <c r="B136" s="2" t="s">
        <v>15</v>
      </c>
      <c r="C136" s="2">
        <v>2008.25</v>
      </c>
      <c r="D136" s="2">
        <f>C136-C112</f>
        <v>6</v>
      </c>
      <c r="E136" s="19">
        <v>1.1140000000000001</v>
      </c>
      <c r="F136" s="2">
        <v>2008</v>
      </c>
    </row>
    <row r="137" spans="1:6" x14ac:dyDescent="0.25">
      <c r="A137" s="2" t="s">
        <v>110</v>
      </c>
      <c r="B137" s="2" t="s">
        <v>15</v>
      </c>
      <c r="C137" s="2">
        <v>2008.5</v>
      </c>
      <c r="D137" s="2">
        <f>C137-C112</f>
        <v>6.25</v>
      </c>
      <c r="E137" s="19">
        <v>0.77500000000000002</v>
      </c>
      <c r="F137" s="2">
        <v>2009</v>
      </c>
    </row>
    <row r="138" spans="1:6" x14ac:dyDescent="0.25">
      <c r="A138" s="2" t="s">
        <v>110</v>
      </c>
      <c r="B138" s="2" t="s">
        <v>15</v>
      </c>
      <c r="C138" s="2">
        <v>2008.75</v>
      </c>
      <c r="D138" s="2">
        <f>C138-C112</f>
        <v>6.5</v>
      </c>
      <c r="E138" s="19">
        <v>0.77500000000000002</v>
      </c>
      <c r="F138" s="2">
        <v>2009</v>
      </c>
    </row>
    <row r="139" spans="1:6" x14ac:dyDescent="0.25">
      <c r="A139" s="2" t="s">
        <v>110</v>
      </c>
      <c r="B139" s="2" t="s">
        <v>15</v>
      </c>
      <c r="C139" s="2">
        <v>2009</v>
      </c>
      <c r="D139" s="2">
        <f>C139-C112</f>
        <v>6.75</v>
      </c>
      <c r="E139" s="19">
        <v>0.77500000000000002</v>
      </c>
      <c r="F139" s="2">
        <v>2009</v>
      </c>
    </row>
    <row r="140" spans="1:6" x14ac:dyDescent="0.25">
      <c r="A140" s="2" t="s">
        <v>110</v>
      </c>
      <c r="B140" s="2" t="s">
        <v>15</v>
      </c>
      <c r="C140" s="2">
        <v>2009.25</v>
      </c>
      <c r="D140" s="2">
        <f>C140-C112</f>
        <v>7</v>
      </c>
      <c r="E140" s="19">
        <v>0.77500000000000002</v>
      </c>
      <c r="F140" s="2">
        <v>2009</v>
      </c>
    </row>
    <row r="141" spans="1:6" x14ac:dyDescent="0.25">
      <c r="A141" s="2" t="s">
        <v>110</v>
      </c>
      <c r="B141" s="2" t="s">
        <v>15</v>
      </c>
      <c r="C141" s="2">
        <v>2009.5</v>
      </c>
      <c r="D141" s="2">
        <f>C141-C112</f>
        <v>7.25</v>
      </c>
      <c r="E141" s="19">
        <v>0.85199999999999998</v>
      </c>
      <c r="F141" s="2">
        <v>2010</v>
      </c>
    </row>
    <row r="142" spans="1:6" x14ac:dyDescent="0.25">
      <c r="A142" s="2" t="s">
        <v>110</v>
      </c>
      <c r="B142" s="2" t="s">
        <v>15</v>
      </c>
      <c r="C142" s="2">
        <v>2009.75</v>
      </c>
      <c r="D142" s="2">
        <f>C142-C112</f>
        <v>7.5</v>
      </c>
      <c r="E142" s="19">
        <v>0.85199999999999998</v>
      </c>
      <c r="F142" s="2">
        <v>2010</v>
      </c>
    </row>
    <row r="143" spans="1:6" x14ac:dyDescent="0.25">
      <c r="A143" s="2" t="s">
        <v>110</v>
      </c>
      <c r="B143" s="2" t="s">
        <v>15</v>
      </c>
      <c r="C143" s="2">
        <v>2010</v>
      </c>
      <c r="D143" s="2">
        <f>C143-C112</f>
        <v>7.75</v>
      </c>
      <c r="E143" s="19">
        <v>0.85199999999999998</v>
      </c>
      <c r="F143" s="2">
        <v>2010</v>
      </c>
    </row>
    <row r="144" spans="1:6" x14ac:dyDescent="0.25">
      <c r="A144" s="2" t="s">
        <v>110</v>
      </c>
      <c r="B144" s="2" t="s">
        <v>15</v>
      </c>
      <c r="C144" s="2">
        <v>2010.25</v>
      </c>
      <c r="D144" s="2">
        <f>C144-C112</f>
        <v>8</v>
      </c>
      <c r="E144" s="19">
        <v>0.85199999999999998</v>
      </c>
      <c r="F144" s="2">
        <v>2010</v>
      </c>
    </row>
    <row r="145" spans="1:6" x14ac:dyDescent="0.25">
      <c r="A145" s="2" t="s">
        <v>110</v>
      </c>
      <c r="B145" s="2" t="s">
        <v>15</v>
      </c>
      <c r="C145" s="2">
        <v>2010.5</v>
      </c>
      <c r="D145" s="2">
        <f>C145-C112</f>
        <v>8.25</v>
      </c>
      <c r="E145" s="19">
        <v>1.034</v>
      </c>
      <c r="F145" s="2">
        <v>2011</v>
      </c>
    </row>
    <row r="146" spans="1:6" x14ac:dyDescent="0.25">
      <c r="A146" s="2" t="s">
        <v>110</v>
      </c>
      <c r="B146" s="2" t="s">
        <v>15</v>
      </c>
      <c r="C146" s="2">
        <v>2010.75</v>
      </c>
      <c r="D146" s="2">
        <f>C146-C112</f>
        <v>8.5</v>
      </c>
      <c r="E146" s="19">
        <v>1.034</v>
      </c>
      <c r="F146" s="2">
        <v>2011</v>
      </c>
    </row>
    <row r="147" spans="1:6" x14ac:dyDescent="0.25">
      <c r="A147" s="2" t="s">
        <v>110</v>
      </c>
      <c r="B147" s="2" t="s">
        <v>15</v>
      </c>
      <c r="C147" s="2">
        <v>2011</v>
      </c>
      <c r="D147" s="2">
        <f>C147-C112</f>
        <v>8.75</v>
      </c>
      <c r="E147" s="19">
        <v>1.034</v>
      </c>
      <c r="F147" s="2">
        <v>2011</v>
      </c>
    </row>
    <row r="148" spans="1:6" x14ac:dyDescent="0.25">
      <c r="A148" s="2" t="s">
        <v>110</v>
      </c>
      <c r="B148" s="2" t="s">
        <v>15</v>
      </c>
      <c r="C148" s="2">
        <v>2011.25</v>
      </c>
      <c r="D148" s="2">
        <f>C148-C112</f>
        <v>9</v>
      </c>
      <c r="E148" s="19">
        <v>1.034</v>
      </c>
      <c r="F148" s="2">
        <v>2011</v>
      </c>
    </row>
    <row r="149" spans="1:6" x14ac:dyDescent="0.25">
      <c r="A149" s="2" t="s">
        <v>110</v>
      </c>
      <c r="B149" s="2" t="s">
        <v>15</v>
      </c>
      <c r="C149" s="2">
        <v>2011.5</v>
      </c>
      <c r="D149" s="2">
        <f>C149-C112</f>
        <v>9.25</v>
      </c>
      <c r="E149" s="19">
        <v>1.2589999999999999</v>
      </c>
      <c r="F149" s="2">
        <v>2012</v>
      </c>
    </row>
    <row r="150" spans="1:6" x14ac:dyDescent="0.25">
      <c r="A150" s="2" t="s">
        <v>110</v>
      </c>
      <c r="B150" s="2" t="s">
        <v>15</v>
      </c>
      <c r="C150" s="2">
        <v>2011.75</v>
      </c>
      <c r="D150" s="2">
        <f>C150-C112</f>
        <v>9.5</v>
      </c>
      <c r="E150" s="19">
        <v>1.2589999999999999</v>
      </c>
      <c r="F150" s="2">
        <v>2012</v>
      </c>
    </row>
    <row r="151" spans="1:6" x14ac:dyDescent="0.25">
      <c r="A151" s="2" t="s">
        <v>110</v>
      </c>
      <c r="B151" s="2" t="s">
        <v>15</v>
      </c>
      <c r="C151" s="2">
        <v>2012</v>
      </c>
      <c r="D151" s="2">
        <f>C151-C112</f>
        <v>9.75</v>
      </c>
      <c r="E151" s="19">
        <v>1.2589999999999999</v>
      </c>
      <c r="F151" s="2">
        <v>2012</v>
      </c>
    </row>
    <row r="152" spans="1:6" x14ac:dyDescent="0.25">
      <c r="A152" s="2" t="s">
        <v>110</v>
      </c>
      <c r="B152" s="2" t="s">
        <v>15</v>
      </c>
      <c r="C152" s="2">
        <v>2012.25</v>
      </c>
      <c r="D152" s="2">
        <f>C152-C112</f>
        <v>10</v>
      </c>
      <c r="E152" s="19">
        <v>1.2589999999999999</v>
      </c>
      <c r="F152" s="2">
        <v>2012</v>
      </c>
    </row>
    <row r="153" spans="1:6" x14ac:dyDescent="0.25">
      <c r="A153" s="2" t="s">
        <v>110</v>
      </c>
      <c r="B153" s="2" t="s">
        <v>15</v>
      </c>
      <c r="C153" s="2">
        <v>2012.5</v>
      </c>
      <c r="D153" s="2">
        <f>C153-C112</f>
        <v>10.25</v>
      </c>
      <c r="E153" s="19">
        <v>1.2490000000000001</v>
      </c>
      <c r="F153" s="2">
        <v>2013</v>
      </c>
    </row>
    <row r="154" spans="1:6" x14ac:dyDescent="0.25">
      <c r="A154" s="2" t="s">
        <v>110</v>
      </c>
      <c r="B154" s="2" t="s">
        <v>15</v>
      </c>
      <c r="C154" s="2">
        <v>2012.75</v>
      </c>
      <c r="D154" s="2">
        <f>C154-C112</f>
        <v>10.5</v>
      </c>
      <c r="E154" s="19">
        <v>1.2490000000000001</v>
      </c>
      <c r="F154" s="2">
        <v>2013</v>
      </c>
    </row>
    <row r="155" spans="1:6" x14ac:dyDescent="0.25">
      <c r="A155" s="2" t="s">
        <v>110</v>
      </c>
      <c r="B155" s="2" t="s">
        <v>15</v>
      </c>
      <c r="C155" s="2">
        <v>2013</v>
      </c>
      <c r="D155" s="2">
        <f>C155-C112</f>
        <v>10.75</v>
      </c>
      <c r="E155" s="19">
        <v>1.2490000000000001</v>
      </c>
      <c r="F155" s="2">
        <v>2013</v>
      </c>
    </row>
    <row r="156" spans="1:6" x14ac:dyDescent="0.25">
      <c r="A156" s="2" t="s">
        <v>110</v>
      </c>
      <c r="B156" s="2" t="s">
        <v>15</v>
      </c>
      <c r="C156" s="2">
        <v>2013.25</v>
      </c>
      <c r="D156" s="2">
        <f>C156-C112</f>
        <v>11</v>
      </c>
      <c r="E156" s="19">
        <v>1.2490000000000001</v>
      </c>
      <c r="F156" s="2">
        <v>2013</v>
      </c>
    </row>
    <row r="157" spans="1:6" x14ac:dyDescent="0.25">
      <c r="A157" s="2" t="s">
        <v>110</v>
      </c>
      <c r="B157" s="2" t="s">
        <v>15</v>
      </c>
      <c r="C157" s="2">
        <v>2013.5</v>
      </c>
      <c r="D157" s="2">
        <f>C157-C112</f>
        <v>11.25</v>
      </c>
      <c r="E157" s="19">
        <v>1.415</v>
      </c>
      <c r="F157" s="2">
        <v>2014</v>
      </c>
    </row>
    <row r="158" spans="1:6" x14ac:dyDescent="0.25">
      <c r="A158" s="2" t="s">
        <v>110</v>
      </c>
      <c r="B158" s="2" t="s">
        <v>15</v>
      </c>
      <c r="C158" s="2">
        <v>2013.75</v>
      </c>
      <c r="D158" s="2">
        <f>C158-C112</f>
        <v>11.5</v>
      </c>
      <c r="E158" s="19">
        <v>1.415</v>
      </c>
      <c r="F158" s="2">
        <v>2014</v>
      </c>
    </row>
    <row r="159" spans="1:6" x14ac:dyDescent="0.25">
      <c r="A159" s="2" t="s">
        <v>110</v>
      </c>
      <c r="B159" s="2" t="s">
        <v>15</v>
      </c>
      <c r="C159" s="2">
        <v>2014</v>
      </c>
      <c r="D159" s="2">
        <f>C159-C112</f>
        <v>11.75</v>
      </c>
      <c r="E159" s="19">
        <v>1.415</v>
      </c>
      <c r="F159" s="2">
        <v>2014</v>
      </c>
    </row>
    <row r="160" spans="1:6" x14ac:dyDescent="0.25">
      <c r="A160" s="2" t="s">
        <v>110</v>
      </c>
      <c r="B160" s="2" t="s">
        <v>15</v>
      </c>
      <c r="C160" s="2">
        <v>2014.25</v>
      </c>
      <c r="D160" s="2">
        <f>C160-C112</f>
        <v>12</v>
      </c>
      <c r="E160" s="19">
        <v>1.415</v>
      </c>
      <c r="F160" s="2">
        <v>2014</v>
      </c>
    </row>
    <row r="161" spans="1:6" x14ac:dyDescent="0.25">
      <c r="A161" s="2" t="s">
        <v>110</v>
      </c>
      <c r="B161" s="2" t="s">
        <v>15</v>
      </c>
      <c r="C161" s="2">
        <v>2014.5</v>
      </c>
      <c r="D161" s="2">
        <f>C161-C112</f>
        <v>12.25</v>
      </c>
      <c r="E161" s="19">
        <v>0.97899999999999998</v>
      </c>
      <c r="F161" s="2">
        <v>2015</v>
      </c>
    </row>
    <row r="162" spans="1:6" x14ac:dyDescent="0.25">
      <c r="A162" s="2" t="s">
        <v>110</v>
      </c>
      <c r="B162" s="2" t="s">
        <v>15</v>
      </c>
      <c r="C162" s="2">
        <v>2014.75</v>
      </c>
      <c r="D162" s="2">
        <f>C162-C112</f>
        <v>12.5</v>
      </c>
      <c r="E162" s="19">
        <v>0.97899999999999998</v>
      </c>
      <c r="F162" s="2">
        <v>2015</v>
      </c>
    </row>
    <row r="163" spans="1:6" x14ac:dyDescent="0.25">
      <c r="A163" s="2" t="s">
        <v>110</v>
      </c>
      <c r="B163" s="2" t="s">
        <v>15</v>
      </c>
      <c r="C163" s="2">
        <v>2015</v>
      </c>
      <c r="D163" s="2">
        <f>C163-C112</f>
        <v>12.75</v>
      </c>
      <c r="E163" s="19">
        <v>0.97899999999999998</v>
      </c>
      <c r="F163" s="2">
        <v>2015</v>
      </c>
    </row>
    <row r="164" spans="1:6" x14ac:dyDescent="0.25">
      <c r="A164" s="2" t="s">
        <v>110</v>
      </c>
      <c r="B164" s="2" t="s">
        <v>15</v>
      </c>
      <c r="C164" s="2">
        <v>2015.25</v>
      </c>
      <c r="D164" s="2">
        <f>C164-C112</f>
        <v>13</v>
      </c>
      <c r="E164" s="19">
        <v>0.97899999999999998</v>
      </c>
      <c r="F164" s="2">
        <v>2015</v>
      </c>
    </row>
    <row r="165" spans="1:6" x14ac:dyDescent="0.25">
      <c r="A165" s="2" t="s">
        <v>110</v>
      </c>
      <c r="B165" s="2" t="s">
        <v>15</v>
      </c>
      <c r="C165" s="2">
        <v>2015.5</v>
      </c>
      <c r="D165" s="2">
        <f>C165-C112</f>
        <v>13.25</v>
      </c>
      <c r="E165" s="19">
        <v>0.56000000000000005</v>
      </c>
      <c r="F165" s="2">
        <v>2016</v>
      </c>
    </row>
    <row r="166" spans="1:6" x14ac:dyDescent="0.25">
      <c r="A166" s="2" t="s">
        <v>110</v>
      </c>
      <c r="B166" s="2" t="s">
        <v>15</v>
      </c>
      <c r="C166" s="2">
        <v>2015.75</v>
      </c>
      <c r="D166" s="2">
        <f>C166-C112</f>
        <v>13.5</v>
      </c>
      <c r="E166" s="19">
        <v>0.56000000000000005</v>
      </c>
      <c r="F166" s="2">
        <v>2016</v>
      </c>
    </row>
    <row r="167" spans="1:6" x14ac:dyDescent="0.25">
      <c r="A167" s="2" t="s">
        <v>110</v>
      </c>
      <c r="B167" s="2" t="s">
        <v>15</v>
      </c>
      <c r="C167" s="2">
        <v>2016</v>
      </c>
      <c r="D167" s="2">
        <f>C167-C112</f>
        <v>13.75</v>
      </c>
      <c r="E167" s="19">
        <v>0.56000000000000005</v>
      </c>
      <c r="F167" s="2">
        <v>2016</v>
      </c>
    </row>
    <row r="168" spans="1:6" x14ac:dyDescent="0.25">
      <c r="A168" s="2" t="s">
        <v>110</v>
      </c>
      <c r="B168" s="2" t="s">
        <v>15</v>
      </c>
      <c r="C168" s="2">
        <v>2016.25</v>
      </c>
      <c r="D168" s="2">
        <f>C168-C112</f>
        <v>14</v>
      </c>
      <c r="E168" s="19">
        <v>0.56000000000000005</v>
      </c>
      <c r="F168" s="2">
        <v>2016</v>
      </c>
    </row>
    <row r="169" spans="1:6" x14ac:dyDescent="0.25">
      <c r="A169" s="2" t="s">
        <v>160</v>
      </c>
      <c r="B169" s="2" t="s">
        <v>17</v>
      </c>
      <c r="C169" s="2">
        <v>2021.5</v>
      </c>
      <c r="D169" s="2">
        <f>C169-C169</f>
        <v>0</v>
      </c>
      <c r="E169" s="19">
        <v>0.61599999999999999</v>
      </c>
    </row>
    <row r="170" spans="1:6" x14ac:dyDescent="0.25">
      <c r="A170" s="2" t="s">
        <v>160</v>
      </c>
      <c r="B170" s="2" t="s">
        <v>17</v>
      </c>
      <c r="C170" s="2">
        <v>2021.75</v>
      </c>
      <c r="D170" s="2">
        <f>C170-C169</f>
        <v>0.25</v>
      </c>
      <c r="E170" s="19">
        <v>0.63700000000000001</v>
      </c>
    </row>
    <row r="171" spans="1:6" x14ac:dyDescent="0.25">
      <c r="A171" s="2" t="s">
        <v>160</v>
      </c>
      <c r="B171" s="2" t="s">
        <v>17</v>
      </c>
      <c r="C171" s="2">
        <v>2022</v>
      </c>
      <c r="D171" s="2">
        <f>C171-C169</f>
        <v>0.5</v>
      </c>
      <c r="E171" s="19">
        <v>0.64</v>
      </c>
    </row>
    <row r="172" spans="1:6" x14ac:dyDescent="0.25">
      <c r="A172" s="2" t="s">
        <v>160</v>
      </c>
      <c r="B172" s="2" t="s">
        <v>17</v>
      </c>
      <c r="C172" s="2">
        <v>2022.25</v>
      </c>
      <c r="D172" s="2">
        <f>C172-C169</f>
        <v>0.75</v>
      </c>
      <c r="E172" s="19">
        <v>0.65500000000000003</v>
      </c>
    </row>
    <row r="173" spans="1:6" x14ac:dyDescent="0.25">
      <c r="A173" s="2" t="s">
        <v>160</v>
      </c>
      <c r="B173" s="2" t="s">
        <v>17</v>
      </c>
      <c r="C173" s="2">
        <v>2022.5</v>
      </c>
      <c r="D173" s="2">
        <f>C173-C169</f>
        <v>1</v>
      </c>
      <c r="E173" s="19">
        <v>0.627</v>
      </c>
    </row>
    <row r="174" spans="1:6" x14ac:dyDescent="0.25">
      <c r="A174" s="2" t="s">
        <v>160</v>
      </c>
      <c r="B174" s="2" t="s">
        <v>17</v>
      </c>
      <c r="C174" s="2">
        <v>2022.75</v>
      </c>
      <c r="D174" s="2">
        <f>C174-C169</f>
        <v>1.25</v>
      </c>
      <c r="E174" s="19">
        <v>0.61399999999999999</v>
      </c>
    </row>
    <row r="175" spans="1:6" x14ac:dyDescent="0.25">
      <c r="A175" s="2" t="s">
        <v>160</v>
      </c>
      <c r="B175" s="2" t="s">
        <v>17</v>
      </c>
      <c r="C175" s="2">
        <v>2023</v>
      </c>
      <c r="D175" s="2">
        <f>C175-C169</f>
        <v>1.5</v>
      </c>
      <c r="E175" s="19">
        <v>0.59199999999999997</v>
      </c>
    </row>
    <row r="176" spans="1:6" x14ac:dyDescent="0.25">
      <c r="A176" s="2" t="s">
        <v>160</v>
      </c>
      <c r="B176" s="2" t="s">
        <v>17</v>
      </c>
      <c r="C176" s="2">
        <v>2023.25</v>
      </c>
      <c r="D176" s="2">
        <f>C176-C169</f>
        <v>1.75</v>
      </c>
      <c r="E176" s="19">
        <v>0.59499999999999997</v>
      </c>
    </row>
    <row r="177" spans="1:5" x14ac:dyDescent="0.25">
      <c r="A177" s="2" t="s">
        <v>160</v>
      </c>
      <c r="B177" s="2" t="s">
        <v>17</v>
      </c>
      <c r="C177" s="2">
        <v>2023.5</v>
      </c>
      <c r="D177" s="2">
        <f>C177-C169</f>
        <v>2</v>
      </c>
      <c r="E177" s="19">
        <v>0.59599999999999997</v>
      </c>
    </row>
    <row r="178" spans="1:5" x14ac:dyDescent="0.25">
      <c r="A178" s="2" t="s">
        <v>160</v>
      </c>
      <c r="B178" s="2" t="s">
        <v>17</v>
      </c>
      <c r="C178" s="2">
        <v>2023.75</v>
      </c>
      <c r="D178" s="2">
        <f>C178-C169</f>
        <v>2.25</v>
      </c>
      <c r="E178" s="19">
        <v>0.68600000000000005</v>
      </c>
    </row>
    <row r="179" spans="1:5" x14ac:dyDescent="0.25">
      <c r="A179" s="2" t="s">
        <v>160</v>
      </c>
      <c r="B179" s="2" t="s">
        <v>17</v>
      </c>
      <c r="C179" s="2">
        <v>2024</v>
      </c>
      <c r="D179" s="2">
        <f>C179-C169</f>
        <v>2.5</v>
      </c>
      <c r="E179" s="19">
        <v>0.78</v>
      </c>
    </row>
    <row r="180" spans="1:5" x14ac:dyDescent="0.25">
      <c r="A180" s="2" t="s">
        <v>160</v>
      </c>
      <c r="B180" s="2" t="s">
        <v>17</v>
      </c>
      <c r="C180" s="2">
        <v>2024.25</v>
      </c>
      <c r="D180" s="2">
        <f>C180-C169</f>
        <v>2.75</v>
      </c>
      <c r="E180" s="19">
        <v>0.89600000000000002</v>
      </c>
    </row>
    <row r="181" spans="1:5" x14ac:dyDescent="0.25">
      <c r="A181" s="2" t="s">
        <v>160</v>
      </c>
      <c r="B181" s="2" t="s">
        <v>17</v>
      </c>
      <c r="C181" s="2">
        <v>2024.5</v>
      </c>
      <c r="D181" s="2">
        <f>C181-C169</f>
        <v>3</v>
      </c>
      <c r="E181" s="19">
        <v>1.0129999999999999</v>
      </c>
    </row>
    <row r="182" spans="1:5" x14ac:dyDescent="0.25">
      <c r="A182" s="2" t="s">
        <v>160</v>
      </c>
      <c r="B182" s="2" t="s">
        <v>17</v>
      </c>
      <c r="C182" s="2">
        <v>2024.75</v>
      </c>
      <c r="D182" s="2">
        <f>C182-C169</f>
        <v>3.25</v>
      </c>
      <c r="E182" s="19">
        <v>1.147</v>
      </c>
    </row>
    <row r="183" spans="1:5" x14ac:dyDescent="0.25">
      <c r="A183" s="2" t="s">
        <v>160</v>
      </c>
      <c r="B183" s="2" t="s">
        <v>17</v>
      </c>
      <c r="C183" s="2">
        <v>2025</v>
      </c>
      <c r="D183" s="2">
        <f>C183-C169</f>
        <v>3.5</v>
      </c>
      <c r="E183" s="19">
        <v>1.3340000000000001</v>
      </c>
    </row>
    <row r="184" spans="1:5" x14ac:dyDescent="0.25">
      <c r="A184" s="2" t="s">
        <v>160</v>
      </c>
      <c r="B184" s="2" t="s">
        <v>17</v>
      </c>
      <c r="C184" s="2">
        <v>2025.25</v>
      </c>
      <c r="D184" s="2">
        <f>C184-C169</f>
        <v>3.75</v>
      </c>
      <c r="E184" s="19">
        <v>1.5580000000000001</v>
      </c>
    </row>
    <row r="185" spans="1:5" x14ac:dyDescent="0.25">
      <c r="A185" s="2" t="s">
        <v>160</v>
      </c>
      <c r="B185" s="2" t="s">
        <v>17</v>
      </c>
      <c r="C185" s="2">
        <v>2025.5</v>
      </c>
      <c r="D185" s="2">
        <f>C185-C169</f>
        <v>4</v>
      </c>
      <c r="E185" s="19">
        <v>1.702</v>
      </c>
    </row>
    <row r="186" spans="1:5" x14ac:dyDescent="0.25">
      <c r="A186" s="2" t="s">
        <v>135</v>
      </c>
      <c r="B186" s="2" t="s">
        <v>16</v>
      </c>
      <c r="C186" s="2">
        <v>2021.5</v>
      </c>
      <c r="D186" s="2">
        <f>C186-C186</f>
        <v>0</v>
      </c>
      <c r="E186" s="19">
        <v>0.53700000000000003</v>
      </c>
    </row>
    <row r="187" spans="1:5" x14ac:dyDescent="0.25">
      <c r="A187" s="2" t="s">
        <v>135</v>
      </c>
      <c r="B187" s="2" t="s">
        <v>16</v>
      </c>
      <c r="C187" s="2">
        <v>2021.75</v>
      </c>
      <c r="D187" s="2">
        <f>C187-C186</f>
        <v>0.25</v>
      </c>
      <c r="E187" s="19">
        <v>0.56399999999999995</v>
      </c>
    </row>
    <row r="188" spans="1:5" x14ac:dyDescent="0.25">
      <c r="A188" s="2" t="s">
        <v>135</v>
      </c>
      <c r="B188" s="2" t="s">
        <v>16</v>
      </c>
      <c r="C188" s="2">
        <v>2022</v>
      </c>
      <c r="D188" s="2">
        <f>C188-C186</f>
        <v>0.5</v>
      </c>
      <c r="E188" s="19">
        <v>0.59499999999999997</v>
      </c>
    </row>
    <row r="189" spans="1:5" x14ac:dyDescent="0.25">
      <c r="A189" s="2" t="s">
        <v>135</v>
      </c>
      <c r="B189" s="2" t="s">
        <v>16</v>
      </c>
      <c r="C189" s="2">
        <v>2022.25</v>
      </c>
      <c r="D189" s="2">
        <f>C189-C186</f>
        <v>0.75</v>
      </c>
      <c r="E189" s="19">
        <v>0.61099999999999999</v>
      </c>
    </row>
    <row r="190" spans="1:5" x14ac:dyDescent="0.25">
      <c r="A190" s="2" t="s">
        <v>135</v>
      </c>
      <c r="B190" s="2" t="s">
        <v>16</v>
      </c>
      <c r="C190" s="2">
        <v>2022.5</v>
      </c>
      <c r="D190" s="2">
        <f>C190-C186</f>
        <v>1</v>
      </c>
      <c r="E190" s="19">
        <v>0.56899999999999995</v>
      </c>
    </row>
    <row r="191" spans="1:5" x14ac:dyDescent="0.25">
      <c r="A191" s="2" t="s">
        <v>135</v>
      </c>
      <c r="B191" s="2" t="s">
        <v>16</v>
      </c>
      <c r="C191" s="2">
        <v>2022.75</v>
      </c>
      <c r="D191" s="2">
        <f>C191-C186</f>
        <v>1.25</v>
      </c>
      <c r="E191" s="19">
        <v>0.55500000000000005</v>
      </c>
    </row>
    <row r="192" spans="1:5" x14ac:dyDescent="0.25">
      <c r="A192" s="2" t="s">
        <v>135</v>
      </c>
      <c r="B192" s="2" t="s">
        <v>16</v>
      </c>
      <c r="C192" s="2">
        <v>2023</v>
      </c>
      <c r="D192" s="2">
        <f>C192-C186</f>
        <v>1.5</v>
      </c>
      <c r="E192" s="19">
        <v>0.54200000000000004</v>
      </c>
    </row>
    <row r="193" spans="1:5" x14ac:dyDescent="0.25">
      <c r="A193" s="2" t="s">
        <v>135</v>
      </c>
      <c r="B193" s="2" t="s">
        <v>16</v>
      </c>
      <c r="C193" s="2">
        <v>2023.25</v>
      </c>
      <c r="D193" s="2">
        <f>C193-C186</f>
        <v>1.75</v>
      </c>
      <c r="E193" s="19">
        <v>0.55100000000000005</v>
      </c>
    </row>
    <row r="194" spans="1:5" x14ac:dyDescent="0.25">
      <c r="A194" s="2" t="s">
        <v>135</v>
      </c>
      <c r="B194" s="2" t="s">
        <v>16</v>
      </c>
      <c r="C194" s="2">
        <v>2023.5</v>
      </c>
      <c r="D194" s="2">
        <f>C194-C186</f>
        <v>2</v>
      </c>
      <c r="E194" s="19">
        <v>0.56200000000000006</v>
      </c>
    </row>
    <row r="195" spans="1:5" x14ac:dyDescent="0.25">
      <c r="A195" s="2" t="s">
        <v>135</v>
      </c>
      <c r="B195" s="2" t="s">
        <v>16</v>
      </c>
      <c r="C195" s="2">
        <v>2023.75</v>
      </c>
      <c r="D195" s="2">
        <f>C195-C186</f>
        <v>2.25</v>
      </c>
      <c r="E195" s="19">
        <v>0.63</v>
      </c>
    </row>
    <row r="196" spans="1:5" x14ac:dyDescent="0.25">
      <c r="A196" s="2" t="s">
        <v>135</v>
      </c>
      <c r="B196" s="2" t="s">
        <v>16</v>
      </c>
      <c r="C196" s="2">
        <v>2024</v>
      </c>
      <c r="D196" s="2">
        <f>C196-C186</f>
        <v>2.5</v>
      </c>
      <c r="E196" s="19">
        <v>0.71499999999999997</v>
      </c>
    </row>
    <row r="197" spans="1:5" x14ac:dyDescent="0.25">
      <c r="A197" s="2" t="s">
        <v>135</v>
      </c>
      <c r="B197" s="2" t="s">
        <v>16</v>
      </c>
      <c r="C197" s="2">
        <v>2024.25</v>
      </c>
      <c r="D197" s="2">
        <f>C197-C186</f>
        <v>2.75</v>
      </c>
      <c r="E197" s="19">
        <v>0.82899999999999996</v>
      </c>
    </row>
    <row r="198" spans="1:5" x14ac:dyDescent="0.25">
      <c r="A198" s="2" t="s">
        <v>135</v>
      </c>
      <c r="B198" s="2" t="s">
        <v>16</v>
      </c>
      <c r="C198" s="2">
        <v>2024.5</v>
      </c>
      <c r="D198" s="2">
        <f>C198-C186</f>
        <v>3</v>
      </c>
      <c r="E198" s="19">
        <v>0.90100000000000002</v>
      </c>
    </row>
    <row r="199" spans="1:5" x14ac:dyDescent="0.25">
      <c r="A199" s="2" t="s">
        <v>135</v>
      </c>
      <c r="B199" s="2" t="s">
        <v>16</v>
      </c>
      <c r="C199" s="2">
        <v>2024.75</v>
      </c>
      <c r="D199" s="2">
        <f>C199-C186</f>
        <v>3.25</v>
      </c>
      <c r="E199" s="19">
        <v>1.036</v>
      </c>
    </row>
    <row r="200" spans="1:5" x14ac:dyDescent="0.25">
      <c r="A200" s="2" t="s">
        <v>135</v>
      </c>
      <c r="B200" s="2" t="s">
        <v>16</v>
      </c>
      <c r="C200" s="2">
        <v>2025</v>
      </c>
      <c r="D200" s="2">
        <f>C200-C186</f>
        <v>3.5</v>
      </c>
      <c r="E200" s="19">
        <v>1.1870000000000001</v>
      </c>
    </row>
    <row r="201" spans="1:5" x14ac:dyDescent="0.25">
      <c r="A201" s="2" t="s">
        <v>135</v>
      </c>
      <c r="B201" s="2" t="s">
        <v>16</v>
      </c>
      <c r="C201" s="2">
        <v>2025.25</v>
      </c>
      <c r="D201" s="2">
        <f>C201-C186</f>
        <v>3.75</v>
      </c>
      <c r="E201" s="19">
        <v>1.379</v>
      </c>
    </row>
    <row r="202" spans="1:5" x14ac:dyDescent="0.25">
      <c r="A202" s="2" t="s">
        <v>135</v>
      </c>
      <c r="B202" s="2" t="s">
        <v>16</v>
      </c>
      <c r="C202" s="2">
        <v>2025.5</v>
      </c>
      <c r="D202" s="2">
        <f>C202-C186</f>
        <v>4</v>
      </c>
      <c r="E202" s="19">
        <v>1.536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0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75" x14ac:dyDescent="0.25"/>
  <cols>
    <col min="1" max="1" width="8" customWidth="1"/>
    <col min="2" max="5" width="16" customWidth="1"/>
  </cols>
  <sheetData>
    <row r="1" spans="1:5" ht="26.25" x14ac:dyDescent="0.25">
      <c r="A1" s="3" t="s">
        <v>161</v>
      </c>
      <c r="B1" s="4" t="s">
        <v>12</v>
      </c>
      <c r="C1" s="4" t="s">
        <v>13</v>
      </c>
      <c r="D1" s="4" t="s">
        <v>14</v>
      </c>
      <c r="E1" s="4" t="s">
        <v>15</v>
      </c>
    </row>
    <row r="2" spans="1:5" x14ac:dyDescent="0.25">
      <c r="A2" s="2">
        <v>1899</v>
      </c>
      <c r="B2" s="19">
        <v>1.169</v>
      </c>
    </row>
    <row r="3" spans="1:5" x14ac:dyDescent="0.25">
      <c r="A3" s="2">
        <v>1900</v>
      </c>
      <c r="B3" s="19">
        <v>1.2470000000000001</v>
      </c>
    </row>
    <row r="4" spans="1:5" x14ac:dyDescent="0.25">
      <c r="A4" s="2">
        <v>1901</v>
      </c>
      <c r="B4" s="19">
        <v>1.0469999999999999</v>
      </c>
    </row>
    <row r="5" spans="1:5" x14ac:dyDescent="0.25">
      <c r="A5" s="2">
        <v>1902</v>
      </c>
      <c r="B5" s="19">
        <v>1.0680000000000001</v>
      </c>
    </row>
    <row r="6" spans="1:5" x14ac:dyDescent="0.25">
      <c r="A6" s="2">
        <v>1903</v>
      </c>
      <c r="B6" s="19">
        <v>1.0680000000000001</v>
      </c>
    </row>
    <row r="7" spans="1:5" x14ac:dyDescent="0.25">
      <c r="A7" s="2">
        <v>1904</v>
      </c>
      <c r="B7" s="19">
        <v>1.252</v>
      </c>
    </row>
    <row r="8" spans="1:5" x14ac:dyDescent="0.25">
      <c r="A8" s="2">
        <v>1905</v>
      </c>
      <c r="B8" s="19">
        <v>1.49</v>
      </c>
    </row>
    <row r="9" spans="1:5" x14ac:dyDescent="0.25">
      <c r="A9" s="2">
        <v>1906</v>
      </c>
      <c r="B9" s="19">
        <v>1.798</v>
      </c>
    </row>
    <row r="10" spans="1:5" x14ac:dyDescent="0.25">
      <c r="A10" s="2">
        <v>1907</v>
      </c>
      <c r="B10" s="19">
        <v>2.0259999999999998</v>
      </c>
    </row>
    <row r="11" spans="1:5" x14ac:dyDescent="0.25">
      <c r="A11" s="2">
        <v>1908</v>
      </c>
      <c r="B11" s="19">
        <v>2.2210000000000001</v>
      </c>
    </row>
    <row r="12" spans="1:5" x14ac:dyDescent="0.25">
      <c r="A12" s="2">
        <v>1909</v>
      </c>
      <c r="B12" s="19">
        <v>2.1150000000000002</v>
      </c>
    </row>
    <row r="13" spans="1:5" x14ac:dyDescent="0.25">
      <c r="A13" s="2">
        <v>1910</v>
      </c>
      <c r="B13" s="19">
        <v>2.3029999999999999</v>
      </c>
    </row>
    <row r="14" spans="1:5" x14ac:dyDescent="0.25">
      <c r="A14" s="2">
        <v>1911</v>
      </c>
      <c r="B14" s="19">
        <v>2.117</v>
      </c>
    </row>
    <row r="15" spans="1:5" x14ac:dyDescent="0.25">
      <c r="A15" s="2">
        <v>1912</v>
      </c>
      <c r="B15" s="19">
        <v>1.998</v>
      </c>
    </row>
    <row r="16" spans="1:5" x14ac:dyDescent="0.25">
      <c r="A16" s="2">
        <v>1913</v>
      </c>
      <c r="B16" s="19">
        <v>1.9790000000000001</v>
      </c>
    </row>
    <row r="17" spans="1:3" x14ac:dyDescent="0.25">
      <c r="A17" s="2">
        <v>1914</v>
      </c>
      <c r="B17" s="19">
        <v>1.4179999999999999</v>
      </c>
    </row>
    <row r="18" spans="1:3" x14ac:dyDescent="0.25">
      <c r="A18" s="2">
        <v>1915</v>
      </c>
      <c r="B18" s="19">
        <v>0.79</v>
      </c>
    </row>
    <row r="19" spans="1:3" x14ac:dyDescent="0.25">
      <c r="A19" s="2">
        <v>1916</v>
      </c>
      <c r="B19" s="19">
        <v>0.81599999999999995</v>
      </c>
    </row>
    <row r="20" spans="1:3" x14ac:dyDescent="0.25">
      <c r="A20" s="2">
        <v>1917</v>
      </c>
      <c r="B20" s="19">
        <v>1.0129999999999999</v>
      </c>
    </row>
    <row r="21" spans="1:3" x14ac:dyDescent="0.25">
      <c r="A21" s="2">
        <v>1918</v>
      </c>
      <c r="B21" s="19">
        <v>0.78</v>
      </c>
    </row>
    <row r="22" spans="1:3" x14ac:dyDescent="0.25">
      <c r="A22" s="2">
        <v>1919</v>
      </c>
      <c r="B22" s="19">
        <v>0.50800000000000001</v>
      </c>
    </row>
    <row r="23" spans="1:3" x14ac:dyDescent="0.25">
      <c r="A23" s="2">
        <v>1920</v>
      </c>
      <c r="B23" s="19">
        <v>0.72599999999999998</v>
      </c>
    </row>
    <row r="24" spans="1:3" x14ac:dyDescent="0.25">
      <c r="A24" s="2">
        <v>1972</v>
      </c>
      <c r="C24" s="19">
        <v>0.379</v>
      </c>
    </row>
    <row r="25" spans="1:3" x14ac:dyDescent="0.25">
      <c r="A25" s="2">
        <v>1973</v>
      </c>
      <c r="C25" s="19">
        <v>0.39100000000000001</v>
      </c>
    </row>
    <row r="26" spans="1:3" x14ac:dyDescent="0.25">
      <c r="A26" s="2">
        <v>1974</v>
      </c>
      <c r="C26" s="19">
        <v>0.495</v>
      </c>
    </row>
    <row r="27" spans="1:3" x14ac:dyDescent="0.25">
      <c r="A27" s="2">
        <v>1975</v>
      </c>
      <c r="C27" s="19">
        <v>0.66500000000000004</v>
      </c>
    </row>
    <row r="28" spans="1:3" x14ac:dyDescent="0.25">
      <c r="A28" s="2">
        <v>1976</v>
      </c>
      <c r="C28" s="19">
        <v>0.7</v>
      </c>
    </row>
    <row r="29" spans="1:3" x14ac:dyDescent="0.25">
      <c r="A29" s="2">
        <v>1977</v>
      </c>
      <c r="C29" s="19">
        <v>0.72199999999999998</v>
      </c>
    </row>
    <row r="30" spans="1:3" x14ac:dyDescent="0.25">
      <c r="A30" s="2">
        <v>1978</v>
      </c>
      <c r="C30" s="19">
        <v>0.90900000000000003</v>
      </c>
    </row>
    <row r="31" spans="1:3" x14ac:dyDescent="0.25">
      <c r="A31" s="2">
        <v>1979</v>
      </c>
      <c r="C31" s="19">
        <v>1.0640000000000001</v>
      </c>
    </row>
    <row r="32" spans="1:3" x14ac:dyDescent="0.25">
      <c r="A32" s="2">
        <v>1980</v>
      </c>
      <c r="C32" s="19">
        <v>1.425</v>
      </c>
    </row>
    <row r="33" spans="1:5" x14ac:dyDescent="0.25">
      <c r="A33" s="2">
        <v>1981</v>
      </c>
      <c r="C33" s="19">
        <v>1.972</v>
      </c>
    </row>
    <row r="34" spans="1:5" x14ac:dyDescent="0.25">
      <c r="A34" s="2">
        <v>1982</v>
      </c>
      <c r="C34" s="19">
        <v>1.891</v>
      </c>
    </row>
    <row r="35" spans="1:5" x14ac:dyDescent="0.25">
      <c r="A35" s="2">
        <v>1983</v>
      </c>
      <c r="C35" s="19">
        <v>1.1819999999999999</v>
      </c>
    </row>
    <row r="36" spans="1:5" x14ac:dyDescent="0.25">
      <c r="A36" s="2">
        <v>1984</v>
      </c>
      <c r="C36" s="19">
        <v>1.093</v>
      </c>
    </row>
    <row r="37" spans="1:5" x14ac:dyDescent="0.25">
      <c r="A37" s="2">
        <v>1985</v>
      </c>
      <c r="C37" s="19">
        <v>0.92500000000000004</v>
      </c>
    </row>
    <row r="38" spans="1:5" x14ac:dyDescent="0.25">
      <c r="A38" s="2">
        <v>1986</v>
      </c>
      <c r="C38" s="19">
        <v>0.51600000000000001</v>
      </c>
    </row>
    <row r="39" spans="1:5" x14ac:dyDescent="0.25">
      <c r="A39" s="2">
        <v>1995</v>
      </c>
      <c r="D39" s="19">
        <v>1.054</v>
      </c>
    </row>
    <row r="40" spans="1:5" x14ac:dyDescent="0.25">
      <c r="A40" s="2">
        <v>1996</v>
      </c>
      <c r="D40" s="19">
        <v>1.083</v>
      </c>
    </row>
    <row r="41" spans="1:5" x14ac:dyDescent="0.25">
      <c r="A41" s="2">
        <v>1997</v>
      </c>
      <c r="D41" s="19">
        <v>1.0980000000000001</v>
      </c>
    </row>
    <row r="42" spans="1:5" x14ac:dyDescent="0.25">
      <c r="A42" s="2">
        <v>1998</v>
      </c>
      <c r="D42" s="19">
        <v>1.135</v>
      </c>
    </row>
    <row r="43" spans="1:5" x14ac:dyDescent="0.25">
      <c r="A43" s="2">
        <v>1999</v>
      </c>
      <c r="D43" s="19">
        <v>1.2849999999999999</v>
      </c>
    </row>
    <row r="44" spans="1:5" x14ac:dyDescent="0.25">
      <c r="A44" s="2">
        <v>2000</v>
      </c>
      <c r="D44" s="19">
        <v>1.54</v>
      </c>
    </row>
    <row r="45" spans="1:5" x14ac:dyDescent="0.25">
      <c r="A45" s="2">
        <v>2001</v>
      </c>
      <c r="D45" s="19">
        <v>1.337</v>
      </c>
    </row>
    <row r="46" spans="1:5" x14ac:dyDescent="0.25">
      <c r="A46" s="2">
        <v>2002</v>
      </c>
      <c r="D46" s="19">
        <v>0.91</v>
      </c>
      <c r="E46" s="19">
        <v>0.39500000000000002</v>
      </c>
    </row>
    <row r="47" spans="1:5" x14ac:dyDescent="0.25">
      <c r="A47" s="2">
        <v>2003</v>
      </c>
      <c r="D47" s="19">
        <v>0.78900000000000003</v>
      </c>
      <c r="E47" s="19">
        <v>0.46800000000000003</v>
      </c>
    </row>
    <row r="48" spans="1:5" x14ac:dyDescent="0.25">
      <c r="A48" s="2">
        <v>2004</v>
      </c>
      <c r="E48" s="19">
        <v>0.505</v>
      </c>
    </row>
    <row r="49" spans="1:5" x14ac:dyDescent="0.25">
      <c r="A49" s="2">
        <v>2005</v>
      </c>
      <c r="E49" s="19">
        <v>0.65300000000000002</v>
      </c>
    </row>
    <row r="50" spans="1:5" x14ac:dyDescent="0.25">
      <c r="A50" s="2">
        <v>2006</v>
      </c>
      <c r="E50" s="19">
        <v>0.86599999999999999</v>
      </c>
    </row>
    <row r="51" spans="1:5" x14ac:dyDescent="0.25">
      <c r="A51" s="2">
        <v>2007</v>
      </c>
      <c r="E51" s="19">
        <v>0.95</v>
      </c>
    </row>
    <row r="52" spans="1:5" x14ac:dyDescent="0.25">
      <c r="A52" s="2">
        <v>2008</v>
      </c>
      <c r="E52" s="19">
        <v>1.1140000000000001</v>
      </c>
    </row>
    <row r="53" spans="1:5" x14ac:dyDescent="0.25">
      <c r="A53" s="2">
        <v>2009</v>
      </c>
      <c r="E53" s="19">
        <v>0.77500000000000002</v>
      </c>
    </row>
    <row r="54" spans="1:5" x14ac:dyDescent="0.25">
      <c r="A54" s="2">
        <v>2010</v>
      </c>
      <c r="E54" s="19">
        <v>0.85199999999999998</v>
      </c>
    </row>
    <row r="55" spans="1:5" x14ac:dyDescent="0.25">
      <c r="A55" s="2">
        <v>2011</v>
      </c>
      <c r="E55" s="19">
        <v>1.034</v>
      </c>
    </row>
    <row r="56" spans="1:5" x14ac:dyDescent="0.25">
      <c r="A56" s="2">
        <v>2012</v>
      </c>
      <c r="E56" s="19">
        <v>1.2589999999999999</v>
      </c>
    </row>
    <row r="57" spans="1:5" x14ac:dyDescent="0.25">
      <c r="A57" s="2">
        <v>2013</v>
      </c>
      <c r="E57" s="19">
        <v>1.2490000000000001</v>
      </c>
    </row>
    <row r="58" spans="1:5" x14ac:dyDescent="0.25">
      <c r="A58" s="2">
        <v>2014</v>
      </c>
      <c r="E58" s="19">
        <v>1.415</v>
      </c>
    </row>
    <row r="59" spans="1:5" x14ac:dyDescent="0.25">
      <c r="A59" s="2">
        <v>2015</v>
      </c>
      <c r="E59" s="19">
        <v>0.97899999999999998</v>
      </c>
    </row>
    <row r="60" spans="1:5" x14ac:dyDescent="0.25">
      <c r="A60" s="2">
        <v>2016</v>
      </c>
      <c r="E60" s="19">
        <v>0.56000000000000005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8"/>
  <sheetViews>
    <sheetView showGridLines="0" workbookViewId="0"/>
  </sheetViews>
  <sheetFormatPr defaultRowHeight="15.75" x14ac:dyDescent="0.25"/>
  <cols>
    <col min="1" max="1" width="16" customWidth="1"/>
    <col min="2" max="2" width="12" customWidth="1"/>
    <col min="3" max="3" width="14" customWidth="1"/>
    <col min="4" max="4" width="16" customWidth="1"/>
    <col min="5" max="5" width="14" customWidth="1"/>
  </cols>
  <sheetData>
    <row r="1" spans="1:5" ht="39" x14ac:dyDescent="0.25">
      <c r="A1" s="3" t="s">
        <v>162</v>
      </c>
      <c r="B1" s="4" t="s">
        <v>163</v>
      </c>
      <c r="C1" s="4" t="s">
        <v>16</v>
      </c>
      <c r="D1" s="4" t="s">
        <v>17</v>
      </c>
      <c r="E1" s="4" t="s">
        <v>164</v>
      </c>
    </row>
    <row r="2" spans="1:5" x14ac:dyDescent="0.25">
      <c r="A2" s="2" t="s">
        <v>136</v>
      </c>
      <c r="B2" s="2">
        <v>2021.5</v>
      </c>
      <c r="C2" s="19">
        <v>0.53700000000000003</v>
      </c>
      <c r="D2" s="19">
        <v>0.61599999999999999</v>
      </c>
      <c r="E2" s="5">
        <f t="shared" ref="E2:E18" si="0">D2-C2</f>
        <v>7.8999999999999959E-2</v>
      </c>
    </row>
    <row r="3" spans="1:5" x14ac:dyDescent="0.25">
      <c r="A3" s="2" t="s">
        <v>139</v>
      </c>
      <c r="B3" s="2">
        <v>2021.75</v>
      </c>
      <c r="C3" s="19">
        <v>0.56399999999999995</v>
      </c>
      <c r="D3" s="19">
        <v>0.63700000000000001</v>
      </c>
      <c r="E3" s="5">
        <f t="shared" si="0"/>
        <v>7.3000000000000065E-2</v>
      </c>
    </row>
    <row r="4" spans="1:5" x14ac:dyDescent="0.25">
      <c r="A4" s="2" t="s">
        <v>140</v>
      </c>
      <c r="B4" s="2">
        <v>2022</v>
      </c>
      <c r="C4" s="19">
        <v>0.59499999999999997</v>
      </c>
      <c r="D4" s="19">
        <v>0.64</v>
      </c>
      <c r="E4" s="5">
        <f t="shared" si="0"/>
        <v>4.500000000000004E-2</v>
      </c>
    </row>
    <row r="5" spans="1:5" x14ac:dyDescent="0.25">
      <c r="A5" s="2" t="s">
        <v>141</v>
      </c>
      <c r="B5" s="2">
        <v>2022.25</v>
      </c>
      <c r="C5" s="19">
        <v>0.61099999999999999</v>
      </c>
      <c r="D5" s="19">
        <v>0.65500000000000003</v>
      </c>
      <c r="E5" s="5">
        <f t="shared" si="0"/>
        <v>4.4000000000000039E-2</v>
      </c>
    </row>
    <row r="6" spans="1:5" x14ac:dyDescent="0.25">
      <c r="A6" s="2" t="s">
        <v>142</v>
      </c>
      <c r="B6" s="2">
        <v>2022.5</v>
      </c>
      <c r="C6" s="19">
        <v>0.56899999999999995</v>
      </c>
      <c r="D6" s="19">
        <v>0.627</v>
      </c>
      <c r="E6" s="5">
        <f t="shared" si="0"/>
        <v>5.8000000000000052E-2</v>
      </c>
    </row>
    <row r="7" spans="1:5" x14ac:dyDescent="0.25">
      <c r="A7" s="2" t="s">
        <v>143</v>
      </c>
      <c r="B7" s="2">
        <v>2022.75</v>
      </c>
      <c r="C7" s="19">
        <v>0.55500000000000005</v>
      </c>
      <c r="D7" s="19">
        <v>0.61399999999999999</v>
      </c>
      <c r="E7" s="5">
        <f t="shared" si="0"/>
        <v>5.8999999999999941E-2</v>
      </c>
    </row>
    <row r="8" spans="1:5" x14ac:dyDescent="0.25">
      <c r="A8" s="2" t="s">
        <v>144</v>
      </c>
      <c r="B8" s="2">
        <v>2023</v>
      </c>
      <c r="C8" s="19">
        <v>0.54200000000000004</v>
      </c>
      <c r="D8" s="19">
        <v>0.59199999999999997</v>
      </c>
      <c r="E8" s="5">
        <f t="shared" si="0"/>
        <v>4.9999999999999933E-2</v>
      </c>
    </row>
    <row r="9" spans="1:5" x14ac:dyDescent="0.25">
      <c r="A9" s="2" t="s">
        <v>145</v>
      </c>
      <c r="B9" s="2">
        <v>2023.25</v>
      </c>
      <c r="C9" s="19">
        <v>0.55100000000000005</v>
      </c>
      <c r="D9" s="19">
        <v>0.59499999999999997</v>
      </c>
      <c r="E9" s="5">
        <f t="shared" si="0"/>
        <v>4.3999999999999928E-2</v>
      </c>
    </row>
    <row r="10" spans="1:5" x14ac:dyDescent="0.25">
      <c r="A10" s="2" t="s">
        <v>146</v>
      </c>
      <c r="B10" s="2">
        <v>2023.5</v>
      </c>
      <c r="C10" s="19">
        <v>0.56200000000000006</v>
      </c>
      <c r="D10" s="19">
        <v>0.59599999999999997</v>
      </c>
      <c r="E10" s="5">
        <f t="shared" si="0"/>
        <v>3.3999999999999919E-2</v>
      </c>
    </row>
    <row r="11" spans="1:5" x14ac:dyDescent="0.25">
      <c r="A11" s="2" t="s">
        <v>147</v>
      </c>
      <c r="B11" s="2">
        <v>2023.75</v>
      </c>
      <c r="C11" s="19">
        <v>0.63</v>
      </c>
      <c r="D11" s="19">
        <v>0.68600000000000005</v>
      </c>
      <c r="E11" s="5">
        <f t="shared" si="0"/>
        <v>5.600000000000005E-2</v>
      </c>
    </row>
    <row r="12" spans="1:5" x14ac:dyDescent="0.25">
      <c r="A12" s="2" t="s">
        <v>148</v>
      </c>
      <c r="B12" s="2">
        <v>2024</v>
      </c>
      <c r="C12" s="19">
        <v>0.71499999999999997</v>
      </c>
      <c r="D12" s="19">
        <v>0.78</v>
      </c>
      <c r="E12" s="5">
        <f t="shared" si="0"/>
        <v>6.5000000000000058E-2</v>
      </c>
    </row>
    <row r="13" spans="1:5" x14ac:dyDescent="0.25">
      <c r="A13" s="2" t="s">
        <v>149</v>
      </c>
      <c r="B13" s="2">
        <v>2024.25</v>
      </c>
      <c r="C13" s="19">
        <v>0.82899999999999996</v>
      </c>
      <c r="D13" s="19">
        <v>0.89600000000000002</v>
      </c>
      <c r="E13" s="5">
        <f t="shared" si="0"/>
        <v>6.700000000000006E-2</v>
      </c>
    </row>
    <row r="14" spans="1:5" x14ac:dyDescent="0.25">
      <c r="A14" s="2" t="s">
        <v>150</v>
      </c>
      <c r="B14" s="2">
        <v>2024.5</v>
      </c>
      <c r="C14" s="19">
        <v>0.90100000000000002</v>
      </c>
      <c r="D14" s="19">
        <v>1.0129999999999999</v>
      </c>
      <c r="E14" s="5">
        <f t="shared" si="0"/>
        <v>0.11199999999999988</v>
      </c>
    </row>
    <row r="15" spans="1:5" x14ac:dyDescent="0.25">
      <c r="A15" s="2" t="s">
        <v>151</v>
      </c>
      <c r="B15" s="2">
        <v>2024.75</v>
      </c>
      <c r="C15" s="19">
        <v>1.036</v>
      </c>
      <c r="D15" s="19">
        <v>1.147</v>
      </c>
      <c r="E15" s="5">
        <f t="shared" si="0"/>
        <v>0.11099999999999999</v>
      </c>
    </row>
    <row r="16" spans="1:5" x14ac:dyDescent="0.25">
      <c r="A16" s="2" t="s">
        <v>152</v>
      </c>
      <c r="B16" s="2">
        <v>2025</v>
      </c>
      <c r="C16" s="19">
        <v>1.1870000000000001</v>
      </c>
      <c r="D16" s="19">
        <v>1.3340000000000001</v>
      </c>
      <c r="E16" s="5">
        <f t="shared" si="0"/>
        <v>0.14700000000000002</v>
      </c>
    </row>
    <row r="17" spans="1:5" x14ac:dyDescent="0.25">
      <c r="A17" s="2" t="s">
        <v>153</v>
      </c>
      <c r="B17" s="2">
        <v>2025.25</v>
      </c>
      <c r="C17" s="19">
        <v>1.379</v>
      </c>
      <c r="D17" s="19">
        <v>1.5580000000000001</v>
      </c>
      <c r="E17" s="5">
        <f t="shared" si="0"/>
        <v>0.17900000000000005</v>
      </c>
    </row>
    <row r="18" spans="1:5" x14ac:dyDescent="0.25">
      <c r="A18" s="2" t="s">
        <v>154</v>
      </c>
      <c r="B18" s="2">
        <v>2025.5</v>
      </c>
      <c r="C18" s="19">
        <v>1.536</v>
      </c>
      <c r="D18" s="19">
        <v>1.702</v>
      </c>
      <c r="E18" s="5">
        <f t="shared" si="0"/>
        <v>0.16599999999999993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1"/>
  <sheetViews>
    <sheetView showGridLines="0" workbookViewId="0"/>
  </sheetViews>
  <sheetFormatPr defaultRowHeight="15.75" x14ac:dyDescent="0.25"/>
  <cols>
    <col min="1" max="2" width="16" customWidth="1"/>
    <col min="3" max="3" width="18" customWidth="1"/>
  </cols>
  <sheetData>
    <row r="1" spans="1:3" ht="26.25" x14ac:dyDescent="0.25">
      <c r="A1" s="3" t="s">
        <v>165</v>
      </c>
      <c r="B1" s="4" t="s">
        <v>166</v>
      </c>
      <c r="C1" s="4" t="s">
        <v>167</v>
      </c>
    </row>
    <row r="2" spans="1:3" x14ac:dyDescent="0.25">
      <c r="A2" s="2" t="s">
        <v>168</v>
      </c>
      <c r="B2" s="19">
        <v>0.34899999999999998</v>
      </c>
      <c r="C2" s="2" t="s">
        <v>169</v>
      </c>
    </row>
    <row r="3" spans="1:3" x14ac:dyDescent="0.25">
      <c r="A3" s="2" t="s">
        <v>170</v>
      </c>
      <c r="B3" s="19">
        <v>0.39600000000000002</v>
      </c>
      <c r="C3" s="2" t="s">
        <v>171</v>
      </c>
    </row>
    <row r="4" spans="1:3" x14ac:dyDescent="0.25">
      <c r="A4" s="2" t="s">
        <v>172</v>
      </c>
      <c r="B4" s="19">
        <v>0.433</v>
      </c>
      <c r="C4" s="2" t="s">
        <v>173</v>
      </c>
    </row>
    <row r="5" spans="1:3" x14ac:dyDescent="0.25">
      <c r="A5" s="2" t="s">
        <v>174</v>
      </c>
      <c r="B5" s="19">
        <v>0.436</v>
      </c>
      <c r="C5" s="2" t="s">
        <v>175</v>
      </c>
    </row>
    <row r="6" spans="1:3" x14ac:dyDescent="0.25">
      <c r="A6" s="2" t="s">
        <v>176</v>
      </c>
      <c r="B6" s="19">
        <v>0.56799999999999995</v>
      </c>
      <c r="C6" s="2" t="s">
        <v>177</v>
      </c>
    </row>
    <row r="7" spans="1:3" x14ac:dyDescent="0.25">
      <c r="A7" s="2" t="s">
        <v>178</v>
      </c>
      <c r="B7" s="19">
        <v>0.41399999999999998</v>
      </c>
      <c r="C7" s="2" t="s">
        <v>179</v>
      </c>
    </row>
    <row r="8" spans="1:3" x14ac:dyDescent="0.25">
      <c r="A8" s="2" t="s">
        <v>180</v>
      </c>
      <c r="B8" s="19">
        <v>0.71699999999999997</v>
      </c>
      <c r="C8" s="2" t="s">
        <v>181</v>
      </c>
    </row>
    <row r="9" spans="1:3" x14ac:dyDescent="0.25">
      <c r="A9" s="2" t="s">
        <v>182</v>
      </c>
      <c r="B9" s="19">
        <v>1.0620000000000001</v>
      </c>
      <c r="C9" s="2" t="s">
        <v>183</v>
      </c>
    </row>
    <row r="10" spans="1:3" x14ac:dyDescent="0.25">
      <c r="A10" s="2" t="s">
        <v>184</v>
      </c>
      <c r="B10" s="19">
        <v>0.92500000000000004</v>
      </c>
      <c r="C10" s="2" t="s">
        <v>185</v>
      </c>
    </row>
    <row r="11" spans="1:3" x14ac:dyDescent="0.25">
      <c r="A11" s="2" t="s">
        <v>186</v>
      </c>
      <c r="B11" s="19">
        <v>1.101</v>
      </c>
      <c r="C11" s="2" t="s">
        <v>187</v>
      </c>
    </row>
    <row r="12" spans="1:3" x14ac:dyDescent="0.25">
      <c r="A12" s="2" t="s">
        <v>188</v>
      </c>
      <c r="B12" s="19">
        <v>1.423</v>
      </c>
      <c r="C12" s="2" t="s">
        <v>189</v>
      </c>
    </row>
    <row r="13" spans="1:3" x14ac:dyDescent="0.25">
      <c r="A13" s="2" t="s">
        <v>190</v>
      </c>
      <c r="B13" s="19">
        <v>1.7190000000000001</v>
      </c>
      <c r="C13" s="2" t="s">
        <v>191</v>
      </c>
    </row>
    <row r="14" spans="1:3" x14ac:dyDescent="0.25">
      <c r="A14" s="2" t="s">
        <v>192</v>
      </c>
      <c r="B14" s="19">
        <v>2.4350000000000001</v>
      </c>
      <c r="C14" s="2" t="s">
        <v>193</v>
      </c>
    </row>
    <row r="15" spans="1:3" x14ac:dyDescent="0.25">
      <c r="A15" s="2" t="s">
        <v>194</v>
      </c>
      <c r="B15" s="19">
        <v>2.6280000000000001</v>
      </c>
      <c r="C15" s="2" t="s">
        <v>195</v>
      </c>
    </row>
    <row r="16" spans="1:3" x14ac:dyDescent="0.25">
      <c r="A16" s="2" t="s">
        <v>196</v>
      </c>
      <c r="B16" s="19">
        <v>1.913</v>
      </c>
      <c r="C16" s="2" t="s">
        <v>197</v>
      </c>
    </row>
    <row r="17" spans="1:3" x14ac:dyDescent="0.25">
      <c r="A17" s="2" t="s">
        <v>198</v>
      </c>
      <c r="B17" s="19">
        <v>1.3140000000000001</v>
      </c>
      <c r="C17" s="2" t="s">
        <v>199</v>
      </c>
    </row>
    <row r="18" spans="1:3" x14ac:dyDescent="0.25">
      <c r="A18" s="2" t="s">
        <v>200</v>
      </c>
      <c r="B18" s="19">
        <v>1.08</v>
      </c>
      <c r="C18" s="2" t="s">
        <v>201</v>
      </c>
    </row>
    <row r="19" spans="1:3" x14ac:dyDescent="0.25">
      <c r="A19" s="2" t="s">
        <v>202</v>
      </c>
      <c r="B19" s="19">
        <v>1.6739999999999999</v>
      </c>
      <c r="C19" s="2" t="s">
        <v>203</v>
      </c>
    </row>
    <row r="20" spans="1:3" x14ac:dyDescent="0.25">
      <c r="A20" s="2" t="s">
        <v>204</v>
      </c>
      <c r="B20" s="19">
        <v>2.798</v>
      </c>
      <c r="C20" s="2" t="s">
        <v>205</v>
      </c>
    </row>
    <row r="21" spans="1:3" x14ac:dyDescent="0.25">
      <c r="A21" s="2" t="s">
        <v>206</v>
      </c>
      <c r="B21" s="19">
        <v>2.3029999999999999</v>
      </c>
      <c r="C21" s="2" t="s">
        <v>207</v>
      </c>
    </row>
    <row r="22" spans="1:3" x14ac:dyDescent="0.25">
      <c r="A22" s="2" t="s">
        <v>208</v>
      </c>
      <c r="B22" s="19">
        <v>3.97</v>
      </c>
      <c r="C22" s="2" t="s">
        <v>209</v>
      </c>
    </row>
    <row r="23" spans="1:3" x14ac:dyDescent="0.25">
      <c r="A23" s="2" t="s">
        <v>210</v>
      </c>
      <c r="B23" s="19">
        <v>5.8620000000000001</v>
      </c>
      <c r="C23" s="2" t="s">
        <v>211</v>
      </c>
    </row>
    <row r="24" spans="1:3" x14ac:dyDescent="0.25">
      <c r="A24" s="2" t="s">
        <v>212</v>
      </c>
      <c r="B24" s="19">
        <v>9.08</v>
      </c>
      <c r="C24" s="2" t="s">
        <v>213</v>
      </c>
    </row>
    <row r="25" spans="1:3" x14ac:dyDescent="0.25">
      <c r="A25" s="2" t="s">
        <v>214</v>
      </c>
      <c r="B25" s="19">
        <v>8.5020000000000007</v>
      </c>
      <c r="C25" s="2" t="s">
        <v>215</v>
      </c>
    </row>
    <row r="26" spans="1:3" x14ac:dyDescent="0.25">
      <c r="A26" s="2" t="s">
        <v>216</v>
      </c>
      <c r="B26" s="19">
        <v>12.032999999999999</v>
      </c>
      <c r="C26" s="2" t="s">
        <v>217</v>
      </c>
    </row>
    <row r="27" spans="1:3" x14ac:dyDescent="0.25">
      <c r="A27" s="2" t="s">
        <v>218</v>
      </c>
      <c r="B27" s="19">
        <v>18.635000000000002</v>
      </c>
      <c r="C27" s="2" t="s">
        <v>219</v>
      </c>
    </row>
    <row r="28" spans="1:3" x14ac:dyDescent="0.25">
      <c r="A28" s="2" t="s">
        <v>220</v>
      </c>
      <c r="B28" s="19">
        <v>16.492999999999999</v>
      </c>
      <c r="C28" s="2" t="s">
        <v>221</v>
      </c>
    </row>
    <row r="29" spans="1:3" x14ac:dyDescent="0.25">
      <c r="A29" s="2" t="s">
        <v>222</v>
      </c>
      <c r="B29" s="19">
        <v>28.498999999999999</v>
      </c>
      <c r="C29" s="2" t="s">
        <v>223</v>
      </c>
    </row>
    <row r="31" spans="1:3" x14ac:dyDescent="0.25">
      <c r="A31" s="2" t="s">
        <v>224</v>
      </c>
    </row>
  </sheetData>
  <phoneticPr fontId="6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3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75" x14ac:dyDescent="0.25"/>
  <cols>
    <col min="1" max="1" width="11" customWidth="1"/>
    <col min="2" max="5" width="9" customWidth="1"/>
    <col min="6" max="6" width="12" customWidth="1"/>
    <col min="7" max="7" width="11" customWidth="1"/>
    <col min="8" max="8" width="12" customWidth="1"/>
    <col min="9" max="10" width="11" customWidth="1"/>
    <col min="11" max="12" width="12" customWidth="1"/>
    <col min="13" max="13" width="13" customWidth="1"/>
    <col min="14" max="14" width="11" customWidth="1"/>
    <col min="15" max="15" width="10" customWidth="1"/>
    <col min="16" max="16" width="12" customWidth="1"/>
    <col min="17" max="17" width="26" customWidth="1"/>
    <col min="18" max="19" width="12" customWidth="1"/>
  </cols>
  <sheetData>
    <row r="1" spans="1:21" ht="39" x14ac:dyDescent="0.25">
      <c r="A1" s="3" t="s">
        <v>225</v>
      </c>
      <c r="B1" s="4" t="s">
        <v>226</v>
      </c>
      <c r="C1" s="4" t="s">
        <v>227</v>
      </c>
      <c r="D1" s="4" t="s">
        <v>228</v>
      </c>
      <c r="E1" s="4" t="s">
        <v>229</v>
      </c>
      <c r="F1" s="4" t="s">
        <v>230</v>
      </c>
      <c r="G1" s="4" t="s">
        <v>231</v>
      </c>
      <c r="H1" s="4" t="s">
        <v>232</v>
      </c>
      <c r="I1" s="4" t="s">
        <v>233</v>
      </c>
      <c r="J1" s="4" t="s">
        <v>234</v>
      </c>
      <c r="K1" s="4" t="s">
        <v>235</v>
      </c>
      <c r="L1" s="4" t="s">
        <v>236</v>
      </c>
      <c r="M1" s="4" t="s">
        <v>237</v>
      </c>
      <c r="N1" s="4" t="s">
        <v>238</v>
      </c>
      <c r="O1" s="4" t="s">
        <v>239</v>
      </c>
      <c r="P1" s="4" t="s">
        <v>240</v>
      </c>
      <c r="Q1" s="4" t="s">
        <v>241</v>
      </c>
      <c r="R1" s="4" t="s">
        <v>242</v>
      </c>
      <c r="S1" s="4" t="s">
        <v>243</v>
      </c>
      <c r="U1" s="2" t="s">
        <v>244</v>
      </c>
    </row>
    <row r="2" spans="1:21" x14ac:dyDescent="0.25">
      <c r="A2" s="2" t="s">
        <v>245</v>
      </c>
      <c r="B2" s="19">
        <v>3.7669999999999999</v>
      </c>
      <c r="C2" s="19">
        <v>6.0049999999999999</v>
      </c>
      <c r="D2" s="19">
        <v>6.7949999999999999</v>
      </c>
      <c r="E2" s="19">
        <v>3.5579999999999998</v>
      </c>
      <c r="F2" s="5">
        <f>2/3*'Oracle fiscal quarters'!B3+1/3*'Oracle fiscal quarters'!B4</f>
        <v>0.40833333333333333</v>
      </c>
      <c r="G2" s="8">
        <f t="shared" ref="G2:G27" si="0">SUM(B2:F2)</f>
        <v>20.533333333333335</v>
      </c>
      <c r="H2" s="20">
        <v>21751.238000000001</v>
      </c>
    </row>
    <row r="3" spans="1:21" x14ac:dyDescent="0.25">
      <c r="A3" s="2" t="s">
        <v>246</v>
      </c>
      <c r="B3" s="19">
        <v>4.7439999999999998</v>
      </c>
      <c r="C3" s="19">
        <v>5.391</v>
      </c>
      <c r="D3" s="19">
        <v>7.4589999999999996</v>
      </c>
      <c r="E3" s="19">
        <v>3.2549999999999999</v>
      </c>
      <c r="F3" s="5">
        <f>2/3*'Oracle fiscal quarters'!B4+1/3*'Oracle fiscal quarters'!B5</f>
        <v>0.43399999999999994</v>
      </c>
      <c r="G3" s="8">
        <f t="shared" si="0"/>
        <v>21.283000000000001</v>
      </c>
      <c r="H3" s="20">
        <v>19958.291000000001</v>
      </c>
    </row>
    <row r="4" spans="1:21" x14ac:dyDescent="0.25">
      <c r="A4" s="2" t="s">
        <v>247</v>
      </c>
      <c r="B4" s="19">
        <v>4.907</v>
      </c>
      <c r="C4" s="19">
        <v>5.4059999999999997</v>
      </c>
      <c r="D4" s="19">
        <v>11.063000000000001</v>
      </c>
      <c r="E4" s="19">
        <v>3.6890000000000001</v>
      </c>
      <c r="F4" s="5">
        <f>2/3*'Oracle fiscal quarters'!B5+1/3*'Oracle fiscal quarters'!B6</f>
        <v>0.47999999999999993</v>
      </c>
      <c r="G4" s="8">
        <f t="shared" si="0"/>
        <v>25.544999999999998</v>
      </c>
      <c r="H4" s="20">
        <v>21704.437000000002</v>
      </c>
    </row>
    <row r="5" spans="1:21" x14ac:dyDescent="0.25">
      <c r="A5" s="2" t="s">
        <v>248</v>
      </c>
      <c r="B5" s="19">
        <v>4.1740000000000004</v>
      </c>
      <c r="C5" s="19">
        <v>5.4790000000000001</v>
      </c>
      <c r="D5" s="19">
        <v>14.823</v>
      </c>
      <c r="E5" s="19">
        <v>4.6609999999999996</v>
      </c>
      <c r="F5" s="5">
        <f>2/3*'Oracle fiscal quarters'!B6+1/3*'Oracle fiscal quarters'!B7</f>
        <v>0.51666666666666661</v>
      </c>
      <c r="G5" s="8">
        <f t="shared" si="0"/>
        <v>29.653666666666666</v>
      </c>
      <c r="H5" s="20">
        <v>22087.16</v>
      </c>
      <c r="I5" s="8">
        <f t="shared" ref="I5:I27" si="1">SUM(G2:G5)</f>
        <v>97.015000000000001</v>
      </c>
      <c r="J5" s="21">
        <f t="shared" ref="J5:J27" si="2">AVERAGE(H2:H5)</f>
        <v>21375.281500000001</v>
      </c>
      <c r="K5" s="5">
        <f t="shared" ref="K5:K27" si="3">I5/J5*100</f>
        <v>0.45386536780813852</v>
      </c>
    </row>
    <row r="6" spans="1:21" x14ac:dyDescent="0.25">
      <c r="A6" s="2" t="s">
        <v>249</v>
      </c>
      <c r="B6" s="19">
        <v>5.0890000000000004</v>
      </c>
      <c r="C6" s="19">
        <v>5.9420000000000002</v>
      </c>
      <c r="D6" s="19">
        <v>12.082000000000001</v>
      </c>
      <c r="E6" s="19">
        <v>4.3029999999999999</v>
      </c>
      <c r="F6" s="5">
        <f>2/3*'Oracle fiscal quarters'!B7+1/3*'Oracle fiscal quarters'!B8</f>
        <v>0.5149999999999999</v>
      </c>
      <c r="G6" s="8">
        <f t="shared" si="0"/>
        <v>27.931000000000001</v>
      </c>
      <c r="H6" s="20">
        <v>22704.65</v>
      </c>
      <c r="I6" s="8">
        <f t="shared" si="1"/>
        <v>104.41266666666667</v>
      </c>
      <c r="J6" s="21">
        <f t="shared" si="2"/>
        <v>21613.6345</v>
      </c>
      <c r="K6" s="5">
        <f t="shared" si="3"/>
        <v>0.48308703779860196</v>
      </c>
    </row>
    <row r="7" spans="1:21" x14ac:dyDescent="0.25">
      <c r="A7" s="2" t="s">
        <v>250</v>
      </c>
      <c r="B7" s="19">
        <v>6.452</v>
      </c>
      <c r="C7" s="19">
        <v>5.4960000000000004</v>
      </c>
      <c r="D7" s="19">
        <v>14.288</v>
      </c>
      <c r="E7" s="19">
        <v>4.641</v>
      </c>
      <c r="F7" s="5">
        <f>2/3*'Oracle fiscal quarters'!B8+1/3*'Oracle fiscal quarters'!B9</f>
        <v>0.83199999999999996</v>
      </c>
      <c r="G7" s="8">
        <f t="shared" si="0"/>
        <v>31.709000000000003</v>
      </c>
      <c r="H7" s="20">
        <v>23456.707999999999</v>
      </c>
      <c r="I7" s="8">
        <f t="shared" si="1"/>
        <v>114.83866666666667</v>
      </c>
      <c r="J7" s="21">
        <f t="shared" si="2"/>
        <v>22488.23875</v>
      </c>
      <c r="K7" s="5">
        <f t="shared" si="3"/>
        <v>0.51066100793094193</v>
      </c>
    </row>
    <row r="8" spans="1:21" x14ac:dyDescent="0.25">
      <c r="A8" s="2" t="s">
        <v>251</v>
      </c>
      <c r="B8" s="19">
        <v>5.81</v>
      </c>
      <c r="C8" s="19">
        <v>6.819</v>
      </c>
      <c r="D8" s="19">
        <v>15.747999999999999</v>
      </c>
      <c r="E8" s="19">
        <v>4.3460000000000001</v>
      </c>
      <c r="F8" s="5">
        <f>2/3*'Oracle fiscal quarters'!B9+1/3*'Oracle fiscal quarters'!B10</f>
        <v>1.0163333333333333</v>
      </c>
      <c r="G8" s="8">
        <f t="shared" si="0"/>
        <v>33.739333333333335</v>
      </c>
      <c r="H8" s="20">
        <v>23998.844000000001</v>
      </c>
      <c r="I8" s="8">
        <f t="shared" si="1"/>
        <v>123.033</v>
      </c>
      <c r="J8" s="21">
        <f t="shared" si="2"/>
        <v>23061.840499999998</v>
      </c>
      <c r="K8" s="5">
        <f t="shared" si="3"/>
        <v>0.53349167860214797</v>
      </c>
    </row>
    <row r="9" spans="1:21" x14ac:dyDescent="0.25">
      <c r="A9" s="2" t="s">
        <v>252</v>
      </c>
      <c r="B9" s="19">
        <v>5.8650000000000002</v>
      </c>
      <c r="C9" s="19">
        <v>6.383</v>
      </c>
      <c r="D9" s="19">
        <v>18.934999999999999</v>
      </c>
      <c r="E9" s="19">
        <v>5.4</v>
      </c>
      <c r="F9" s="5">
        <f>2/3*'Oracle fiscal quarters'!B10+1/3*'Oracle fiscal quarters'!B11</f>
        <v>0.98366666666666669</v>
      </c>
      <c r="G9" s="8">
        <f t="shared" si="0"/>
        <v>37.566666666666663</v>
      </c>
      <c r="H9" s="20">
        <v>24823.19</v>
      </c>
      <c r="I9" s="8">
        <f t="shared" si="1"/>
        <v>130.946</v>
      </c>
      <c r="J9" s="21">
        <f t="shared" si="2"/>
        <v>23745.848000000002</v>
      </c>
      <c r="K9" s="5">
        <f t="shared" si="3"/>
        <v>0.55144798366434411</v>
      </c>
    </row>
    <row r="10" spans="1:21" x14ac:dyDescent="0.25">
      <c r="A10" s="2" t="s">
        <v>253</v>
      </c>
      <c r="B10" s="19">
        <v>5.34</v>
      </c>
      <c r="C10" s="19">
        <v>9.7859999999999996</v>
      </c>
      <c r="D10" s="19">
        <v>14.951000000000001</v>
      </c>
      <c r="E10" s="19">
        <v>5.4409999999999998</v>
      </c>
      <c r="F10" s="5">
        <f>2/3*'Oracle fiscal quarters'!B11+1/3*'Oracle fiscal quarters'!B12</f>
        <v>1.2083333333333333</v>
      </c>
      <c r="G10" s="8">
        <f t="shared" si="0"/>
        <v>36.726333333333336</v>
      </c>
      <c r="H10" s="20">
        <v>25259.991999999998</v>
      </c>
      <c r="I10" s="8">
        <f t="shared" si="1"/>
        <v>139.74133333333333</v>
      </c>
      <c r="J10" s="21">
        <f t="shared" si="2"/>
        <v>24384.683499999999</v>
      </c>
      <c r="K10" s="5">
        <f t="shared" si="3"/>
        <v>0.5730701131853253</v>
      </c>
      <c r="L10" s="19">
        <v>0.53700000000000003</v>
      </c>
      <c r="M10" s="17">
        <f t="shared" ref="M10:M26" si="4">L10-K10</f>
        <v>-3.607011318532527E-2</v>
      </c>
    </row>
    <row r="11" spans="1:21" x14ac:dyDescent="0.25">
      <c r="A11" s="2" t="s">
        <v>254</v>
      </c>
      <c r="B11" s="19">
        <v>6.8710000000000004</v>
      </c>
      <c r="C11" s="19">
        <v>6.8280000000000003</v>
      </c>
      <c r="D11" s="19">
        <v>15.724</v>
      </c>
      <c r="E11" s="19">
        <v>7.5720000000000001</v>
      </c>
      <c r="F11" s="5">
        <f>2/3*'Oracle fiscal quarters'!B12+1/3*'Oracle fiscal quarters'!B13</f>
        <v>1.5216666666666665</v>
      </c>
      <c r="G11" s="8">
        <f t="shared" si="0"/>
        <v>38.516666666666673</v>
      </c>
      <c r="H11" s="20">
        <v>25869.352999999999</v>
      </c>
      <c r="I11" s="8">
        <f t="shared" si="1"/>
        <v>146.54900000000001</v>
      </c>
      <c r="J11" s="21">
        <f t="shared" si="2"/>
        <v>24987.84475</v>
      </c>
      <c r="K11" s="5">
        <f t="shared" si="3"/>
        <v>0.5864811530014008</v>
      </c>
      <c r="L11" s="19">
        <v>0.56399999999999995</v>
      </c>
      <c r="M11" s="17">
        <f t="shared" si="4"/>
        <v>-2.2481153001400855E-2</v>
      </c>
    </row>
    <row r="12" spans="1:21" x14ac:dyDescent="0.25">
      <c r="A12" s="2" t="s">
        <v>255</v>
      </c>
      <c r="B12" s="19">
        <v>6.2830000000000004</v>
      </c>
      <c r="C12" s="19">
        <v>7.2759999999999998</v>
      </c>
      <c r="D12" s="19">
        <v>16.378</v>
      </c>
      <c r="E12" s="19">
        <v>9.375</v>
      </c>
      <c r="F12" s="5">
        <f>2/3*'Oracle fiscal quarters'!B13+1/3*'Oracle fiscal quarters'!B14</f>
        <v>1.9576666666666664</v>
      </c>
      <c r="G12" s="8">
        <f t="shared" si="0"/>
        <v>41.269666666666666</v>
      </c>
      <c r="H12" s="20">
        <v>26335.374</v>
      </c>
      <c r="I12" s="8">
        <f t="shared" si="1"/>
        <v>154.07933333333335</v>
      </c>
      <c r="J12" s="21">
        <f t="shared" si="2"/>
        <v>25571.97725</v>
      </c>
      <c r="K12" s="5">
        <f t="shared" si="3"/>
        <v>0.60253195060750864</v>
      </c>
      <c r="L12" s="19">
        <v>0.59499999999999997</v>
      </c>
      <c r="M12" s="17">
        <f t="shared" si="4"/>
        <v>-7.531950607508664E-3</v>
      </c>
    </row>
    <row r="13" spans="1:21" x14ac:dyDescent="0.25">
      <c r="A13" s="2" t="s">
        <v>256</v>
      </c>
      <c r="B13" s="19">
        <v>6.274</v>
      </c>
      <c r="C13" s="19">
        <v>7.5949999999999998</v>
      </c>
      <c r="D13" s="19">
        <v>16.591999999999999</v>
      </c>
      <c r="E13" s="19">
        <v>8.798</v>
      </c>
      <c r="F13" s="5">
        <f>2/3*'Oracle fiscal quarters'!B14+1/3*'Oracle fiscal quarters'!B15</f>
        <v>2.4993333333333334</v>
      </c>
      <c r="G13" s="8">
        <f t="shared" si="0"/>
        <v>41.758333333333333</v>
      </c>
      <c r="H13" s="20">
        <v>26774.116999999998</v>
      </c>
      <c r="I13" s="8">
        <f t="shared" si="1"/>
        <v>158.27100000000002</v>
      </c>
      <c r="J13" s="21">
        <f t="shared" si="2"/>
        <v>26059.708999999999</v>
      </c>
      <c r="K13" s="5">
        <f t="shared" si="3"/>
        <v>0.60733985939750912</v>
      </c>
      <c r="L13" s="19">
        <v>0.61099999999999999</v>
      </c>
      <c r="M13" s="17">
        <f t="shared" si="4"/>
        <v>3.6601406024908689E-3</v>
      </c>
    </row>
    <row r="14" spans="1:21" x14ac:dyDescent="0.25">
      <c r="A14" s="2" t="s">
        <v>257</v>
      </c>
      <c r="B14" s="19">
        <v>6.6070000000000002</v>
      </c>
      <c r="C14" s="19">
        <v>6.2889999999999997</v>
      </c>
      <c r="D14" s="19">
        <v>14.207000000000001</v>
      </c>
      <c r="E14" s="19">
        <v>6.8230000000000004</v>
      </c>
      <c r="F14" s="5">
        <f>2/3*'Oracle fiscal quarters'!B15+1/3*'Oracle fiscal quarters'!B16</f>
        <v>2.3896666666666668</v>
      </c>
      <c r="G14" s="8">
        <f t="shared" si="0"/>
        <v>36.315666666666672</v>
      </c>
      <c r="H14" s="20">
        <v>27241.281999999999</v>
      </c>
      <c r="I14" s="8">
        <f t="shared" si="1"/>
        <v>157.86033333333336</v>
      </c>
      <c r="J14" s="21">
        <f t="shared" si="2"/>
        <v>26555.031499999997</v>
      </c>
      <c r="K14" s="5">
        <f t="shared" si="3"/>
        <v>0.59446486942910759</v>
      </c>
      <c r="L14" s="19">
        <v>0.56899999999999995</v>
      </c>
      <c r="M14" s="17">
        <f t="shared" si="4"/>
        <v>-2.5464869429107639E-2</v>
      </c>
    </row>
    <row r="15" spans="1:21" x14ac:dyDescent="0.25">
      <c r="A15" s="2" t="s">
        <v>258</v>
      </c>
      <c r="B15" s="19">
        <v>8.9429999999999996</v>
      </c>
      <c r="C15" s="19">
        <v>6.8879999999999999</v>
      </c>
      <c r="D15" s="19">
        <v>11.455</v>
      </c>
      <c r="E15" s="19">
        <v>6.1340000000000003</v>
      </c>
      <c r="F15" s="5">
        <f>2/3*'Oracle fiscal quarters'!B16+1/3*'Oracle fiscal quarters'!B17</f>
        <v>1.7133333333333332</v>
      </c>
      <c r="G15" s="8">
        <f t="shared" si="0"/>
        <v>35.133333333333333</v>
      </c>
      <c r="H15" s="20">
        <v>27533.924999999999</v>
      </c>
      <c r="I15" s="8">
        <f t="shared" si="1"/>
        <v>154.477</v>
      </c>
      <c r="J15" s="21">
        <f t="shared" si="2"/>
        <v>26971.174499999997</v>
      </c>
      <c r="K15" s="5">
        <f t="shared" si="3"/>
        <v>0.57274850970987568</v>
      </c>
      <c r="L15" s="19">
        <v>0.55500000000000005</v>
      </c>
      <c r="M15" s="17">
        <f t="shared" si="4"/>
        <v>-1.7748509709875626E-2</v>
      </c>
    </row>
    <row r="16" spans="1:21" x14ac:dyDescent="0.25">
      <c r="A16" s="2" t="s">
        <v>259</v>
      </c>
      <c r="B16" s="19">
        <v>9.9169999999999998</v>
      </c>
      <c r="C16" s="19">
        <v>8.0549999999999997</v>
      </c>
      <c r="D16" s="19">
        <v>12.478999999999999</v>
      </c>
      <c r="E16" s="19">
        <v>6.4960000000000004</v>
      </c>
      <c r="F16" s="5">
        <f>2/3*'Oracle fiscal quarters'!B17+1/3*'Oracle fiscal quarters'!B18</f>
        <v>1.236</v>
      </c>
      <c r="G16" s="8">
        <f t="shared" si="0"/>
        <v>38.183</v>
      </c>
      <c r="H16" s="20">
        <v>28064.031999999999</v>
      </c>
      <c r="I16" s="8">
        <f t="shared" si="1"/>
        <v>151.39033333333333</v>
      </c>
      <c r="J16" s="21">
        <f t="shared" si="2"/>
        <v>27403.339</v>
      </c>
      <c r="K16" s="5">
        <f t="shared" si="3"/>
        <v>0.55245214217629957</v>
      </c>
      <c r="L16" s="19">
        <v>0.54200000000000004</v>
      </c>
      <c r="M16" s="17">
        <f t="shared" si="4"/>
        <v>-1.0452142176299528E-2</v>
      </c>
    </row>
    <row r="17" spans="1:19" x14ac:dyDescent="0.25">
      <c r="A17" s="2" t="s">
        <v>260</v>
      </c>
      <c r="B17" s="19">
        <v>9.7349999999999994</v>
      </c>
      <c r="C17" s="19">
        <v>11.019</v>
      </c>
      <c r="D17" s="19">
        <v>14.587999999999999</v>
      </c>
      <c r="E17" s="19">
        <v>7.5919999999999996</v>
      </c>
      <c r="F17" s="5">
        <f>2/3*'Oracle fiscal quarters'!B18+1/3*'Oracle fiscal quarters'!B19</f>
        <v>1.278</v>
      </c>
      <c r="G17" s="8">
        <f t="shared" si="0"/>
        <v>44.211999999999996</v>
      </c>
      <c r="H17" s="20">
        <v>28464.306</v>
      </c>
      <c r="I17" s="8">
        <f t="shared" si="1"/>
        <v>153.84399999999999</v>
      </c>
      <c r="J17" s="21">
        <f t="shared" si="2"/>
        <v>27825.88625</v>
      </c>
      <c r="K17" s="5">
        <f t="shared" si="3"/>
        <v>0.55288086286919258</v>
      </c>
      <c r="L17" s="19">
        <v>0.55100000000000005</v>
      </c>
      <c r="M17" s="17">
        <f t="shared" si="4"/>
        <v>-1.8808628691925344E-3</v>
      </c>
      <c r="N17" s="19">
        <v>2.9430000000000001</v>
      </c>
      <c r="O17" s="19">
        <v>8.2900000000000001E-2</v>
      </c>
      <c r="P17" s="19">
        <v>0.46300000000000002</v>
      </c>
      <c r="Q17" s="2" t="s">
        <v>261</v>
      </c>
      <c r="R17" s="8">
        <f>I17+SUM(N14:N17)+SUM(O14:O17)+SUM(P14:P17)</f>
        <v>157.3329</v>
      </c>
      <c r="S17" s="5">
        <f>R17/J17*100</f>
        <v>0.56541918768175803</v>
      </c>
    </row>
    <row r="18" spans="1:19" x14ac:dyDescent="0.25">
      <c r="A18" s="2" t="s">
        <v>262</v>
      </c>
      <c r="B18" s="19">
        <v>10.952</v>
      </c>
      <c r="C18" s="19">
        <v>12.012</v>
      </c>
      <c r="D18" s="19">
        <v>14.925000000000001</v>
      </c>
      <c r="E18" s="19">
        <v>6.4</v>
      </c>
      <c r="F18" s="5">
        <f>2/3*'Oracle fiscal quarters'!B19+1/3*'Oracle fiscal quarters'!B20</f>
        <v>2.0486666666666666</v>
      </c>
      <c r="G18" s="8">
        <f t="shared" si="0"/>
        <v>46.337666666666664</v>
      </c>
      <c r="H18" s="20">
        <v>28793.190999999999</v>
      </c>
      <c r="I18" s="8">
        <f t="shared" si="1"/>
        <v>163.86599999999999</v>
      </c>
      <c r="J18" s="21">
        <f t="shared" si="2"/>
        <v>28213.863499999999</v>
      </c>
      <c r="K18" s="5">
        <f t="shared" si="3"/>
        <v>0.5807995774843101</v>
      </c>
      <c r="L18" s="19">
        <v>0.56200000000000006</v>
      </c>
      <c r="M18" s="17">
        <f t="shared" si="4"/>
        <v>-1.8799577484310048E-2</v>
      </c>
      <c r="N18" s="19">
        <v>1.7419</v>
      </c>
    </row>
    <row r="19" spans="1:19" x14ac:dyDescent="0.25">
      <c r="A19" s="2" t="s">
        <v>263</v>
      </c>
      <c r="B19" s="19">
        <v>13.872999999999999</v>
      </c>
      <c r="C19" s="19">
        <v>13.186</v>
      </c>
      <c r="D19" s="19">
        <v>17.62</v>
      </c>
      <c r="E19" s="19">
        <v>8.173</v>
      </c>
      <c r="F19" s="5">
        <f>2/3*'Oracle fiscal quarters'!B20+1/3*'Oracle fiscal quarters'!B21</f>
        <v>2.633</v>
      </c>
      <c r="G19" s="8">
        <f t="shared" si="0"/>
        <v>55.485000000000007</v>
      </c>
      <c r="H19" s="20">
        <v>29232.964</v>
      </c>
      <c r="I19" s="8">
        <f t="shared" si="1"/>
        <v>184.21766666666667</v>
      </c>
      <c r="J19" s="21">
        <f t="shared" si="2"/>
        <v>28638.623250000004</v>
      </c>
      <c r="K19" s="5">
        <f t="shared" si="3"/>
        <v>0.64324903141657364</v>
      </c>
      <c r="L19" s="19">
        <v>0.63</v>
      </c>
      <c r="M19" s="17">
        <f t="shared" si="4"/>
        <v>-1.3249031416573631E-2</v>
      </c>
      <c r="N19" s="19">
        <v>2.2471999999999999</v>
      </c>
    </row>
    <row r="20" spans="1:19" x14ac:dyDescent="0.25">
      <c r="A20" s="2" t="s">
        <v>264</v>
      </c>
      <c r="B20" s="19">
        <v>14.923</v>
      </c>
      <c r="C20" s="19">
        <v>13.061</v>
      </c>
      <c r="D20" s="19">
        <v>22.62</v>
      </c>
      <c r="E20" s="19">
        <v>8.2579999999999991</v>
      </c>
      <c r="F20" s="5">
        <f>2/3*'Oracle fiscal quarters'!B21+1/3*'Oracle fiscal quarters'!B22</f>
        <v>2.8586666666666662</v>
      </c>
      <c r="G20" s="8">
        <f t="shared" si="0"/>
        <v>61.720666666666659</v>
      </c>
      <c r="H20" s="20">
        <v>29568.256000000001</v>
      </c>
      <c r="I20" s="8">
        <f t="shared" si="1"/>
        <v>207.75533333333334</v>
      </c>
      <c r="J20" s="21">
        <f t="shared" si="2"/>
        <v>29014.679250000001</v>
      </c>
      <c r="K20" s="5">
        <f t="shared" si="3"/>
        <v>0.71603525768196574</v>
      </c>
      <c r="L20" s="19">
        <v>0.71499999999999997</v>
      </c>
      <c r="M20" s="17">
        <f t="shared" si="4"/>
        <v>-1.0352576819657733E-3</v>
      </c>
      <c r="N20" s="19">
        <v>1.2152000000000001</v>
      </c>
      <c r="O20" s="19">
        <v>0.39</v>
      </c>
      <c r="Q20" s="2" t="s">
        <v>265</v>
      </c>
    </row>
    <row r="21" spans="1:19" x14ac:dyDescent="0.25">
      <c r="A21" s="2" t="s">
        <v>266</v>
      </c>
      <c r="B21" s="19">
        <v>15.804</v>
      </c>
      <c r="C21" s="19">
        <v>14.276</v>
      </c>
      <c r="D21" s="19">
        <v>27.834</v>
      </c>
      <c r="E21" s="19">
        <v>14.425000000000001</v>
      </c>
      <c r="F21" s="5">
        <f>2/3*'Oracle fiscal quarters'!B22+1/3*'Oracle fiscal quarters'!B23</f>
        <v>4.6006666666666662</v>
      </c>
      <c r="G21" s="8">
        <f t="shared" si="0"/>
        <v>76.939666666666668</v>
      </c>
      <c r="H21" s="20">
        <v>29929.552</v>
      </c>
      <c r="I21" s="8">
        <f t="shared" si="1"/>
        <v>240.483</v>
      </c>
      <c r="J21" s="21">
        <f t="shared" si="2"/>
        <v>29380.990749999997</v>
      </c>
      <c r="K21" s="5">
        <f t="shared" si="3"/>
        <v>0.81849860696069276</v>
      </c>
      <c r="L21" s="19">
        <v>0.82899999999999996</v>
      </c>
      <c r="M21" s="17">
        <f t="shared" si="4"/>
        <v>1.0501393039307194E-2</v>
      </c>
      <c r="N21" s="19">
        <v>3.4977</v>
      </c>
      <c r="O21" s="19">
        <v>0.41749999999999998</v>
      </c>
      <c r="P21" s="19">
        <v>5.633</v>
      </c>
      <c r="Q21" s="2" t="s">
        <v>267</v>
      </c>
      <c r="R21" s="8">
        <f>I21+SUM(N18:N21)+SUM(O18:O21)+SUM(P18:P21)</f>
        <v>255.62550000000002</v>
      </c>
      <c r="S21" s="5">
        <f>R21/J21*100</f>
        <v>0.87003703236249796</v>
      </c>
    </row>
    <row r="22" spans="1:19" x14ac:dyDescent="0.25">
      <c r="A22" s="2" t="s">
        <v>268</v>
      </c>
      <c r="B22" s="19">
        <v>16.745000000000001</v>
      </c>
      <c r="C22" s="19">
        <v>17.196999999999999</v>
      </c>
      <c r="D22" s="19">
        <v>25.018999999999998</v>
      </c>
      <c r="E22" s="19">
        <v>12.941000000000001</v>
      </c>
      <c r="F22" s="5">
        <f>2/3*'Oracle fiscal quarters'!B23+1/3*'Oracle fiscal quarters'!B24</f>
        <v>6.9346666666666668</v>
      </c>
      <c r="G22" s="8">
        <f t="shared" si="0"/>
        <v>78.836666666666673</v>
      </c>
      <c r="H22" s="20">
        <v>30171.978999999999</v>
      </c>
      <c r="I22" s="8">
        <f t="shared" si="1"/>
        <v>272.98199999999997</v>
      </c>
      <c r="J22" s="21">
        <f t="shared" si="2"/>
        <v>29725.687749999997</v>
      </c>
      <c r="K22" s="5">
        <f t="shared" si="3"/>
        <v>0.91833703662583877</v>
      </c>
      <c r="L22" s="19">
        <v>0.90100000000000002</v>
      </c>
      <c r="M22" s="17">
        <f t="shared" si="4"/>
        <v>-1.7337036625838742E-2</v>
      </c>
      <c r="N22" s="19">
        <v>1.407</v>
      </c>
      <c r="O22" s="19">
        <v>0.54390000000000005</v>
      </c>
      <c r="P22" s="19">
        <v>2.5670000000000002</v>
      </c>
    </row>
    <row r="23" spans="1:19" x14ac:dyDescent="0.25">
      <c r="A23" s="2" t="s">
        <v>269</v>
      </c>
      <c r="B23" s="19">
        <v>17.079000000000001</v>
      </c>
      <c r="C23" s="19">
        <v>22.446000000000002</v>
      </c>
      <c r="D23" s="19">
        <v>32.183</v>
      </c>
      <c r="E23" s="19">
        <v>16.538</v>
      </c>
      <c r="F23" s="5">
        <f>2/3*'Oracle fiscal quarters'!B24+1/3*'Oracle fiscal quarters'!B25</f>
        <v>8.8873333333333324</v>
      </c>
      <c r="G23" s="8">
        <f t="shared" si="0"/>
        <v>97.133333333333326</v>
      </c>
      <c r="H23" s="20">
        <v>30630.173999999999</v>
      </c>
      <c r="I23" s="8">
        <f t="shared" si="1"/>
        <v>314.63033333333328</v>
      </c>
      <c r="J23" s="21">
        <f t="shared" si="2"/>
        <v>30074.990250000003</v>
      </c>
      <c r="K23" s="5">
        <f t="shared" si="3"/>
        <v>1.0461527359375726</v>
      </c>
      <c r="L23" s="19">
        <v>1.036</v>
      </c>
      <c r="M23" s="17">
        <f t="shared" si="4"/>
        <v>-1.0152735937572599E-2</v>
      </c>
      <c r="N23" s="19">
        <v>2.4529999999999998</v>
      </c>
      <c r="O23" s="19">
        <v>0.51060000000000005</v>
      </c>
      <c r="P23" s="19">
        <v>0.749</v>
      </c>
    </row>
    <row r="24" spans="1:19" x14ac:dyDescent="0.25">
      <c r="A24" s="2" t="s">
        <v>270</v>
      </c>
      <c r="B24" s="19">
        <v>19.393999999999998</v>
      </c>
      <c r="C24" s="19">
        <v>23.952999999999999</v>
      </c>
      <c r="D24" s="19">
        <v>35.094999999999999</v>
      </c>
      <c r="E24" s="19">
        <v>18.829000000000001</v>
      </c>
      <c r="F24" s="5">
        <f>2/3*'Oracle fiscal quarters'!B25+1/3*'Oracle fiscal quarters'!B26</f>
        <v>9.6789999999999985</v>
      </c>
      <c r="G24" s="8">
        <f t="shared" si="0"/>
        <v>106.94999999999999</v>
      </c>
      <c r="H24" s="20">
        <v>31180.492999999999</v>
      </c>
      <c r="I24" s="8">
        <f t="shared" si="1"/>
        <v>359.85966666666667</v>
      </c>
      <c r="J24" s="21">
        <f t="shared" si="2"/>
        <v>30478.049500000001</v>
      </c>
      <c r="K24" s="5">
        <f t="shared" si="3"/>
        <v>1.1807175084044228</v>
      </c>
      <c r="L24" s="19">
        <v>1.1870000000000001</v>
      </c>
      <c r="M24" s="17">
        <f t="shared" si="4"/>
        <v>6.2824915955772553E-3</v>
      </c>
      <c r="N24" s="19">
        <v>2.3892000000000002</v>
      </c>
      <c r="O24" s="19">
        <v>0.95550000000000002</v>
      </c>
    </row>
    <row r="25" spans="1:19" x14ac:dyDescent="0.25">
      <c r="A25" s="2" t="s">
        <v>271</v>
      </c>
      <c r="B25" s="19">
        <v>29.876000000000001</v>
      </c>
      <c r="C25" s="19">
        <v>27.850999999999999</v>
      </c>
      <c r="D25" s="19">
        <v>39.521999999999998</v>
      </c>
      <c r="E25" s="19">
        <v>21.382999999999999</v>
      </c>
      <c r="F25" s="5">
        <f>2/3*'Oracle fiscal quarters'!B26+1/3*'Oracle fiscal quarters'!B27</f>
        <v>14.233666666666664</v>
      </c>
      <c r="G25" s="8">
        <f t="shared" si="0"/>
        <v>132.86566666666664</v>
      </c>
      <c r="H25" s="20">
        <v>31462.523000000001</v>
      </c>
      <c r="I25" s="8">
        <f t="shared" si="1"/>
        <v>415.7856666666666</v>
      </c>
      <c r="J25" s="21">
        <f t="shared" si="2"/>
        <v>30861.292249999999</v>
      </c>
      <c r="K25" s="5">
        <f t="shared" si="3"/>
        <v>1.3472723802311506</v>
      </c>
      <c r="L25" s="19">
        <v>1.379</v>
      </c>
      <c r="M25" s="17">
        <f t="shared" si="4"/>
        <v>3.1727619768849413E-2</v>
      </c>
      <c r="N25" s="19">
        <v>4.0598000000000001</v>
      </c>
      <c r="O25" s="19">
        <v>2.056</v>
      </c>
      <c r="P25" s="19">
        <v>9.4109999999999996</v>
      </c>
      <c r="Q25" s="2" t="s">
        <v>272</v>
      </c>
      <c r="R25" s="8">
        <f>I25+SUM(N22:N25)+SUM(O22:O25)+SUM(P22:P25)</f>
        <v>442.88766666666658</v>
      </c>
      <c r="S25" s="5">
        <f>R25/J25*100</f>
        <v>1.4350911267063569</v>
      </c>
    </row>
    <row r="26" spans="1:19" x14ac:dyDescent="0.25">
      <c r="A26" s="2" t="s">
        <v>273</v>
      </c>
      <c r="B26" s="19">
        <v>30.876000000000001</v>
      </c>
      <c r="C26" s="19">
        <v>35.673999999999999</v>
      </c>
      <c r="D26" s="19">
        <v>44.203000000000003</v>
      </c>
      <c r="E26" s="19">
        <v>18.997</v>
      </c>
      <c r="F26" s="5">
        <f>2/3*'Oracle fiscal quarters'!B27+1/3*'Oracle fiscal quarters'!B28</f>
        <v>17.920999999999999</v>
      </c>
      <c r="G26" s="8">
        <f t="shared" si="0"/>
        <v>147.67099999999999</v>
      </c>
      <c r="H26" s="20">
        <v>31906.274000000001</v>
      </c>
      <c r="I26" s="8">
        <f t="shared" si="1"/>
        <v>484.61999999999995</v>
      </c>
      <c r="J26" s="21">
        <f t="shared" si="2"/>
        <v>31294.866000000002</v>
      </c>
      <c r="K26" s="5">
        <f t="shared" si="3"/>
        <v>1.5485607128019017</v>
      </c>
      <c r="L26" s="19">
        <v>1.536</v>
      </c>
      <c r="M26" s="17">
        <f t="shared" si="4"/>
        <v>-1.256071280190163E-2</v>
      </c>
      <c r="N26" s="19">
        <v>7.6950000000000003</v>
      </c>
      <c r="O26" s="19">
        <v>2.4729000000000001</v>
      </c>
      <c r="P26" s="19">
        <v>7.7229999999999999</v>
      </c>
      <c r="R26" s="8">
        <f>I26+SUM(N23:N26)+SUM(O23:O26)+SUM(P23:P26)</f>
        <v>525.09499999999991</v>
      </c>
      <c r="S26" s="5">
        <f>R26/J26*100</f>
        <v>1.6778950259764649</v>
      </c>
    </row>
    <row r="27" spans="1:19" x14ac:dyDescent="0.25">
      <c r="A27" s="2" t="s">
        <v>274</v>
      </c>
      <c r="B27" s="19">
        <v>35.802</v>
      </c>
      <c r="C27" s="19">
        <v>44.923999999999999</v>
      </c>
      <c r="D27" s="19">
        <v>54.207999999999998</v>
      </c>
      <c r="E27" s="19">
        <v>30.116</v>
      </c>
      <c r="F27" s="5">
        <f>2/3*'Oracle fiscal quarters'!B28+1/3*'Oracle fiscal quarters'!B29</f>
        <v>20.494999999999997</v>
      </c>
      <c r="G27" s="8">
        <f t="shared" si="0"/>
        <v>185.54500000000002</v>
      </c>
      <c r="H27" s="20">
        <v>32563.03</v>
      </c>
      <c r="I27" s="8">
        <f t="shared" si="1"/>
        <v>573.03166666666664</v>
      </c>
      <c r="J27" s="21">
        <f t="shared" si="2"/>
        <v>31778.080000000002</v>
      </c>
      <c r="K27" s="5">
        <f t="shared" si="3"/>
        <v>1.803229353902648</v>
      </c>
      <c r="N27" s="19">
        <v>6.4219999999999997</v>
      </c>
      <c r="O27" s="19">
        <v>5.6574</v>
      </c>
      <c r="P27" s="19">
        <v>15.827999999999999</v>
      </c>
      <c r="R27" s="8">
        <f>I27+SUM(N24:N27)+SUM(O24:O27)+SUM(P24:P27)</f>
        <v>637.70146666666665</v>
      </c>
      <c r="S27" s="5">
        <f>R27/J27*100</f>
        <v>2.0067337821122821</v>
      </c>
    </row>
    <row r="29" spans="1:19" x14ac:dyDescent="0.25">
      <c r="A29" s="2" t="s">
        <v>275</v>
      </c>
    </row>
    <row r="30" spans="1:19" x14ac:dyDescent="0.25">
      <c r="A30" s="2" t="s">
        <v>276</v>
      </c>
    </row>
    <row r="31" spans="1:19" x14ac:dyDescent="0.25">
      <c r="A31" s="2" t="s">
        <v>277</v>
      </c>
    </row>
  </sheetData>
  <phoneticPr fontId="6" type="noConversion"/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0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75" x14ac:dyDescent="0.25"/>
  <cols>
    <col min="1" max="1" width="8" customWidth="1"/>
    <col min="2" max="5" width="16" customWidth="1"/>
  </cols>
  <sheetData>
    <row r="1" spans="1:5" ht="26.25" x14ac:dyDescent="0.25">
      <c r="A1" s="3" t="s">
        <v>161</v>
      </c>
      <c r="B1" s="4" t="s">
        <v>12</v>
      </c>
      <c r="C1" s="4" t="s">
        <v>13</v>
      </c>
      <c r="D1" s="4" t="s">
        <v>14</v>
      </c>
      <c r="E1" s="4" t="s">
        <v>15</v>
      </c>
    </row>
    <row r="2" spans="1:5" x14ac:dyDescent="0.25">
      <c r="A2" s="2">
        <v>1899</v>
      </c>
      <c r="B2" s="5">
        <f>'First-hand detail'!H2</f>
        <v>1.1705202312138729</v>
      </c>
    </row>
    <row r="3" spans="1:5" x14ac:dyDescent="0.25">
      <c r="A3" s="2">
        <v>1900</v>
      </c>
      <c r="B3" s="5">
        <f>'First-hand detail'!H3</f>
        <v>1.2486187845303867</v>
      </c>
    </row>
    <row r="4" spans="1:5" x14ac:dyDescent="0.25">
      <c r="A4" s="2">
        <v>1901</v>
      </c>
      <c r="B4" s="5">
        <f>'First-hand detail'!H4</f>
        <v>1.0481012658227848</v>
      </c>
    </row>
    <row r="5" spans="1:5" x14ac:dyDescent="0.25">
      <c r="A5" s="2">
        <v>1902</v>
      </c>
      <c r="B5" s="5">
        <f>'First-hand detail'!H5</f>
        <v>1.0696517412935322</v>
      </c>
    </row>
    <row r="6" spans="1:5" x14ac:dyDescent="0.25">
      <c r="A6" s="2">
        <v>1903</v>
      </c>
      <c r="B6" s="5">
        <f>'First-hand detail'!H6</f>
        <v>1.0685579196217494</v>
      </c>
    </row>
    <row r="7" spans="1:5" x14ac:dyDescent="0.25">
      <c r="A7" s="2">
        <v>1904</v>
      </c>
      <c r="B7" s="5">
        <f>'First-hand detail'!H7</f>
        <v>1.2535885167464116</v>
      </c>
    </row>
    <row r="8" spans="1:5" x14ac:dyDescent="0.25">
      <c r="A8" s="2">
        <v>1905</v>
      </c>
      <c r="B8" s="5">
        <f>'First-hand detail'!H8</f>
        <v>1.4909909909909911</v>
      </c>
    </row>
    <row r="9" spans="1:5" x14ac:dyDescent="0.25">
      <c r="A9" s="2">
        <v>1906</v>
      </c>
      <c r="B9" s="5">
        <f>'First-hand detail'!H9</f>
        <v>1.7983706720977595</v>
      </c>
    </row>
    <row r="10" spans="1:5" x14ac:dyDescent="0.25">
      <c r="A10" s="2">
        <v>1907</v>
      </c>
      <c r="B10" s="5">
        <f>'First-hand detail'!H10</f>
        <v>2.0257425742574262</v>
      </c>
    </row>
    <row r="11" spans="1:5" x14ac:dyDescent="0.25">
      <c r="A11" s="2">
        <v>1908</v>
      </c>
      <c r="B11" s="5">
        <f>'First-hand detail'!H11</f>
        <v>2.2217484008528783</v>
      </c>
    </row>
    <row r="12" spans="1:5" x14ac:dyDescent="0.25">
      <c r="A12" s="2">
        <v>1909</v>
      </c>
      <c r="B12" s="5">
        <f>'First-hand detail'!H12</f>
        <v>2.1151631477927064</v>
      </c>
    </row>
    <row r="13" spans="1:5" x14ac:dyDescent="0.25">
      <c r="A13" s="2">
        <v>1910</v>
      </c>
      <c r="B13" s="5">
        <f>'First-hand detail'!H13</f>
        <v>2.3030303030303028</v>
      </c>
    </row>
    <row r="14" spans="1:5" x14ac:dyDescent="0.25">
      <c r="A14" s="2">
        <v>1911</v>
      </c>
      <c r="B14" s="5">
        <f>'First-hand detail'!H14</f>
        <v>2.1178707224334601</v>
      </c>
    </row>
    <row r="15" spans="1:5" x14ac:dyDescent="0.25">
      <c r="A15" s="2">
        <v>1912</v>
      </c>
      <c r="B15" s="5">
        <f>'First-hand detail'!H15</f>
        <v>1.9981273408239699</v>
      </c>
    </row>
    <row r="16" spans="1:5" x14ac:dyDescent="0.25">
      <c r="A16" s="2">
        <v>1913</v>
      </c>
      <c r="B16" s="5">
        <f>'First-hand detail'!H16</f>
        <v>1.9787234042553195</v>
      </c>
    </row>
    <row r="17" spans="1:3" x14ac:dyDescent="0.25">
      <c r="A17" s="2">
        <v>1914</v>
      </c>
      <c r="B17" s="5">
        <f>'First-hand detail'!H17</f>
        <v>1.4184782608695652</v>
      </c>
    </row>
    <row r="18" spans="1:3" x14ac:dyDescent="0.25">
      <c r="A18" s="2">
        <v>1915</v>
      </c>
      <c r="B18" s="5">
        <f>'First-hand detail'!H18</f>
        <v>0.79018612521150589</v>
      </c>
    </row>
    <row r="19" spans="1:3" x14ac:dyDescent="0.25">
      <c r="A19" s="2">
        <v>1916</v>
      </c>
      <c r="B19" s="5">
        <f>'First-hand detail'!H19</f>
        <v>0.81619937694704048</v>
      </c>
    </row>
    <row r="20" spans="1:3" x14ac:dyDescent="0.25">
      <c r="A20" s="2">
        <v>1917</v>
      </c>
      <c r="B20" s="5">
        <f>'First-hand detail'!H20</f>
        <v>1.0138888888888891</v>
      </c>
    </row>
    <row r="21" spans="1:3" x14ac:dyDescent="0.25">
      <c r="A21" s="2">
        <v>1918</v>
      </c>
      <c r="B21" s="5">
        <f>'First-hand detail'!H21</f>
        <v>0.78155339805825241</v>
      </c>
    </row>
    <row r="22" spans="1:3" x14ac:dyDescent="0.25">
      <c r="A22" s="2">
        <v>1919</v>
      </c>
      <c r="B22" s="5">
        <f>'First-hand detail'!H22</f>
        <v>0.50884955752212402</v>
      </c>
    </row>
    <row r="23" spans="1:3" x14ac:dyDescent="0.25">
      <c r="A23" s="2">
        <v>1920</v>
      </c>
      <c r="B23" s="5">
        <f>'First-hand detail'!H23</f>
        <v>0.7270072992700729</v>
      </c>
    </row>
    <row r="24" spans="1:3" x14ac:dyDescent="0.25">
      <c r="A24" s="2">
        <v>1972</v>
      </c>
      <c r="C24" s="5">
        <f>'First-hand detail'!H24</f>
        <v>0.38010804387425634</v>
      </c>
    </row>
    <row r="25" spans="1:3" x14ac:dyDescent="0.25">
      <c r="A25" s="2">
        <v>1973</v>
      </c>
      <c r="C25" s="5">
        <f>'First-hand detail'!H25</f>
        <v>0.39210706508317805</v>
      </c>
    </row>
    <row r="26" spans="1:3" x14ac:dyDescent="0.25">
      <c r="A26" s="2">
        <v>1974</v>
      </c>
      <c r="C26" s="5">
        <f>'First-hand detail'!H26</f>
        <v>0.49649149033517709</v>
      </c>
    </row>
    <row r="27" spans="1:3" x14ac:dyDescent="0.25">
      <c r="A27" s="2">
        <v>1975</v>
      </c>
      <c r="C27" s="5">
        <f>'First-hand detail'!H27</f>
        <v>0.66502305175843845</v>
      </c>
    </row>
    <row r="28" spans="1:3" x14ac:dyDescent="0.25">
      <c r="A28" s="2">
        <v>1976</v>
      </c>
      <c r="C28" s="5">
        <f>'First-hand detail'!H28</f>
        <v>0.70144741252858422</v>
      </c>
    </row>
    <row r="29" spans="1:3" x14ac:dyDescent="0.25">
      <c r="A29" s="2">
        <v>1977</v>
      </c>
      <c r="C29" s="5">
        <f>'First-hand detail'!H29</f>
        <v>0.72153004141556498</v>
      </c>
    </row>
    <row r="30" spans="1:3" x14ac:dyDescent="0.25">
      <c r="A30" s="2">
        <v>1978</v>
      </c>
      <c r="C30" s="5">
        <f>'First-hand detail'!H30</f>
        <v>0.90955133081788175</v>
      </c>
    </row>
    <row r="31" spans="1:3" x14ac:dyDescent="0.25">
      <c r="A31" s="2">
        <v>1979</v>
      </c>
      <c r="C31" s="5">
        <f>'First-hand detail'!H31</f>
        <v>1.0635119339649752</v>
      </c>
    </row>
    <row r="32" spans="1:3" x14ac:dyDescent="0.25">
      <c r="A32" s="2">
        <v>1980</v>
      </c>
      <c r="C32" s="5">
        <f>'First-hand detail'!H32</f>
        <v>1.4248381430486818</v>
      </c>
    </row>
    <row r="33" spans="1:5" x14ac:dyDescent="0.25">
      <c r="A33" s="2">
        <v>1981</v>
      </c>
      <c r="C33" s="5">
        <f>'First-hand detail'!H33</f>
        <v>1.9725659883986515</v>
      </c>
    </row>
    <row r="34" spans="1:5" x14ac:dyDescent="0.25">
      <c r="A34" s="2">
        <v>1982</v>
      </c>
      <c r="C34" s="5">
        <f>'First-hand detail'!H34</f>
        <v>1.8901910377718212</v>
      </c>
    </row>
    <row r="35" spans="1:5" x14ac:dyDescent="0.25">
      <c r="A35" s="2">
        <v>1983</v>
      </c>
      <c r="C35" s="5">
        <f>'First-hand detail'!H35</f>
        <v>1.1832842694545296</v>
      </c>
    </row>
    <row r="36" spans="1:5" x14ac:dyDescent="0.25">
      <c r="A36" s="2">
        <v>1984</v>
      </c>
      <c r="C36" s="5">
        <f>'First-hand detail'!H36</f>
        <v>1.0936907524321919</v>
      </c>
    </row>
    <row r="37" spans="1:5" x14ac:dyDescent="0.25">
      <c r="A37" s="2">
        <v>1985</v>
      </c>
      <c r="C37" s="5">
        <f>'First-hand detail'!H37</f>
        <v>0.92530984823849116</v>
      </c>
    </row>
    <row r="38" spans="1:5" x14ac:dyDescent="0.25">
      <c r="A38" s="2">
        <v>1986</v>
      </c>
      <c r="C38" s="5">
        <f>'First-hand detail'!H38</f>
        <v>0.51707222699820143</v>
      </c>
    </row>
    <row r="39" spans="1:5" x14ac:dyDescent="0.25">
      <c r="A39" s="2">
        <v>1995</v>
      </c>
      <c r="D39" s="5">
        <f>'First-hand detail'!H54</f>
        <v>1.0547205150326275</v>
      </c>
    </row>
    <row r="40" spans="1:5" x14ac:dyDescent="0.25">
      <c r="A40" s="2">
        <v>1996</v>
      </c>
      <c r="D40" s="5">
        <f>'First-hand detail'!H55</f>
        <v>1.0841902302479758</v>
      </c>
    </row>
    <row r="41" spans="1:5" x14ac:dyDescent="0.25">
      <c r="A41" s="2">
        <v>1997</v>
      </c>
      <c r="D41" s="5">
        <f>'First-hand detail'!H56</f>
        <v>1.09744598458861</v>
      </c>
    </row>
    <row r="42" spans="1:5" x14ac:dyDescent="0.25">
      <c r="A42" s="2">
        <v>1998</v>
      </c>
      <c r="D42" s="5">
        <f>'First-hand detail'!H57</f>
        <v>1.1361809468292254</v>
      </c>
    </row>
    <row r="43" spans="1:5" x14ac:dyDescent="0.25">
      <c r="A43" s="2">
        <v>1999</v>
      </c>
      <c r="D43" s="5">
        <f>'First-hand detail'!H58</f>
        <v>1.2849007368988947</v>
      </c>
    </row>
    <row r="44" spans="1:5" x14ac:dyDescent="0.25">
      <c r="A44" s="2">
        <v>2000</v>
      </c>
      <c r="D44" s="5">
        <f>'First-hand detail'!H59</f>
        <v>1.540588620452032</v>
      </c>
    </row>
    <row r="45" spans="1:5" x14ac:dyDescent="0.25">
      <c r="A45" s="2">
        <v>2001</v>
      </c>
      <c r="D45" s="5">
        <f>'First-hand detail'!H60</f>
        <v>1.3371664088844293</v>
      </c>
    </row>
    <row r="46" spans="1:5" x14ac:dyDescent="0.25">
      <c r="A46" s="2">
        <v>2002</v>
      </c>
      <c r="D46" s="5">
        <f>'First-hand detail'!H61</f>
        <v>0.91104415840707231</v>
      </c>
      <c r="E46" s="5">
        <f>'First-hand detail'!H39</f>
        <v>0.3961073492914518</v>
      </c>
    </row>
    <row r="47" spans="1:5" x14ac:dyDescent="0.25">
      <c r="A47" s="2">
        <v>2003</v>
      </c>
      <c r="D47" s="5">
        <f>'First-hand detail'!H62</f>
        <v>0.78955522871395589</v>
      </c>
      <c r="E47" s="5">
        <f>'First-hand detail'!H40</f>
        <v>0.46750084013808813</v>
      </c>
    </row>
    <row r="48" spans="1:5" x14ac:dyDescent="0.25">
      <c r="A48" s="2">
        <v>2004</v>
      </c>
      <c r="E48" s="5">
        <f>'First-hand detail'!H41</f>
        <v>0.50504223718764929</v>
      </c>
    </row>
    <row r="49" spans="1:5" x14ac:dyDescent="0.25">
      <c r="A49" s="2">
        <v>2005</v>
      </c>
      <c r="E49" s="5">
        <f>'First-hand detail'!H42</f>
        <v>0.65342213941548699</v>
      </c>
    </row>
    <row r="50" spans="1:5" x14ac:dyDescent="0.25">
      <c r="A50" s="2">
        <v>2006</v>
      </c>
      <c r="E50" s="5">
        <f>'First-hand detail'!H43</f>
        <v>0.86681104952284671</v>
      </c>
    </row>
    <row r="51" spans="1:5" x14ac:dyDescent="0.25">
      <c r="A51" s="2">
        <v>2007</v>
      </c>
      <c r="E51" s="5">
        <f>'First-hand detail'!H44</f>
        <v>0.95080027756920782</v>
      </c>
    </row>
    <row r="52" spans="1:5" x14ac:dyDescent="0.25">
      <c r="A52" s="2">
        <v>2008</v>
      </c>
      <c r="E52" s="5">
        <f>'First-hand detail'!H45</f>
        <v>1.1145940293822649</v>
      </c>
    </row>
    <row r="53" spans="1:5" x14ac:dyDescent="0.25">
      <c r="A53" s="2">
        <v>2009</v>
      </c>
      <c r="E53" s="5">
        <f>'First-hand detail'!H46</f>
        <v>0.77550407799604737</v>
      </c>
    </row>
    <row r="54" spans="1:5" x14ac:dyDescent="0.25">
      <c r="A54" s="2">
        <v>2010</v>
      </c>
      <c r="E54" s="5">
        <f>'First-hand detail'!H47</f>
        <v>0.85284900874617942</v>
      </c>
    </row>
    <row r="55" spans="1:5" x14ac:dyDescent="0.25">
      <c r="A55" s="2">
        <v>2011</v>
      </c>
      <c r="E55" s="5">
        <f>'First-hand detail'!H48</f>
        <v>1.0343062303890862</v>
      </c>
    </row>
    <row r="56" spans="1:5" x14ac:dyDescent="0.25">
      <c r="A56" s="2">
        <v>2012</v>
      </c>
      <c r="E56" s="5">
        <f>'First-hand detail'!H49</f>
        <v>1.2600306263638976</v>
      </c>
    </row>
    <row r="57" spans="1:5" x14ac:dyDescent="0.25">
      <c r="A57" s="2">
        <v>2013</v>
      </c>
      <c r="E57" s="5">
        <f>'First-hand detail'!H50</f>
        <v>1.2503996431897928</v>
      </c>
    </row>
    <row r="58" spans="1:5" x14ac:dyDescent="0.25">
      <c r="A58" s="2">
        <v>2014</v>
      </c>
      <c r="E58" s="5">
        <f>'First-hand detail'!H51</f>
        <v>1.4153001299739927</v>
      </c>
    </row>
    <row r="59" spans="1:5" x14ac:dyDescent="0.25">
      <c r="A59" s="2">
        <v>2015</v>
      </c>
      <c r="E59" s="5">
        <f>'First-hand detail'!H52</f>
        <v>0.97983500317764083</v>
      </c>
    </row>
    <row r="60" spans="1:5" x14ac:dyDescent="0.25">
      <c r="A60" s="2">
        <v>2016</v>
      </c>
      <c r="E60" s="5">
        <f>'First-hand detail'!H53</f>
        <v>0.5610927314579971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24"/>
  <sheetViews>
    <sheetView showGridLines="0"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0" customWidth="1"/>
    <col min="2" max="2" width="34" customWidth="1"/>
    <col min="3" max="4" width="14" customWidth="1"/>
    <col min="5" max="5" width="12" customWidth="1"/>
  </cols>
  <sheetData>
    <row r="1" spans="1:5" ht="26.25" x14ac:dyDescent="0.25">
      <c r="A1" s="3" t="s">
        <v>55</v>
      </c>
      <c r="B1" s="4" t="s">
        <v>155</v>
      </c>
      <c r="C1" s="4" t="s">
        <v>278</v>
      </c>
      <c r="D1" s="4" t="s">
        <v>157</v>
      </c>
      <c r="E1" s="4" t="s">
        <v>158</v>
      </c>
    </row>
    <row r="2" spans="1:5" x14ac:dyDescent="0.25">
      <c r="A2" s="2" t="s">
        <v>67</v>
      </c>
      <c r="B2" s="2" t="s">
        <v>12</v>
      </c>
      <c r="C2" s="2">
        <v>1899</v>
      </c>
      <c r="D2" s="2">
        <f>C2-C2</f>
        <v>0</v>
      </c>
      <c r="E2" s="5">
        <f>'First-hand detail'!H2</f>
        <v>1.1705202312138729</v>
      </c>
    </row>
    <row r="3" spans="1:5" x14ac:dyDescent="0.25">
      <c r="A3" s="2" t="s">
        <v>67</v>
      </c>
      <c r="B3" s="2" t="s">
        <v>12</v>
      </c>
      <c r="C3" s="2">
        <v>1900</v>
      </c>
      <c r="D3" s="2">
        <f>C3-C2</f>
        <v>1</v>
      </c>
      <c r="E3" s="5">
        <f>'First-hand detail'!H3</f>
        <v>1.2486187845303867</v>
      </c>
    </row>
    <row r="4" spans="1:5" x14ac:dyDescent="0.25">
      <c r="A4" s="2" t="s">
        <v>67</v>
      </c>
      <c r="B4" s="2" t="s">
        <v>12</v>
      </c>
      <c r="C4" s="2">
        <v>1901</v>
      </c>
      <c r="D4" s="2">
        <f>C4-C2</f>
        <v>2</v>
      </c>
      <c r="E4" s="5">
        <f>'First-hand detail'!H4</f>
        <v>1.0481012658227848</v>
      </c>
    </row>
    <row r="5" spans="1:5" x14ac:dyDescent="0.25">
      <c r="A5" s="2" t="s">
        <v>67</v>
      </c>
      <c r="B5" s="2" t="s">
        <v>12</v>
      </c>
      <c r="C5" s="2">
        <v>1902</v>
      </c>
      <c r="D5" s="2">
        <f>C5-C2</f>
        <v>3</v>
      </c>
      <c r="E5" s="5">
        <f>'First-hand detail'!H5</f>
        <v>1.0696517412935322</v>
      </c>
    </row>
    <row r="6" spans="1:5" x14ac:dyDescent="0.25">
      <c r="A6" s="2" t="s">
        <v>67</v>
      </c>
      <c r="B6" s="2" t="s">
        <v>12</v>
      </c>
      <c r="C6" s="2">
        <v>1903</v>
      </c>
      <c r="D6" s="2">
        <f>C6-C2</f>
        <v>4</v>
      </c>
      <c r="E6" s="5">
        <f>'First-hand detail'!H6</f>
        <v>1.0685579196217494</v>
      </c>
    </row>
    <row r="7" spans="1:5" x14ac:dyDescent="0.25">
      <c r="A7" s="2" t="s">
        <v>67</v>
      </c>
      <c r="B7" s="2" t="s">
        <v>12</v>
      </c>
      <c r="C7" s="2">
        <v>1904</v>
      </c>
      <c r="D7" s="2">
        <f>C7-C2</f>
        <v>5</v>
      </c>
      <c r="E7" s="5">
        <f>'First-hand detail'!H7</f>
        <v>1.2535885167464116</v>
      </c>
    </row>
    <row r="8" spans="1:5" x14ac:dyDescent="0.25">
      <c r="A8" s="2" t="s">
        <v>67</v>
      </c>
      <c r="B8" s="2" t="s">
        <v>12</v>
      </c>
      <c r="C8" s="2">
        <v>1905</v>
      </c>
      <c r="D8" s="2">
        <f>C8-C2</f>
        <v>6</v>
      </c>
      <c r="E8" s="5">
        <f>'First-hand detail'!H8</f>
        <v>1.4909909909909911</v>
      </c>
    </row>
    <row r="9" spans="1:5" x14ac:dyDescent="0.25">
      <c r="A9" s="2" t="s">
        <v>67</v>
      </c>
      <c r="B9" s="2" t="s">
        <v>12</v>
      </c>
      <c r="C9" s="2">
        <v>1906</v>
      </c>
      <c r="D9" s="2">
        <f>C9-C2</f>
        <v>7</v>
      </c>
      <c r="E9" s="5">
        <f>'First-hand detail'!H9</f>
        <v>1.7983706720977595</v>
      </c>
    </row>
    <row r="10" spans="1:5" x14ac:dyDescent="0.25">
      <c r="A10" s="2" t="s">
        <v>67</v>
      </c>
      <c r="B10" s="2" t="s">
        <v>12</v>
      </c>
      <c r="C10" s="2">
        <v>1907</v>
      </c>
      <c r="D10" s="2">
        <f>C10-C2</f>
        <v>8</v>
      </c>
      <c r="E10" s="5">
        <f>'First-hand detail'!H10</f>
        <v>2.0257425742574262</v>
      </c>
    </row>
    <row r="11" spans="1:5" x14ac:dyDescent="0.25">
      <c r="A11" s="2" t="s">
        <v>67</v>
      </c>
      <c r="B11" s="2" t="s">
        <v>12</v>
      </c>
      <c r="C11" s="2">
        <v>1908</v>
      </c>
      <c r="D11" s="2">
        <f>C11-C2</f>
        <v>9</v>
      </c>
      <c r="E11" s="5">
        <f>'First-hand detail'!H11</f>
        <v>2.2217484008528783</v>
      </c>
    </row>
    <row r="12" spans="1:5" x14ac:dyDescent="0.25">
      <c r="A12" s="2" t="s">
        <v>67</v>
      </c>
      <c r="B12" s="2" t="s">
        <v>12</v>
      </c>
      <c r="C12" s="2">
        <v>1909</v>
      </c>
      <c r="D12" s="2">
        <f>C12-C2</f>
        <v>10</v>
      </c>
      <c r="E12" s="5">
        <f>'First-hand detail'!H12</f>
        <v>2.1151631477927064</v>
      </c>
    </row>
    <row r="13" spans="1:5" x14ac:dyDescent="0.25">
      <c r="A13" s="2" t="s">
        <v>67</v>
      </c>
      <c r="B13" s="2" t="s">
        <v>12</v>
      </c>
      <c r="C13" s="2">
        <v>1910</v>
      </c>
      <c r="D13" s="2">
        <f>C13-C2</f>
        <v>11</v>
      </c>
      <c r="E13" s="5">
        <f>'First-hand detail'!H13</f>
        <v>2.3030303030303028</v>
      </c>
    </row>
    <row r="14" spans="1:5" x14ac:dyDescent="0.25">
      <c r="A14" s="2" t="s">
        <v>67</v>
      </c>
      <c r="B14" s="2" t="s">
        <v>12</v>
      </c>
      <c r="C14" s="2">
        <v>1911</v>
      </c>
      <c r="D14" s="2">
        <f>C14-C2</f>
        <v>12</v>
      </c>
      <c r="E14" s="5">
        <f>'First-hand detail'!H14</f>
        <v>2.1178707224334601</v>
      </c>
    </row>
    <row r="15" spans="1:5" x14ac:dyDescent="0.25">
      <c r="A15" s="2" t="s">
        <v>67</v>
      </c>
      <c r="B15" s="2" t="s">
        <v>12</v>
      </c>
      <c r="C15" s="2">
        <v>1912</v>
      </c>
      <c r="D15" s="2">
        <f>C15-C2</f>
        <v>13</v>
      </c>
      <c r="E15" s="5">
        <f>'First-hand detail'!H15</f>
        <v>1.9981273408239699</v>
      </c>
    </row>
    <row r="16" spans="1:5" x14ac:dyDescent="0.25">
      <c r="A16" s="2" t="s">
        <v>67</v>
      </c>
      <c r="B16" s="2" t="s">
        <v>12</v>
      </c>
      <c r="C16" s="2">
        <v>1913</v>
      </c>
      <c r="D16" s="2">
        <f>C16-C2</f>
        <v>14</v>
      </c>
      <c r="E16" s="5">
        <f>'First-hand detail'!H16</f>
        <v>1.9787234042553195</v>
      </c>
    </row>
    <row r="17" spans="1:5" x14ac:dyDescent="0.25">
      <c r="A17" s="2" t="s">
        <v>67</v>
      </c>
      <c r="B17" s="2" t="s">
        <v>12</v>
      </c>
      <c r="C17" s="2">
        <v>1914</v>
      </c>
      <c r="D17" s="2">
        <f>C17-C2</f>
        <v>15</v>
      </c>
      <c r="E17" s="5">
        <f>'First-hand detail'!H17</f>
        <v>1.4184782608695652</v>
      </c>
    </row>
    <row r="18" spans="1:5" x14ac:dyDescent="0.25">
      <c r="A18" s="2" t="s">
        <v>67</v>
      </c>
      <c r="B18" s="2" t="s">
        <v>12</v>
      </c>
      <c r="C18" s="2">
        <v>1915</v>
      </c>
      <c r="D18" s="2">
        <f>C18-C2</f>
        <v>16</v>
      </c>
      <c r="E18" s="5">
        <f>'First-hand detail'!H18</f>
        <v>0.79018612521150589</v>
      </c>
    </row>
    <row r="19" spans="1:5" x14ac:dyDescent="0.25">
      <c r="A19" s="2" t="s">
        <v>67</v>
      </c>
      <c r="B19" s="2" t="s">
        <v>12</v>
      </c>
      <c r="C19" s="2">
        <v>1916</v>
      </c>
      <c r="D19" s="2">
        <f>C19-C2</f>
        <v>17</v>
      </c>
      <c r="E19" s="5">
        <f>'First-hand detail'!H19</f>
        <v>0.81619937694704048</v>
      </c>
    </row>
    <row r="20" spans="1:5" x14ac:dyDescent="0.25">
      <c r="A20" s="2" t="s">
        <v>67</v>
      </c>
      <c r="B20" s="2" t="s">
        <v>12</v>
      </c>
      <c r="C20" s="2">
        <v>1917</v>
      </c>
      <c r="D20" s="2">
        <f>C20-C2</f>
        <v>18</v>
      </c>
      <c r="E20" s="5">
        <f>'First-hand detail'!H20</f>
        <v>1.0138888888888891</v>
      </c>
    </row>
    <row r="21" spans="1:5" x14ac:dyDescent="0.25">
      <c r="A21" s="2" t="s">
        <v>67</v>
      </c>
      <c r="B21" s="2" t="s">
        <v>12</v>
      </c>
      <c r="C21" s="2">
        <v>1918</v>
      </c>
      <c r="D21" s="2">
        <f>C21-C2</f>
        <v>19</v>
      </c>
      <c r="E21" s="5">
        <f>'First-hand detail'!H21</f>
        <v>0.78155339805825241</v>
      </c>
    </row>
    <row r="22" spans="1:5" x14ac:dyDescent="0.25">
      <c r="A22" s="2" t="s">
        <v>67</v>
      </c>
      <c r="B22" s="2" t="s">
        <v>12</v>
      </c>
      <c r="C22" s="2">
        <v>1919</v>
      </c>
      <c r="D22" s="2">
        <f>C22-C2</f>
        <v>20</v>
      </c>
      <c r="E22" s="5">
        <f>'First-hand detail'!H22</f>
        <v>0.50884955752212402</v>
      </c>
    </row>
    <row r="23" spans="1:5" x14ac:dyDescent="0.25">
      <c r="A23" s="2" t="s">
        <v>67</v>
      </c>
      <c r="B23" s="2" t="s">
        <v>12</v>
      </c>
      <c r="C23" s="2">
        <v>1920</v>
      </c>
      <c r="D23" s="2">
        <f>C23-C2</f>
        <v>21</v>
      </c>
      <c r="E23" s="5">
        <f>'First-hand detail'!H23</f>
        <v>0.7270072992700729</v>
      </c>
    </row>
    <row r="24" spans="1:5" x14ac:dyDescent="0.25">
      <c r="A24" s="2" t="s">
        <v>92</v>
      </c>
      <c r="B24" s="2" t="s">
        <v>13</v>
      </c>
      <c r="C24" s="2">
        <v>1972</v>
      </c>
      <c r="D24" s="2">
        <f>C24-C24</f>
        <v>0</v>
      </c>
      <c r="E24" s="5">
        <f>'First-hand detail'!H24</f>
        <v>0.38010804387425634</v>
      </c>
    </row>
    <row r="25" spans="1:5" x14ac:dyDescent="0.25">
      <c r="A25" s="2" t="s">
        <v>92</v>
      </c>
      <c r="B25" s="2" t="s">
        <v>13</v>
      </c>
      <c r="C25" s="2">
        <v>1973</v>
      </c>
      <c r="D25" s="2">
        <f>C25-C24</f>
        <v>1</v>
      </c>
      <c r="E25" s="5">
        <f>'First-hand detail'!H24</f>
        <v>0.38010804387425634</v>
      </c>
    </row>
    <row r="26" spans="1:5" x14ac:dyDescent="0.25">
      <c r="A26" s="2" t="s">
        <v>92</v>
      </c>
      <c r="B26" s="2" t="s">
        <v>13</v>
      </c>
      <c r="C26" s="2">
        <v>1973</v>
      </c>
      <c r="D26" s="2">
        <f>C26-C24</f>
        <v>1</v>
      </c>
      <c r="E26" s="5">
        <f>'First-hand detail'!H25</f>
        <v>0.39210706508317805</v>
      </c>
    </row>
    <row r="27" spans="1:5" x14ac:dyDescent="0.25">
      <c r="A27" s="2" t="s">
        <v>92</v>
      </c>
      <c r="B27" s="2" t="s">
        <v>13</v>
      </c>
      <c r="C27" s="2">
        <v>1974</v>
      </c>
      <c r="D27" s="2">
        <f>C27-C24</f>
        <v>2</v>
      </c>
      <c r="E27" s="5">
        <f>'First-hand detail'!H25</f>
        <v>0.39210706508317805</v>
      </c>
    </row>
    <row r="28" spans="1:5" x14ac:dyDescent="0.25">
      <c r="A28" s="2" t="s">
        <v>92</v>
      </c>
      <c r="B28" s="2" t="s">
        <v>13</v>
      </c>
      <c r="C28" s="2">
        <v>1974</v>
      </c>
      <c r="D28" s="2">
        <f>C28-C24</f>
        <v>2</v>
      </c>
      <c r="E28" s="5">
        <f>'First-hand detail'!H26</f>
        <v>0.49649149033517709</v>
      </c>
    </row>
    <row r="29" spans="1:5" x14ac:dyDescent="0.25">
      <c r="A29" s="2" t="s">
        <v>92</v>
      </c>
      <c r="B29" s="2" t="s">
        <v>13</v>
      </c>
      <c r="C29" s="2">
        <v>1975</v>
      </c>
      <c r="D29" s="2">
        <f>C29-C24</f>
        <v>3</v>
      </c>
      <c r="E29" s="5">
        <f>'First-hand detail'!H26</f>
        <v>0.49649149033517709</v>
      </c>
    </row>
    <row r="30" spans="1:5" x14ac:dyDescent="0.25">
      <c r="A30" s="2" t="s">
        <v>92</v>
      </c>
      <c r="B30" s="2" t="s">
        <v>13</v>
      </c>
      <c r="C30" s="2">
        <v>1975</v>
      </c>
      <c r="D30" s="2">
        <f>C30-C24</f>
        <v>3</v>
      </c>
      <c r="E30" s="5">
        <f>'First-hand detail'!H27</f>
        <v>0.66502305175843845</v>
      </c>
    </row>
    <row r="31" spans="1:5" x14ac:dyDescent="0.25">
      <c r="A31" s="2" t="s">
        <v>92</v>
      </c>
      <c r="B31" s="2" t="s">
        <v>13</v>
      </c>
      <c r="C31" s="2">
        <v>1976</v>
      </c>
      <c r="D31" s="2">
        <f>C31-C24</f>
        <v>4</v>
      </c>
      <c r="E31" s="5">
        <f>'First-hand detail'!H27</f>
        <v>0.66502305175843845</v>
      </c>
    </row>
    <row r="32" spans="1:5" x14ac:dyDescent="0.25">
      <c r="A32" s="2" t="s">
        <v>92</v>
      </c>
      <c r="B32" s="2" t="s">
        <v>13</v>
      </c>
      <c r="C32" s="2">
        <v>1976</v>
      </c>
      <c r="D32" s="2">
        <f>C32-C24</f>
        <v>4</v>
      </c>
      <c r="E32" s="5">
        <f>'First-hand detail'!H28</f>
        <v>0.70144741252858422</v>
      </c>
    </row>
    <row r="33" spans="1:5" x14ac:dyDescent="0.25">
      <c r="A33" s="2" t="s">
        <v>92</v>
      </c>
      <c r="B33" s="2" t="s">
        <v>13</v>
      </c>
      <c r="C33" s="2">
        <v>1977</v>
      </c>
      <c r="D33" s="2">
        <f>C33-C24</f>
        <v>5</v>
      </c>
      <c r="E33" s="5">
        <f>'First-hand detail'!H28</f>
        <v>0.70144741252858422</v>
      </c>
    </row>
    <row r="34" spans="1:5" x14ac:dyDescent="0.25">
      <c r="A34" s="2" t="s">
        <v>92</v>
      </c>
      <c r="B34" s="2" t="s">
        <v>13</v>
      </c>
      <c r="C34" s="2">
        <v>1977</v>
      </c>
      <c r="D34" s="2">
        <f>C34-C24</f>
        <v>5</v>
      </c>
      <c r="E34" s="5">
        <f>'First-hand detail'!H29</f>
        <v>0.72153004141556498</v>
      </c>
    </row>
    <row r="35" spans="1:5" x14ac:dyDescent="0.25">
      <c r="A35" s="2" t="s">
        <v>92</v>
      </c>
      <c r="B35" s="2" t="s">
        <v>13</v>
      </c>
      <c r="C35" s="2">
        <v>1978</v>
      </c>
      <c r="D35" s="2">
        <f>C35-C24</f>
        <v>6</v>
      </c>
      <c r="E35" s="5">
        <f>'First-hand detail'!H29</f>
        <v>0.72153004141556498</v>
      </c>
    </row>
    <row r="36" spans="1:5" x14ac:dyDescent="0.25">
      <c r="A36" s="2" t="s">
        <v>92</v>
      </c>
      <c r="B36" s="2" t="s">
        <v>13</v>
      </c>
      <c r="C36" s="2">
        <v>1978</v>
      </c>
      <c r="D36" s="2">
        <f>C36-C24</f>
        <v>6</v>
      </c>
      <c r="E36" s="5">
        <f>'First-hand detail'!H30</f>
        <v>0.90955133081788175</v>
      </c>
    </row>
    <row r="37" spans="1:5" x14ac:dyDescent="0.25">
      <c r="A37" s="2" t="s">
        <v>92</v>
      </c>
      <c r="B37" s="2" t="s">
        <v>13</v>
      </c>
      <c r="C37" s="2">
        <v>1979</v>
      </c>
      <c r="D37" s="2">
        <f>C37-C24</f>
        <v>7</v>
      </c>
      <c r="E37" s="5">
        <f>'First-hand detail'!H30</f>
        <v>0.90955133081788175</v>
      </c>
    </row>
    <row r="38" spans="1:5" x14ac:dyDescent="0.25">
      <c r="A38" s="2" t="s">
        <v>92</v>
      </c>
      <c r="B38" s="2" t="s">
        <v>13</v>
      </c>
      <c r="C38" s="2">
        <v>1979</v>
      </c>
      <c r="D38" s="2">
        <f>C38-C24</f>
        <v>7</v>
      </c>
      <c r="E38" s="5">
        <f>'First-hand detail'!H31</f>
        <v>1.0635119339649752</v>
      </c>
    </row>
    <row r="39" spans="1:5" x14ac:dyDescent="0.25">
      <c r="A39" s="2" t="s">
        <v>92</v>
      </c>
      <c r="B39" s="2" t="s">
        <v>13</v>
      </c>
      <c r="C39" s="2">
        <v>1980</v>
      </c>
      <c r="D39" s="2">
        <f>C39-C24</f>
        <v>8</v>
      </c>
      <c r="E39" s="5">
        <f>'First-hand detail'!H31</f>
        <v>1.0635119339649752</v>
      </c>
    </row>
    <row r="40" spans="1:5" x14ac:dyDescent="0.25">
      <c r="A40" s="2" t="s">
        <v>92</v>
      </c>
      <c r="B40" s="2" t="s">
        <v>13</v>
      </c>
      <c r="C40" s="2">
        <v>1980</v>
      </c>
      <c r="D40" s="2">
        <f>C40-C24</f>
        <v>8</v>
      </c>
      <c r="E40" s="5">
        <f>'First-hand detail'!H32</f>
        <v>1.4248381430486818</v>
      </c>
    </row>
    <row r="41" spans="1:5" x14ac:dyDescent="0.25">
      <c r="A41" s="2" t="s">
        <v>92</v>
      </c>
      <c r="B41" s="2" t="s">
        <v>13</v>
      </c>
      <c r="C41" s="2">
        <v>1981</v>
      </c>
      <c r="D41" s="2">
        <f>C41-C24</f>
        <v>9</v>
      </c>
      <c r="E41" s="5">
        <f>'First-hand detail'!H32</f>
        <v>1.4248381430486818</v>
      </c>
    </row>
    <row r="42" spans="1:5" x14ac:dyDescent="0.25">
      <c r="A42" s="2" t="s">
        <v>92</v>
      </c>
      <c r="B42" s="2" t="s">
        <v>13</v>
      </c>
      <c r="C42" s="2">
        <v>1981</v>
      </c>
      <c r="D42" s="2">
        <f>C42-C24</f>
        <v>9</v>
      </c>
      <c r="E42" s="5">
        <f>'First-hand detail'!H33</f>
        <v>1.9725659883986515</v>
      </c>
    </row>
    <row r="43" spans="1:5" x14ac:dyDescent="0.25">
      <c r="A43" s="2" t="s">
        <v>92</v>
      </c>
      <c r="B43" s="2" t="s">
        <v>13</v>
      </c>
      <c r="C43" s="2">
        <v>1982</v>
      </c>
      <c r="D43" s="2">
        <f>C43-C24</f>
        <v>10</v>
      </c>
      <c r="E43" s="5">
        <f>'First-hand detail'!H33</f>
        <v>1.9725659883986515</v>
      </c>
    </row>
    <row r="44" spans="1:5" x14ac:dyDescent="0.25">
      <c r="A44" s="2" t="s">
        <v>92</v>
      </c>
      <c r="B44" s="2" t="s">
        <v>13</v>
      </c>
      <c r="C44" s="2">
        <v>1982</v>
      </c>
      <c r="D44" s="2">
        <f>C44-C24</f>
        <v>10</v>
      </c>
      <c r="E44" s="5">
        <f>'First-hand detail'!H34</f>
        <v>1.8901910377718212</v>
      </c>
    </row>
    <row r="45" spans="1:5" x14ac:dyDescent="0.25">
      <c r="A45" s="2" t="s">
        <v>92</v>
      </c>
      <c r="B45" s="2" t="s">
        <v>13</v>
      </c>
      <c r="C45" s="2">
        <v>1983</v>
      </c>
      <c r="D45" s="2">
        <f>C45-C24</f>
        <v>11</v>
      </c>
      <c r="E45" s="5">
        <f>'First-hand detail'!H34</f>
        <v>1.8901910377718212</v>
      </c>
    </row>
    <row r="46" spans="1:5" x14ac:dyDescent="0.25">
      <c r="A46" s="2" t="s">
        <v>92</v>
      </c>
      <c r="B46" s="2" t="s">
        <v>13</v>
      </c>
      <c r="C46" s="2">
        <v>1983</v>
      </c>
      <c r="D46" s="2">
        <f>C46-C24</f>
        <v>11</v>
      </c>
      <c r="E46" s="5">
        <f>'First-hand detail'!H35</f>
        <v>1.1832842694545296</v>
      </c>
    </row>
    <row r="47" spans="1:5" x14ac:dyDescent="0.25">
      <c r="A47" s="2" t="s">
        <v>92</v>
      </c>
      <c r="B47" s="2" t="s">
        <v>13</v>
      </c>
      <c r="C47" s="2">
        <v>1984</v>
      </c>
      <c r="D47" s="2">
        <f>C47-C24</f>
        <v>12</v>
      </c>
      <c r="E47" s="5">
        <f>'First-hand detail'!H35</f>
        <v>1.1832842694545296</v>
      </c>
    </row>
    <row r="48" spans="1:5" x14ac:dyDescent="0.25">
      <c r="A48" s="2" t="s">
        <v>92</v>
      </c>
      <c r="B48" s="2" t="s">
        <v>13</v>
      </c>
      <c r="C48" s="2">
        <v>1984</v>
      </c>
      <c r="D48" s="2">
        <f>C48-C24</f>
        <v>12</v>
      </c>
      <c r="E48" s="5">
        <f>'First-hand detail'!H36</f>
        <v>1.0936907524321919</v>
      </c>
    </row>
    <row r="49" spans="1:5" x14ac:dyDescent="0.25">
      <c r="A49" s="2" t="s">
        <v>92</v>
      </c>
      <c r="B49" s="2" t="s">
        <v>13</v>
      </c>
      <c r="C49" s="2">
        <v>1985</v>
      </c>
      <c r="D49" s="2">
        <f>C49-C24</f>
        <v>13</v>
      </c>
      <c r="E49" s="5">
        <f>'First-hand detail'!H36</f>
        <v>1.0936907524321919</v>
      </c>
    </row>
    <row r="50" spans="1:5" x14ac:dyDescent="0.25">
      <c r="A50" s="2" t="s">
        <v>92</v>
      </c>
      <c r="B50" s="2" t="s">
        <v>13</v>
      </c>
      <c r="C50" s="2">
        <v>1985</v>
      </c>
      <c r="D50" s="2">
        <f>C50-C24</f>
        <v>13</v>
      </c>
      <c r="E50" s="5">
        <f>'First-hand detail'!H37</f>
        <v>0.92530984823849116</v>
      </c>
    </row>
    <row r="51" spans="1:5" x14ac:dyDescent="0.25">
      <c r="A51" s="2" t="s">
        <v>92</v>
      </c>
      <c r="B51" s="2" t="s">
        <v>13</v>
      </c>
      <c r="C51" s="2">
        <v>1986</v>
      </c>
      <c r="D51" s="2">
        <f>C51-C24</f>
        <v>14</v>
      </c>
      <c r="E51" s="5">
        <f>'First-hand detail'!H37</f>
        <v>0.92530984823849116</v>
      </c>
    </row>
    <row r="52" spans="1:5" x14ac:dyDescent="0.25">
      <c r="A52" s="2" t="s">
        <v>92</v>
      </c>
      <c r="B52" s="2" t="s">
        <v>13</v>
      </c>
      <c r="C52" s="2">
        <v>1986</v>
      </c>
      <c r="D52" s="2">
        <f>C52-C24</f>
        <v>14</v>
      </c>
      <c r="E52" s="5">
        <f>'First-hand detail'!H38</f>
        <v>0.51707222699820143</v>
      </c>
    </row>
    <row r="53" spans="1:5" x14ac:dyDescent="0.25">
      <c r="A53" s="2" t="s">
        <v>92</v>
      </c>
      <c r="B53" s="2" t="s">
        <v>13</v>
      </c>
      <c r="C53" s="2">
        <v>1987</v>
      </c>
      <c r="D53" s="2">
        <f>C53-C24</f>
        <v>15</v>
      </c>
      <c r="E53" s="5">
        <f>'First-hand detail'!H38</f>
        <v>0.51707222699820143</v>
      </c>
    </row>
    <row r="54" spans="1:5" x14ac:dyDescent="0.25">
      <c r="A54" s="2" t="s">
        <v>126</v>
      </c>
      <c r="B54" s="2" t="s">
        <v>14</v>
      </c>
      <c r="C54" s="2">
        <v>1995</v>
      </c>
      <c r="D54" s="2">
        <f>C54-C54</f>
        <v>0</v>
      </c>
      <c r="E54" s="5">
        <f>'First-hand detail'!H54</f>
        <v>1.0547205150326275</v>
      </c>
    </row>
    <row r="55" spans="1:5" x14ac:dyDescent="0.25">
      <c r="A55" s="2" t="s">
        <v>126</v>
      </c>
      <c r="B55" s="2" t="s">
        <v>14</v>
      </c>
      <c r="C55" s="2">
        <v>1996</v>
      </c>
      <c r="D55" s="2">
        <f>C55-C54</f>
        <v>1</v>
      </c>
      <c r="E55" s="5">
        <f>'First-hand detail'!H54</f>
        <v>1.0547205150326275</v>
      </c>
    </row>
    <row r="56" spans="1:5" x14ac:dyDescent="0.25">
      <c r="A56" s="2" t="s">
        <v>126</v>
      </c>
      <c r="B56" s="2" t="s">
        <v>14</v>
      </c>
      <c r="C56" s="2">
        <v>1996</v>
      </c>
      <c r="D56" s="2">
        <f>C56-C54</f>
        <v>1</v>
      </c>
      <c r="E56" s="5">
        <f>'First-hand detail'!H55</f>
        <v>1.0841902302479758</v>
      </c>
    </row>
    <row r="57" spans="1:5" x14ac:dyDescent="0.25">
      <c r="A57" s="2" t="s">
        <v>126</v>
      </c>
      <c r="B57" s="2" t="s">
        <v>14</v>
      </c>
      <c r="C57" s="2">
        <v>1997</v>
      </c>
      <c r="D57" s="2">
        <f>C57-C54</f>
        <v>2</v>
      </c>
      <c r="E57" s="5">
        <f>'First-hand detail'!H55</f>
        <v>1.0841902302479758</v>
      </c>
    </row>
    <row r="58" spans="1:5" x14ac:dyDescent="0.25">
      <c r="A58" s="2" t="s">
        <v>126</v>
      </c>
      <c r="B58" s="2" t="s">
        <v>14</v>
      </c>
      <c r="C58" s="2">
        <v>1997</v>
      </c>
      <c r="D58" s="2">
        <f>C58-C54</f>
        <v>2</v>
      </c>
      <c r="E58" s="5">
        <f>'First-hand detail'!H56</f>
        <v>1.09744598458861</v>
      </c>
    </row>
    <row r="59" spans="1:5" x14ac:dyDescent="0.25">
      <c r="A59" s="2" t="s">
        <v>126</v>
      </c>
      <c r="B59" s="2" t="s">
        <v>14</v>
      </c>
      <c r="C59" s="2">
        <v>1998</v>
      </c>
      <c r="D59" s="2">
        <f>C59-C54</f>
        <v>3</v>
      </c>
      <c r="E59" s="5">
        <f>'First-hand detail'!H56</f>
        <v>1.09744598458861</v>
      </c>
    </row>
    <row r="60" spans="1:5" x14ac:dyDescent="0.25">
      <c r="A60" s="2" t="s">
        <v>126</v>
      </c>
      <c r="B60" s="2" t="s">
        <v>14</v>
      </c>
      <c r="C60" s="2">
        <v>1998</v>
      </c>
      <c r="D60" s="2">
        <f>C60-C54</f>
        <v>3</v>
      </c>
      <c r="E60" s="5">
        <f>'First-hand detail'!H57</f>
        <v>1.1361809468292254</v>
      </c>
    </row>
    <row r="61" spans="1:5" x14ac:dyDescent="0.25">
      <c r="A61" s="2" t="s">
        <v>126</v>
      </c>
      <c r="B61" s="2" t="s">
        <v>14</v>
      </c>
      <c r="C61" s="2">
        <v>1999</v>
      </c>
      <c r="D61" s="2">
        <f>C61-C54</f>
        <v>4</v>
      </c>
      <c r="E61" s="5">
        <f>'First-hand detail'!H57</f>
        <v>1.1361809468292254</v>
      </c>
    </row>
    <row r="62" spans="1:5" x14ac:dyDescent="0.25">
      <c r="A62" s="2" t="s">
        <v>126</v>
      </c>
      <c r="B62" s="2" t="s">
        <v>14</v>
      </c>
      <c r="C62" s="2">
        <v>1999</v>
      </c>
      <c r="D62" s="2">
        <f>C62-C54</f>
        <v>4</v>
      </c>
      <c r="E62" s="5">
        <f>'First-hand detail'!H58</f>
        <v>1.2849007368988947</v>
      </c>
    </row>
    <row r="63" spans="1:5" x14ac:dyDescent="0.25">
      <c r="A63" s="2" t="s">
        <v>126</v>
      </c>
      <c r="B63" s="2" t="s">
        <v>14</v>
      </c>
      <c r="C63" s="2">
        <v>2000</v>
      </c>
      <c r="D63" s="2">
        <f>C63-C54</f>
        <v>5</v>
      </c>
      <c r="E63" s="5">
        <f>'First-hand detail'!H58</f>
        <v>1.2849007368988947</v>
      </c>
    </row>
    <row r="64" spans="1:5" x14ac:dyDescent="0.25">
      <c r="A64" s="2" t="s">
        <v>126</v>
      </c>
      <c r="B64" s="2" t="s">
        <v>14</v>
      </c>
      <c r="C64" s="2">
        <v>2000</v>
      </c>
      <c r="D64" s="2">
        <f>C64-C54</f>
        <v>5</v>
      </c>
      <c r="E64" s="5">
        <f>'First-hand detail'!H59</f>
        <v>1.540588620452032</v>
      </c>
    </row>
    <row r="65" spans="1:5" x14ac:dyDescent="0.25">
      <c r="A65" s="2" t="s">
        <v>126</v>
      </c>
      <c r="B65" s="2" t="s">
        <v>14</v>
      </c>
      <c r="C65" s="2">
        <v>2001</v>
      </c>
      <c r="D65" s="2">
        <f>C65-C54</f>
        <v>6</v>
      </c>
      <c r="E65" s="5">
        <f>'First-hand detail'!H59</f>
        <v>1.540588620452032</v>
      </c>
    </row>
    <row r="66" spans="1:5" x14ac:dyDescent="0.25">
      <c r="A66" s="2" t="s">
        <v>126</v>
      </c>
      <c r="B66" s="2" t="s">
        <v>14</v>
      </c>
      <c r="C66" s="2">
        <v>2001</v>
      </c>
      <c r="D66" s="2">
        <f>C66-C54</f>
        <v>6</v>
      </c>
      <c r="E66" s="5">
        <f>'First-hand detail'!H60</f>
        <v>1.3371664088844293</v>
      </c>
    </row>
    <row r="67" spans="1:5" x14ac:dyDescent="0.25">
      <c r="A67" s="2" t="s">
        <v>126</v>
      </c>
      <c r="B67" s="2" t="s">
        <v>14</v>
      </c>
      <c r="C67" s="2">
        <v>2002</v>
      </c>
      <c r="D67" s="2">
        <f>C67-C54</f>
        <v>7</v>
      </c>
      <c r="E67" s="5">
        <f>'First-hand detail'!H60</f>
        <v>1.3371664088844293</v>
      </c>
    </row>
    <row r="68" spans="1:5" x14ac:dyDescent="0.25">
      <c r="A68" s="2" t="s">
        <v>126</v>
      </c>
      <c r="B68" s="2" t="s">
        <v>14</v>
      </c>
      <c r="C68" s="2">
        <v>2002</v>
      </c>
      <c r="D68" s="2">
        <f>C68-C54</f>
        <v>7</v>
      </c>
      <c r="E68" s="5">
        <f>'First-hand detail'!H61</f>
        <v>0.91104415840707231</v>
      </c>
    </row>
    <row r="69" spans="1:5" x14ac:dyDescent="0.25">
      <c r="A69" s="2" t="s">
        <v>126</v>
      </c>
      <c r="B69" s="2" t="s">
        <v>14</v>
      </c>
      <c r="C69" s="2">
        <v>2003</v>
      </c>
      <c r="D69" s="2">
        <f>C69-C54</f>
        <v>8</v>
      </c>
      <c r="E69" s="5">
        <f>'First-hand detail'!H61</f>
        <v>0.91104415840707231</v>
      </c>
    </row>
    <row r="70" spans="1:5" x14ac:dyDescent="0.25">
      <c r="A70" s="2" t="s">
        <v>126</v>
      </c>
      <c r="B70" s="2" t="s">
        <v>14</v>
      </c>
      <c r="C70" s="2">
        <v>2003</v>
      </c>
      <c r="D70" s="2">
        <f>C70-C54</f>
        <v>8</v>
      </c>
      <c r="E70" s="5">
        <f>'First-hand detail'!H62</f>
        <v>0.78955522871395589</v>
      </c>
    </row>
    <row r="71" spans="1:5" x14ac:dyDescent="0.25">
      <c r="A71" s="2" t="s">
        <v>126</v>
      </c>
      <c r="B71" s="2" t="s">
        <v>14</v>
      </c>
      <c r="C71" s="2">
        <v>2004</v>
      </c>
      <c r="D71" s="2">
        <f>C71-C54</f>
        <v>9</v>
      </c>
      <c r="E71" s="5">
        <f>'First-hand detail'!H62</f>
        <v>0.78955522871395589</v>
      </c>
    </row>
    <row r="72" spans="1:5" x14ac:dyDescent="0.25">
      <c r="A72" s="2" t="s">
        <v>110</v>
      </c>
      <c r="B72" s="2" t="s">
        <v>15</v>
      </c>
      <c r="C72" s="2">
        <v>2002</v>
      </c>
      <c r="D72" s="2">
        <f>C72-C72</f>
        <v>0</v>
      </c>
      <c r="E72" s="5">
        <f>'First-hand detail'!H39</f>
        <v>0.3961073492914518</v>
      </c>
    </row>
    <row r="73" spans="1:5" x14ac:dyDescent="0.25">
      <c r="A73" s="2" t="s">
        <v>110</v>
      </c>
      <c r="B73" s="2" t="s">
        <v>15</v>
      </c>
      <c r="C73" s="2">
        <v>2003</v>
      </c>
      <c r="D73" s="2">
        <f>C73-C72</f>
        <v>1</v>
      </c>
      <c r="E73" s="5">
        <f>'First-hand detail'!H39</f>
        <v>0.3961073492914518</v>
      </c>
    </row>
    <row r="74" spans="1:5" x14ac:dyDescent="0.25">
      <c r="A74" s="2" t="s">
        <v>110</v>
      </c>
      <c r="B74" s="2" t="s">
        <v>15</v>
      </c>
      <c r="C74" s="2">
        <v>2003</v>
      </c>
      <c r="D74" s="2">
        <f>C74-C72</f>
        <v>1</v>
      </c>
      <c r="E74" s="5">
        <f>'First-hand detail'!H40</f>
        <v>0.46750084013808813</v>
      </c>
    </row>
    <row r="75" spans="1:5" x14ac:dyDescent="0.25">
      <c r="A75" s="2" t="s">
        <v>110</v>
      </c>
      <c r="B75" s="2" t="s">
        <v>15</v>
      </c>
      <c r="C75" s="2">
        <v>2004</v>
      </c>
      <c r="D75" s="2">
        <f>C75-C72</f>
        <v>2</v>
      </c>
      <c r="E75" s="5">
        <f>'First-hand detail'!H40</f>
        <v>0.46750084013808813</v>
      </c>
    </row>
    <row r="76" spans="1:5" x14ac:dyDescent="0.25">
      <c r="A76" s="2" t="s">
        <v>110</v>
      </c>
      <c r="B76" s="2" t="s">
        <v>15</v>
      </c>
      <c r="C76" s="2">
        <v>2004</v>
      </c>
      <c r="D76" s="2">
        <f>C76-C72</f>
        <v>2</v>
      </c>
      <c r="E76" s="5">
        <f>'First-hand detail'!H41</f>
        <v>0.50504223718764929</v>
      </c>
    </row>
    <row r="77" spans="1:5" x14ac:dyDescent="0.25">
      <c r="A77" s="2" t="s">
        <v>110</v>
      </c>
      <c r="B77" s="2" t="s">
        <v>15</v>
      </c>
      <c r="C77" s="2">
        <v>2005</v>
      </c>
      <c r="D77" s="2">
        <f>C77-C72</f>
        <v>3</v>
      </c>
      <c r="E77" s="5">
        <f>'First-hand detail'!H41</f>
        <v>0.50504223718764929</v>
      </c>
    </row>
    <row r="78" spans="1:5" x14ac:dyDescent="0.25">
      <c r="A78" s="2" t="s">
        <v>110</v>
      </c>
      <c r="B78" s="2" t="s">
        <v>15</v>
      </c>
      <c r="C78" s="2">
        <v>2005</v>
      </c>
      <c r="D78" s="2">
        <f>C78-C72</f>
        <v>3</v>
      </c>
      <c r="E78" s="5">
        <f>'First-hand detail'!H42</f>
        <v>0.65342213941548699</v>
      </c>
    </row>
    <row r="79" spans="1:5" x14ac:dyDescent="0.25">
      <c r="A79" s="2" t="s">
        <v>110</v>
      </c>
      <c r="B79" s="2" t="s">
        <v>15</v>
      </c>
      <c r="C79" s="2">
        <v>2006</v>
      </c>
      <c r="D79" s="2">
        <f>C79-C72</f>
        <v>4</v>
      </c>
      <c r="E79" s="5">
        <f>'First-hand detail'!H42</f>
        <v>0.65342213941548699</v>
      </c>
    </row>
    <row r="80" spans="1:5" x14ac:dyDescent="0.25">
      <c r="A80" s="2" t="s">
        <v>110</v>
      </c>
      <c r="B80" s="2" t="s">
        <v>15</v>
      </c>
      <c r="C80" s="2">
        <v>2006</v>
      </c>
      <c r="D80" s="2">
        <f>C80-C72</f>
        <v>4</v>
      </c>
      <c r="E80" s="5">
        <f>'First-hand detail'!H43</f>
        <v>0.86681104952284671</v>
      </c>
    </row>
    <row r="81" spans="1:5" x14ac:dyDescent="0.25">
      <c r="A81" s="2" t="s">
        <v>110</v>
      </c>
      <c r="B81" s="2" t="s">
        <v>15</v>
      </c>
      <c r="C81" s="2">
        <v>2007</v>
      </c>
      <c r="D81" s="2">
        <f>C81-C72</f>
        <v>5</v>
      </c>
      <c r="E81" s="5">
        <f>'First-hand detail'!H43</f>
        <v>0.86681104952284671</v>
      </c>
    </row>
    <row r="82" spans="1:5" x14ac:dyDescent="0.25">
      <c r="A82" s="2" t="s">
        <v>110</v>
      </c>
      <c r="B82" s="2" t="s">
        <v>15</v>
      </c>
      <c r="C82" s="2">
        <v>2007</v>
      </c>
      <c r="D82" s="2">
        <f>C82-C72</f>
        <v>5</v>
      </c>
      <c r="E82" s="5">
        <f>'First-hand detail'!H44</f>
        <v>0.95080027756920782</v>
      </c>
    </row>
    <row r="83" spans="1:5" x14ac:dyDescent="0.25">
      <c r="A83" s="2" t="s">
        <v>110</v>
      </c>
      <c r="B83" s="2" t="s">
        <v>15</v>
      </c>
      <c r="C83" s="2">
        <v>2008</v>
      </c>
      <c r="D83" s="2">
        <f>C83-C72</f>
        <v>6</v>
      </c>
      <c r="E83" s="5">
        <f>'First-hand detail'!H44</f>
        <v>0.95080027756920782</v>
      </c>
    </row>
    <row r="84" spans="1:5" x14ac:dyDescent="0.25">
      <c r="A84" s="2" t="s">
        <v>110</v>
      </c>
      <c r="B84" s="2" t="s">
        <v>15</v>
      </c>
      <c r="C84" s="2">
        <v>2008</v>
      </c>
      <c r="D84" s="2">
        <f>C84-C72</f>
        <v>6</v>
      </c>
      <c r="E84" s="5">
        <f>'First-hand detail'!H45</f>
        <v>1.1145940293822649</v>
      </c>
    </row>
    <row r="85" spans="1:5" x14ac:dyDescent="0.25">
      <c r="A85" s="2" t="s">
        <v>110</v>
      </c>
      <c r="B85" s="2" t="s">
        <v>15</v>
      </c>
      <c r="C85" s="2">
        <v>2009</v>
      </c>
      <c r="D85" s="2">
        <f>C85-C72</f>
        <v>7</v>
      </c>
      <c r="E85" s="5">
        <f>'First-hand detail'!H45</f>
        <v>1.1145940293822649</v>
      </c>
    </row>
    <row r="86" spans="1:5" x14ac:dyDescent="0.25">
      <c r="A86" s="2" t="s">
        <v>110</v>
      </c>
      <c r="B86" s="2" t="s">
        <v>15</v>
      </c>
      <c r="C86" s="2">
        <v>2009</v>
      </c>
      <c r="D86" s="2">
        <f>C86-C72</f>
        <v>7</v>
      </c>
      <c r="E86" s="5">
        <f>'First-hand detail'!H46</f>
        <v>0.77550407799604737</v>
      </c>
    </row>
    <row r="87" spans="1:5" x14ac:dyDescent="0.25">
      <c r="A87" s="2" t="s">
        <v>110</v>
      </c>
      <c r="B87" s="2" t="s">
        <v>15</v>
      </c>
      <c r="C87" s="2">
        <v>2010</v>
      </c>
      <c r="D87" s="2">
        <f>C87-C72</f>
        <v>8</v>
      </c>
      <c r="E87" s="5">
        <f>'First-hand detail'!H46</f>
        <v>0.77550407799604737</v>
      </c>
    </row>
    <row r="88" spans="1:5" x14ac:dyDescent="0.25">
      <c r="A88" s="2" t="s">
        <v>110</v>
      </c>
      <c r="B88" s="2" t="s">
        <v>15</v>
      </c>
      <c r="C88" s="2">
        <v>2010</v>
      </c>
      <c r="D88" s="2">
        <f>C88-C72</f>
        <v>8</v>
      </c>
      <c r="E88" s="5">
        <f>'First-hand detail'!H47</f>
        <v>0.85284900874617942</v>
      </c>
    </row>
    <row r="89" spans="1:5" x14ac:dyDescent="0.25">
      <c r="A89" s="2" t="s">
        <v>110</v>
      </c>
      <c r="B89" s="2" t="s">
        <v>15</v>
      </c>
      <c r="C89" s="2">
        <v>2011</v>
      </c>
      <c r="D89" s="2">
        <f>C89-C72</f>
        <v>9</v>
      </c>
      <c r="E89" s="5">
        <f>'First-hand detail'!H47</f>
        <v>0.85284900874617942</v>
      </c>
    </row>
    <row r="90" spans="1:5" x14ac:dyDescent="0.25">
      <c r="A90" s="2" t="s">
        <v>110</v>
      </c>
      <c r="B90" s="2" t="s">
        <v>15</v>
      </c>
      <c r="C90" s="2">
        <v>2011</v>
      </c>
      <c r="D90" s="2">
        <f>C90-C72</f>
        <v>9</v>
      </c>
      <c r="E90" s="5">
        <f>'First-hand detail'!H48</f>
        <v>1.0343062303890862</v>
      </c>
    </row>
    <row r="91" spans="1:5" x14ac:dyDescent="0.25">
      <c r="A91" s="2" t="s">
        <v>110</v>
      </c>
      <c r="B91" s="2" t="s">
        <v>15</v>
      </c>
      <c r="C91" s="2">
        <v>2012</v>
      </c>
      <c r="D91" s="2">
        <f>C91-C72</f>
        <v>10</v>
      </c>
      <c r="E91" s="5">
        <f>'First-hand detail'!H48</f>
        <v>1.0343062303890862</v>
      </c>
    </row>
    <row r="92" spans="1:5" x14ac:dyDescent="0.25">
      <c r="A92" s="2" t="s">
        <v>110</v>
      </c>
      <c r="B92" s="2" t="s">
        <v>15</v>
      </c>
      <c r="C92" s="2">
        <v>2012</v>
      </c>
      <c r="D92" s="2">
        <f>C92-C72</f>
        <v>10</v>
      </c>
      <c r="E92" s="5">
        <f>'First-hand detail'!H49</f>
        <v>1.2600306263638976</v>
      </c>
    </row>
    <row r="93" spans="1:5" x14ac:dyDescent="0.25">
      <c r="A93" s="2" t="s">
        <v>110</v>
      </c>
      <c r="B93" s="2" t="s">
        <v>15</v>
      </c>
      <c r="C93" s="2">
        <v>2013</v>
      </c>
      <c r="D93" s="2">
        <f>C93-C72</f>
        <v>11</v>
      </c>
      <c r="E93" s="5">
        <f>'First-hand detail'!H49</f>
        <v>1.2600306263638976</v>
      </c>
    </row>
    <row r="94" spans="1:5" x14ac:dyDescent="0.25">
      <c r="A94" s="2" t="s">
        <v>110</v>
      </c>
      <c r="B94" s="2" t="s">
        <v>15</v>
      </c>
      <c r="C94" s="2">
        <v>2013</v>
      </c>
      <c r="D94" s="2">
        <f>C94-C72</f>
        <v>11</v>
      </c>
      <c r="E94" s="5">
        <f>'First-hand detail'!H50</f>
        <v>1.2503996431897928</v>
      </c>
    </row>
    <row r="95" spans="1:5" x14ac:dyDescent="0.25">
      <c r="A95" s="2" t="s">
        <v>110</v>
      </c>
      <c r="B95" s="2" t="s">
        <v>15</v>
      </c>
      <c r="C95" s="2">
        <v>2014</v>
      </c>
      <c r="D95" s="2">
        <f>C95-C72</f>
        <v>12</v>
      </c>
      <c r="E95" s="5">
        <f>'First-hand detail'!H50</f>
        <v>1.2503996431897928</v>
      </c>
    </row>
    <row r="96" spans="1:5" x14ac:dyDescent="0.25">
      <c r="A96" s="2" t="s">
        <v>110</v>
      </c>
      <c r="B96" s="2" t="s">
        <v>15</v>
      </c>
      <c r="C96" s="2">
        <v>2014</v>
      </c>
      <c r="D96" s="2">
        <f>C96-C72</f>
        <v>12</v>
      </c>
      <c r="E96" s="5">
        <f>'First-hand detail'!H51</f>
        <v>1.4153001299739927</v>
      </c>
    </row>
    <row r="97" spans="1:5" x14ac:dyDescent="0.25">
      <c r="A97" s="2" t="s">
        <v>110</v>
      </c>
      <c r="B97" s="2" t="s">
        <v>15</v>
      </c>
      <c r="C97" s="2">
        <v>2015</v>
      </c>
      <c r="D97" s="2">
        <f>C97-C72</f>
        <v>13</v>
      </c>
      <c r="E97" s="5">
        <f>'First-hand detail'!H51</f>
        <v>1.4153001299739927</v>
      </c>
    </row>
    <row r="98" spans="1:5" x14ac:dyDescent="0.25">
      <c r="A98" s="2" t="s">
        <v>110</v>
      </c>
      <c r="B98" s="2" t="s">
        <v>15</v>
      </c>
      <c r="C98" s="2">
        <v>2015</v>
      </c>
      <c r="D98" s="2">
        <f>C98-C72</f>
        <v>13</v>
      </c>
      <c r="E98" s="5">
        <f>'First-hand detail'!H52</f>
        <v>0.97983500317764083</v>
      </c>
    </row>
    <row r="99" spans="1:5" x14ac:dyDescent="0.25">
      <c r="A99" s="2" t="s">
        <v>110</v>
      </c>
      <c r="B99" s="2" t="s">
        <v>15</v>
      </c>
      <c r="C99" s="2">
        <v>2016</v>
      </c>
      <c r="D99" s="2">
        <f>C99-C72</f>
        <v>14</v>
      </c>
      <c r="E99" s="5">
        <f>'First-hand detail'!H52</f>
        <v>0.97983500317764083</v>
      </c>
    </row>
    <row r="100" spans="1:5" x14ac:dyDescent="0.25">
      <c r="A100" s="2" t="s">
        <v>110</v>
      </c>
      <c r="B100" s="2" t="s">
        <v>15</v>
      </c>
      <c r="C100" s="2">
        <v>2016</v>
      </c>
      <c r="D100" s="2">
        <f>C100-C72</f>
        <v>14</v>
      </c>
      <c r="E100" s="5">
        <f>'First-hand detail'!H53</f>
        <v>0.5610927314579971</v>
      </c>
    </row>
    <row r="101" spans="1:5" x14ac:dyDescent="0.25">
      <c r="A101" s="2" t="s">
        <v>110</v>
      </c>
      <c r="B101" s="2" t="s">
        <v>15</v>
      </c>
      <c r="C101" s="2">
        <v>2017</v>
      </c>
      <c r="D101" s="2">
        <f>C101-C72</f>
        <v>15</v>
      </c>
      <c r="E101" s="5">
        <f>'First-hand detail'!H53</f>
        <v>0.5610927314579971</v>
      </c>
    </row>
    <row r="102" spans="1:5" x14ac:dyDescent="0.25">
      <c r="A102" s="2" t="s">
        <v>279</v>
      </c>
      <c r="B102" s="2" t="s">
        <v>27</v>
      </c>
      <c r="C102" s="2">
        <v>2022.25</v>
      </c>
      <c r="D102" s="2">
        <f>C102-C102</f>
        <v>0</v>
      </c>
      <c r="E102" s="5">
        <f>'Hyperscalers first-hand'!K10</f>
        <v>0.5730701131853253</v>
      </c>
    </row>
    <row r="103" spans="1:5" x14ac:dyDescent="0.25">
      <c r="A103" s="2" t="s">
        <v>279</v>
      </c>
      <c r="B103" s="2" t="s">
        <v>27</v>
      </c>
      <c r="C103" s="2">
        <v>2022.5</v>
      </c>
      <c r="D103" s="2">
        <f>C103-C102</f>
        <v>0.25</v>
      </c>
      <c r="E103" s="5">
        <f>'Hyperscalers first-hand'!K11</f>
        <v>0.5864811530014008</v>
      </c>
    </row>
    <row r="104" spans="1:5" x14ac:dyDescent="0.25">
      <c r="A104" s="2" t="s">
        <v>279</v>
      </c>
      <c r="B104" s="2" t="s">
        <v>27</v>
      </c>
      <c r="C104" s="2">
        <v>2022.75</v>
      </c>
      <c r="D104" s="2">
        <f>C104-C102</f>
        <v>0.5</v>
      </c>
      <c r="E104" s="5">
        <f>'Hyperscalers first-hand'!K12</f>
        <v>0.60253195060750864</v>
      </c>
    </row>
    <row r="105" spans="1:5" x14ac:dyDescent="0.25">
      <c r="A105" s="2" t="s">
        <v>279</v>
      </c>
      <c r="B105" s="2" t="s">
        <v>27</v>
      </c>
      <c r="C105" s="2">
        <v>2023</v>
      </c>
      <c r="D105" s="2">
        <f>C105-C102</f>
        <v>0.75</v>
      </c>
      <c r="E105" s="5">
        <f>'Hyperscalers first-hand'!K13</f>
        <v>0.60733985939750912</v>
      </c>
    </row>
    <row r="106" spans="1:5" x14ac:dyDescent="0.25">
      <c r="A106" s="2" t="s">
        <v>279</v>
      </c>
      <c r="B106" s="2" t="s">
        <v>27</v>
      </c>
      <c r="C106" s="2">
        <v>2023.25</v>
      </c>
      <c r="D106" s="2">
        <f>C106-C102</f>
        <v>1</v>
      </c>
      <c r="E106" s="5">
        <f>'Hyperscalers first-hand'!K14</f>
        <v>0.59446486942910759</v>
      </c>
    </row>
    <row r="107" spans="1:5" x14ac:dyDescent="0.25">
      <c r="A107" s="2" t="s">
        <v>279</v>
      </c>
      <c r="B107" s="2" t="s">
        <v>27</v>
      </c>
      <c r="C107" s="2">
        <v>2023.5</v>
      </c>
      <c r="D107" s="2">
        <f>C107-C102</f>
        <v>1.25</v>
      </c>
      <c r="E107" s="5">
        <f>'Hyperscalers first-hand'!K15</f>
        <v>0.57274850970987568</v>
      </c>
    </row>
    <row r="108" spans="1:5" x14ac:dyDescent="0.25">
      <c r="A108" s="2" t="s">
        <v>279</v>
      </c>
      <c r="B108" s="2" t="s">
        <v>27</v>
      </c>
      <c r="C108" s="2">
        <v>2023.75</v>
      </c>
      <c r="D108" s="2">
        <f>C108-C102</f>
        <v>1.5</v>
      </c>
      <c r="E108" s="5">
        <f>'Hyperscalers first-hand'!K16</f>
        <v>0.55245214217629957</v>
      </c>
    </row>
    <row r="109" spans="1:5" x14ac:dyDescent="0.25">
      <c r="A109" s="2" t="s">
        <v>279</v>
      </c>
      <c r="B109" s="2" t="s">
        <v>27</v>
      </c>
      <c r="C109" s="2">
        <v>2024</v>
      </c>
      <c r="D109" s="2">
        <f>C109-C102</f>
        <v>1.75</v>
      </c>
      <c r="E109" s="5">
        <f>'Hyperscalers first-hand'!K17</f>
        <v>0.55288086286919258</v>
      </c>
    </row>
    <row r="110" spans="1:5" x14ac:dyDescent="0.25">
      <c r="A110" s="2" t="s">
        <v>279</v>
      </c>
      <c r="B110" s="2" t="s">
        <v>27</v>
      </c>
      <c r="C110" s="2">
        <v>2024.25</v>
      </c>
      <c r="D110" s="2">
        <f>C110-C102</f>
        <v>2</v>
      </c>
      <c r="E110" s="5">
        <f>'Hyperscalers first-hand'!K18</f>
        <v>0.5807995774843101</v>
      </c>
    </row>
    <row r="111" spans="1:5" x14ac:dyDescent="0.25">
      <c r="A111" s="2" t="s">
        <v>279</v>
      </c>
      <c r="B111" s="2" t="s">
        <v>27</v>
      </c>
      <c r="C111" s="2">
        <v>2024.5</v>
      </c>
      <c r="D111" s="2">
        <f>C111-C102</f>
        <v>2.25</v>
      </c>
      <c r="E111" s="5">
        <f>'Hyperscalers first-hand'!K19</f>
        <v>0.64324903141657364</v>
      </c>
    </row>
    <row r="112" spans="1:5" x14ac:dyDescent="0.25">
      <c r="A112" s="2" t="s">
        <v>279</v>
      </c>
      <c r="B112" s="2" t="s">
        <v>27</v>
      </c>
      <c r="C112" s="2">
        <v>2024.75</v>
      </c>
      <c r="D112" s="2">
        <f>C112-C102</f>
        <v>2.5</v>
      </c>
      <c r="E112" s="5">
        <f>'Hyperscalers first-hand'!K20</f>
        <v>0.71603525768196574</v>
      </c>
    </row>
    <row r="113" spans="1:5" x14ac:dyDescent="0.25">
      <c r="A113" s="2" t="s">
        <v>279</v>
      </c>
      <c r="B113" s="2" t="s">
        <v>27</v>
      </c>
      <c r="C113" s="2">
        <v>2025</v>
      </c>
      <c r="D113" s="2">
        <f>C113-C102</f>
        <v>2.75</v>
      </c>
      <c r="E113" s="5">
        <f>'Hyperscalers first-hand'!K21</f>
        <v>0.81849860696069276</v>
      </c>
    </row>
    <row r="114" spans="1:5" x14ac:dyDescent="0.25">
      <c r="A114" s="2" t="s">
        <v>279</v>
      </c>
      <c r="B114" s="2" t="s">
        <v>27</v>
      </c>
      <c r="C114" s="2">
        <v>2025.25</v>
      </c>
      <c r="D114" s="2">
        <f>C114-C102</f>
        <v>3</v>
      </c>
      <c r="E114" s="5">
        <f>'Hyperscalers first-hand'!K22</f>
        <v>0.91833703662583877</v>
      </c>
    </row>
    <row r="115" spans="1:5" x14ac:dyDescent="0.25">
      <c r="A115" s="2" t="s">
        <v>279</v>
      </c>
      <c r="B115" s="2" t="s">
        <v>27</v>
      </c>
      <c r="C115" s="2">
        <v>2025.5</v>
      </c>
      <c r="D115" s="2">
        <f>C115-C102</f>
        <v>3.25</v>
      </c>
      <c r="E115" s="5">
        <f>'Hyperscalers first-hand'!K23</f>
        <v>1.0461527359375726</v>
      </c>
    </row>
    <row r="116" spans="1:5" x14ac:dyDescent="0.25">
      <c r="A116" s="2" t="s">
        <v>279</v>
      </c>
      <c r="B116" s="2" t="s">
        <v>27</v>
      </c>
      <c r="C116" s="2">
        <v>2025.75</v>
      </c>
      <c r="D116" s="2">
        <f>C116-C102</f>
        <v>3.5</v>
      </c>
      <c r="E116" s="5">
        <f>'Hyperscalers first-hand'!K24</f>
        <v>1.1807175084044228</v>
      </c>
    </row>
    <row r="117" spans="1:5" x14ac:dyDescent="0.25">
      <c r="A117" s="2" t="s">
        <v>279</v>
      </c>
      <c r="B117" s="2" t="s">
        <v>27</v>
      </c>
      <c r="C117" s="2">
        <v>2026</v>
      </c>
      <c r="D117" s="2">
        <f>C117-C102</f>
        <v>3.75</v>
      </c>
      <c r="E117" s="5">
        <f>'Hyperscalers first-hand'!K25</f>
        <v>1.3472723802311506</v>
      </c>
    </row>
    <row r="118" spans="1:5" x14ac:dyDescent="0.25">
      <c r="A118" s="2" t="s">
        <v>279</v>
      </c>
      <c r="B118" s="2" t="s">
        <v>27</v>
      </c>
      <c r="C118" s="2">
        <v>2026.25</v>
      </c>
      <c r="D118" s="2">
        <f>C118-C102</f>
        <v>4</v>
      </c>
      <c r="E118" s="5">
        <f>'Hyperscalers first-hand'!K26</f>
        <v>1.5485607128019017</v>
      </c>
    </row>
    <row r="119" spans="1:5" x14ac:dyDescent="0.25">
      <c r="A119" s="2" t="s">
        <v>279</v>
      </c>
      <c r="B119" s="2" t="s">
        <v>27</v>
      </c>
      <c r="C119" s="2">
        <v>2026.5</v>
      </c>
      <c r="D119" s="2">
        <f>C119-C102</f>
        <v>4.25</v>
      </c>
      <c r="E119" s="5">
        <f>'Hyperscalers first-hand'!K27</f>
        <v>1.803229353902648</v>
      </c>
    </row>
    <row r="120" spans="1:5" x14ac:dyDescent="0.25">
      <c r="A120" s="2" t="s">
        <v>280</v>
      </c>
      <c r="B120" s="2" t="s">
        <v>28</v>
      </c>
      <c r="C120" s="2">
        <v>2024</v>
      </c>
      <c r="D120" s="2">
        <f>C120-C102</f>
        <v>1.75</v>
      </c>
      <c r="E120" s="5">
        <f>'Hyperscalers first-hand'!S17</f>
        <v>0.56541918768175803</v>
      </c>
    </row>
    <row r="121" spans="1:5" x14ac:dyDescent="0.25">
      <c r="A121" s="2" t="s">
        <v>280</v>
      </c>
      <c r="B121" s="2" t="s">
        <v>28</v>
      </c>
      <c r="C121" s="2">
        <v>2025</v>
      </c>
      <c r="D121" s="2">
        <f>C121-C102</f>
        <v>2.75</v>
      </c>
      <c r="E121" s="5">
        <f>'Hyperscalers first-hand'!S21</f>
        <v>0.87003703236249796</v>
      </c>
    </row>
    <row r="122" spans="1:5" x14ac:dyDescent="0.25">
      <c r="A122" s="2" t="s">
        <v>280</v>
      </c>
      <c r="B122" s="2" t="s">
        <v>28</v>
      </c>
      <c r="C122" s="2">
        <v>2026</v>
      </c>
      <c r="D122" s="2">
        <f>C122-C102</f>
        <v>3.75</v>
      </c>
      <c r="E122" s="5">
        <f>'Hyperscalers first-hand'!S25</f>
        <v>1.4350911267063569</v>
      </c>
    </row>
    <row r="123" spans="1:5" x14ac:dyDescent="0.25">
      <c r="A123" s="2" t="s">
        <v>280</v>
      </c>
      <c r="B123" s="2" t="s">
        <v>28</v>
      </c>
      <c r="C123" s="2">
        <v>2026.25</v>
      </c>
      <c r="D123" s="2">
        <f>C123-C102</f>
        <v>4</v>
      </c>
      <c r="E123" s="5">
        <f>'Hyperscalers first-hand'!S26</f>
        <v>1.6778950259764649</v>
      </c>
    </row>
    <row r="124" spans="1:5" x14ac:dyDescent="0.25">
      <c r="A124" s="2" t="s">
        <v>280</v>
      </c>
      <c r="B124" s="2" t="s">
        <v>28</v>
      </c>
      <c r="C124" s="2">
        <v>2026.5</v>
      </c>
      <c r="D124" s="2">
        <f>C124-C102</f>
        <v>4.25</v>
      </c>
      <c r="E124" s="5">
        <f>'Hyperscalers first-hand'!S27</f>
        <v>2.0067337821122821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7"/>
  <sheetViews>
    <sheetView showGridLines="0" workbookViewId="0"/>
  </sheetViews>
  <sheetFormatPr defaultRowHeight="15.75" x14ac:dyDescent="0.25"/>
  <cols>
    <col min="1" max="1" width="120" customWidth="1"/>
  </cols>
  <sheetData>
    <row r="1" spans="1:1" x14ac:dyDescent="0.25">
      <c r="A1" s="2" t="s">
        <v>281</v>
      </c>
    </row>
    <row r="2" spans="1:1" x14ac:dyDescent="0.25">
      <c r="A2" s="2" t="s">
        <v>282</v>
      </c>
    </row>
    <row r="3" spans="1:1" x14ac:dyDescent="0.25">
      <c r="A3" s="2" t="s">
        <v>283</v>
      </c>
    </row>
    <row r="4" spans="1:1" x14ac:dyDescent="0.25">
      <c r="A4" s="2" t="s">
        <v>284</v>
      </c>
    </row>
    <row r="5" spans="1:1" x14ac:dyDescent="0.25">
      <c r="A5" s="2" t="s">
        <v>285</v>
      </c>
    </row>
    <row r="6" spans="1:1" x14ac:dyDescent="0.25">
      <c r="A6" s="2" t="s">
        <v>286</v>
      </c>
    </row>
    <row r="7" spans="1:1" x14ac:dyDescent="0.25">
      <c r="A7" s="2" t="s">
        <v>287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Summary (first-hand)</vt:lpstr>
      <vt:lpstr>First-hand vs PDF</vt:lpstr>
      <vt:lpstr>First-hand detail</vt:lpstr>
      <vt:lpstr>Chart points</vt:lpstr>
      <vt:lpstr>Annual</vt:lpstr>
      <vt:lpstr>Hyperscalers</vt:lpstr>
      <vt:lpstr>Oracle fiscal quarters</vt:lpstr>
      <vt:lpstr>Hyperscalers first-hand</vt:lpstr>
      <vt:lpstr>Annual (first-hand)</vt:lpstr>
      <vt:lpstr>Chart points (first-hand)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liu kevin</cp:lastModifiedBy>
  <dcterms:created xsi:type="dcterms:W3CDTF">2026-10-15T08:33:56Z</dcterms:created>
  <dcterms:modified xsi:type="dcterms:W3CDTF">2026-10-15T08:58:01Z</dcterms:modified>
</cp:coreProperties>
</file>