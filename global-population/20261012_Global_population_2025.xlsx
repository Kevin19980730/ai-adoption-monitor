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ge pyramid" sheetId="2" state="visible" r:id="rId2"/>
    <sheet xmlns:r="http://schemas.openxmlformats.org/officeDocument/2006/relationships" name="Countries" sheetId="3" state="visible" r:id="rId3"/>
    <sheet xmlns:r="http://schemas.openxmlformats.org/officeDocument/2006/relationships" name="Notes" sheetId="4" state="visible" r:id="rId4"/>
  </sheets>
  <definedNames>
    <definedName name="_xlnm._FilterDatabase" localSheetId="2" hidden="1">'Countries'!$A$4:$BH$222</definedName>
  </definedNames>
  <calcPr calcId="124519" fullCalcOnLoad="1"/>
</workbook>
</file>

<file path=xl/styles.xml><?xml version="1.0" encoding="utf-8"?>
<styleSheet xmlns="http://schemas.openxmlformats.org/spreadsheetml/2006/main">
  <numFmts count="8">
    <numFmt numFmtId="164" formatCode="0.0%;(0.0%);-"/>
    <numFmt numFmtId="165" formatCode="0.0"/>
    <numFmt numFmtId="166" formatCode="0.0%"/>
    <numFmt numFmtId="167" formatCode="+0.0;-0.0;0.0"/>
    <numFmt numFmtId="168" formatCode="#,##0.0;(#,##0.0);-"/>
    <numFmt numFmtId="169" formatCode="0.0&quot;x&quot;"/>
    <numFmt numFmtId="170" formatCode="0.00&quot;x&quot;"/>
    <numFmt numFmtId="171" formatCode="0.000"/>
  </numFmts>
  <fonts count="15">
    <font>
      <name val="Calibri"/>
      <family val="2"/>
      <color theme="1"/>
      <sz val="11"/>
      <scheme val="minor"/>
    </font>
    <font>
      <name val="Arial"/>
      <b val="1"/>
      <sz val="14"/>
    </font>
    <font>
      <name val="Arial"/>
      <i val="1"/>
      <color rgb="00666666"/>
      <sz val="9"/>
    </font>
    <font>
      <name val="Arial"/>
      <b val="1"/>
      <color rgb="00000000"/>
      <sz val="10"/>
    </font>
    <font>
      <name val="Arial"/>
    </font>
    <font>
      <name val="Arial"/>
      <color rgb="000000FF"/>
    </font>
    <font>
      <name val="Arial"/>
      <b val="1"/>
    </font>
    <font>
      <name val="Arial"/>
      <b val="1"/>
      <sz val="12"/>
    </font>
    <font>
      <name val="Arial"/>
      <color rgb="00008000"/>
    </font>
    <font>
      <name val="Arial"/>
      <b val="1"/>
      <color rgb="00000000"/>
      <sz val="14"/>
    </font>
    <font>
      <name val="Arial"/>
      <i val="1"/>
      <color rgb="00000000"/>
      <sz val="9"/>
    </font>
    <font>
      <name val="Arial"/>
      <b val="1"/>
      <color rgb="00000000"/>
      <sz val="12"/>
    </font>
    <font>
      <name val="Arial"/>
      <color rgb="00000000"/>
      <sz val="10"/>
    </font>
    <font>
      <name val="Arial"/>
      <color rgb="00000000"/>
      <sz val="11"/>
    </font>
    <font>
      <name val="Arial"/>
      <color rgb="000000FF"/>
      <sz val="10"/>
    </font>
  </fonts>
  <fills count="3">
    <fill>
      <patternFill/>
    </fill>
    <fill>
      <patternFill patternType="gray125"/>
    </fill>
    <fill>
      <patternFill patternType="solid">
        <fgColor rgb="00D9E1F2"/>
      </patternFill>
    </fill>
  </fills>
  <borders count="3">
    <border>
      <left/>
      <right/>
      <top/>
      <bottom/>
      <diagonal/>
    </border>
    <border>
      <bottom style="thin">
        <color rgb="00000000"/>
      </bottom>
    </border>
    <border>
      <top style="thin">
        <color rgb="00999999"/>
      </top>
    </border>
  </borders>
  <cellStyleXfs count="1">
    <xf numFmtId="0" fontId="0" fillId="0" borderId="0"/>
  </cellStyleXfs>
  <cellXfs count="41">
    <xf numFmtId="0" fontId="0"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3" fillId="0" borderId="1" applyAlignment="1" pivotButton="0" quotePrefix="0" xfId="0">
      <alignment horizontal="left" vertical="bottom" wrapText="1"/>
    </xf>
    <xf numFmtId="0" fontId="3" fillId="0" borderId="1" applyAlignment="1" pivotButton="0" quotePrefix="0" xfId="0">
      <alignment horizontal="center" vertical="bottom" wrapText="1"/>
    </xf>
    <xf numFmtId="0" fontId="12" fillId="0" borderId="0" pivotButton="0" quotePrefix="0" xfId="0"/>
    <xf numFmtId="168" fontId="13" fillId="0" borderId="0" pivotButton="0" quotePrefix="0" xfId="0"/>
    <xf numFmtId="168" fontId="3" fillId="0" borderId="0" pivotButton="0" quotePrefix="0" xfId="0"/>
    <xf numFmtId="164" fontId="13" fillId="0" borderId="0" pivotButton="0" quotePrefix="0" xfId="0"/>
    <xf numFmtId="0" fontId="13" fillId="0" borderId="0" pivotButton="0" quotePrefix="0" xfId="0"/>
    <xf numFmtId="0" fontId="3" fillId="2" borderId="2" pivotButton="0" quotePrefix="0" xfId="0"/>
    <xf numFmtId="168" fontId="3" fillId="2" borderId="2" pivotButton="0" quotePrefix="0" xfId="0"/>
    <xf numFmtId="164" fontId="3" fillId="2" borderId="2" pivotButton="0" quotePrefix="0" xfId="0"/>
    <xf numFmtId="0" fontId="3" fillId="2" borderId="0" pivotButton="0" quotePrefix="0" xfId="0"/>
    <xf numFmtId="168" fontId="3" fillId="2" borderId="0" pivotButton="0" quotePrefix="0" xfId="0"/>
    <xf numFmtId="164" fontId="3" fillId="2" borderId="0" pivotButton="0" quotePrefix="0" xfId="0"/>
    <xf numFmtId="0" fontId="0" fillId="2" borderId="0" pivotButton="0" quotePrefix="0" xfId="0"/>
    <xf numFmtId="1" fontId="3" fillId="2" borderId="0" pivotButton="0" quotePrefix="0" xfId="0"/>
    <xf numFmtId="165" fontId="13" fillId="0" borderId="0" pivotButton="0" quotePrefix="0" xfId="0"/>
    <xf numFmtId="164" fontId="3" fillId="0" borderId="0" pivotButton="0" quotePrefix="0" xfId="0"/>
    <xf numFmtId="168" fontId="12" fillId="0" borderId="0" pivotButton="0" quotePrefix="0" xfId="0"/>
    <xf numFmtId="168" fontId="14" fillId="0" borderId="0" pivotButton="0" quotePrefix="0" xfId="0"/>
    <xf numFmtId="169" fontId="12" fillId="0" borderId="0" pivotButton="0" quotePrefix="0" xfId="0"/>
    <xf numFmtId="166" fontId="14" fillId="0" borderId="0" pivotButton="0" quotePrefix="0" xfId="0"/>
    <xf numFmtId="170" fontId="13" fillId="0" borderId="0" pivotButton="0" quotePrefix="0" xfId="0"/>
    <xf numFmtId="170" fontId="3" fillId="2" borderId="0" pivotButton="0" quotePrefix="0" xfId="0"/>
    <xf numFmtId="171" fontId="13" fillId="0" borderId="0" pivotButton="0" quotePrefix="0" xfId="0"/>
    <xf numFmtId="165" fontId="3" fillId="2" borderId="0" pivotButton="0" quotePrefix="0" xfId="0"/>
    <xf numFmtId="3" fontId="14" fillId="0" borderId="0" pivotButton="0" quotePrefix="0" xfId="0"/>
    <xf numFmtId="3" fontId="13" fillId="0" borderId="0" pivotButton="0" quotePrefix="0" xfId="0"/>
    <xf numFmtId="3" fontId="3" fillId="0" borderId="0" pivotButton="0" quotePrefix="0" xfId="0"/>
    <xf numFmtId="10" fontId="13" fillId="0" borderId="0" pivotButton="0" quotePrefix="0" xfId="0"/>
    <xf numFmtId="167" fontId="13" fillId="0" borderId="0" pivotButton="0" quotePrefix="0" xfId="0"/>
    <xf numFmtId="166" fontId="13" fillId="0" borderId="0" pivotButton="0" quotePrefix="0" xfId="0"/>
    <xf numFmtId="3" fontId="5" fillId="0" borderId="0" pivotButton="0" quotePrefix="0" xfId="0"/>
    <xf numFmtId="166" fontId="5" fillId="0" borderId="0" pivotButton="0" quotePrefix="0" xfId="0"/>
    <xf numFmtId="3" fontId="3" fillId="2" borderId="0" pivotButton="0" quotePrefix="0" xfId="0"/>
    <xf numFmtId="166" fontId="3" fillId="2" borderId="0" pivotButton="0" quotePrefix="0" xfId="0"/>
    <xf numFmtId="0" fontId="9"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build_xlsx.py</author>
  </authors>
  <commentList>
    <comment ref="B111" authorId="0" shapeId="0">
      <text>
        <t>CNNIC Policy &amp; International Cooperation Dept., Generative AI Application Development Report (2026), released at the 7th China Internet Basic Resources Conference (late Sep 2026): "over 700 million" users, penetration above 50%. Lower bound; all ages, not limited to 15-64.</t>
      </text>
    </comment>
    <comment ref="B112" authorId="0" shapeId="0">
      <text>
        <t>CNNIC 57th Statistical Report on China's Internet Development (Dec 2025): 602 million, penetration 42.8%.</t>
      </text>
    </comment>
    <comment ref="B116" authorId="0" shapeId="0">
      <text>
        <t>Microsoft AI Diffusion Report Q2 2026: "In June, AI usage was 18.8% of the working-age population worldwide".</t>
      </text>
    </comment>
  </commentList>
</comments>
</file>

<file path=xl/comments/comment2.xml><?xml version="1.0" encoding="utf-8"?>
<comments xmlns="http://schemas.openxmlformats.org/spreadsheetml/2006/main">
  <authors>
    <author>build_xlsx.py</author>
  </authors>
  <commentList>
    <comment ref="AR5" authorId="0" shapeId="0">
      <text>
        <t>No official Indian statistic (MoSPI, TRAI, MeitY) exists. Non-representative sample that the author calls an upper bound: shown for reference, not added to totals. Alternate: IAMAI-Kantar Internet in India 2025: 44% of active internet users used AI-enabled features (broad; unverified). Quote: 34.9% report any work-related use, and 67.1% report any use.</t>
      </text>
    </comment>
    <comment ref="AR6" authorId="0" shapeId="0">
      <text>
        <t>Alternate: CNNIC Generative AI Application Development Report (2026), released 2026-09-29: over 700M users, penetration above 50% at June 2026. That figure is a CNNIC model estimate from network data platforms, not a survey. Quote: 截至2025年12月，我国生成式人工智能用户规模达6.02亿人……在整体人口中的普及率达42.8%</t>
      </text>
    </comment>
    <comment ref="AR7" authorId="0" shapeId="0">
      <text>
        <t>Nationally representative online survey of 18-64 year-olds; no Census Bureau/BLS population figure exists. Alternate: Q1 2026: 57.9%; July 2024: 44.6%. Outside work only: 54.8%. Quote: 2026-04-01: 61.78 (percent of adults aged 18-64)</t>
      </text>
    </comment>
    <comment ref="AR8" authorId="0" shapeId="0">
      <text>
        <t>Broad measure (includes voice assistants such as Siri), base not stated on the slide (respondents are Indonesians 13+; may be internet users only), and down from 27.3% in 2025 without explanation: shown for reference, not added to totals. User count assumes all people 13+. Alternate: APJII 2025: 27.3%. Quote: AKSES TERHADAP ARTIFICIAL INTELLIGENCE ... 2026: YA 18.2% / TIDAK 81.8%</t>
      </text>
    </comment>
    <comment ref="AR9" authorId="0" shapeId="0">
      <text>
        <t>No Pakistan Bureau of Statistics or PTA figure exists. Old (March 2024) commercial survey: shown for reference, not added to totals. Quote: Usage of Gen.AI 2.4% ~6 Million Users</t>
      </text>
    </comment>
    <comment ref="AR10" authorId="0" shapeId="0">
      <text>
        <t>No official national statistic exists. Gallup asks about AI in general (with local tool examples), and the study was run with Microsoft, so it is not independent of the Microsoft column. Shown for reference, not added to totals. Quote: In Nigeria ... even though only 20% have ever used it.</t>
      </text>
    </comment>
    <comment ref="AR11" authorId="0" shapeId="0">
      <text>
        <t>Share of internet users. The 50 million user count is CETIC.br's figure as reported at the launch (press coverage). Quote: 32% dos usuarios de Internet utilizaram ferramentas de Inteligencia Artificial (IA) generativa nos tres meses anteriores</t>
      </text>
    </comment>
    <comment ref="AR12" authorId="0" shapeId="0">
      <text>
        <t>No official national statistic exists. Gallup asks about AI in general (with local tool examples), and the study was run with Microsoft, so it is not independent of the Microsoft column. Shown for reference, not added to totals. Quote: Bangladesh: daily 1.8%, weekly 3.4%, monthly or less 4.9%</t>
      </text>
    </comment>
    <comment ref="AR13" authorId="0" shapeId="0">
      <text>
        <t>Share of internet users; the user count applies 88% internet use (VTsIOM reports 12% of adults do not use the internet, June-July 2026). Rosstat has no published figure yet. Alternate: Same survey: 58% of internet users use it weekly or more. Quote: 78% российских интернет-пользователей обращались к нейросетям за последний год (2025 г. – 73%)</t>
      </text>
    </comment>
    <comment ref="AR16" authorId="0" shapeId="0">
      <text>
        <t>Online quota panel of internet users, not weighted to the population: an upper bound. Ever used, not recent use. Alternate: Same survey, ages 20+ only: 52.2% (prior year 26.7%, ages 20-69). Quote: 何らかの生成AIサービスを「使っている（過去使ったことがある）」と回答した割合は、日本において58.8%であった。</t>
      </text>
    </comment>
    <comment ref="AR17" authorId="0" shapeId="0">
      <text>
        <t>No official national statistic exists. Gallup asks about AI in general (with local tool examples), and the study was run with Microsoft, so it is not independent of the Microsoft column. Shown for reference, not added to totals. Quote: Egypt: daily 8.6%, weekly 5.9%, monthly or less 7.1%</t>
      </text>
    </comment>
    <comment ref="AR21" authorId="0" shapeId="0">
      <text>
        <t>Built from a self-rated ability question (can work with AI tools to some extent, or use them professionally). Quote: 32.3 درصد از افراد بالای 15 سال کشور از ابزارهای هوش مصنوعی (حرفه‌ای یا غیرحرفه‌ای) استفاده می‌کنند</t>
      </text>
    </comment>
    <comment ref="AR22" authorId="0" shapeId="0">
      <text>
        <t>Quote: 17.2% of individuals aged 16-74</t>
      </text>
    </comment>
    <comment ref="AR23" authorId="0" shapeId="0">
      <text>
        <t>Quote: 32.2% of individuals aged 16-74</t>
      </text>
    </comment>
    <comment ref="AR26" authorId="0" shapeId="0">
      <text>
        <t>Alternate: Ofcom Technology Tracker 2026: 48% of adult internet users used GenAI tools in the past 12 months. Quote: Just over half of adults (54%) say they use AI tools compared to three in ten (31%) last year.</t>
      </text>
    </comment>
    <comment ref="AR27" authorId="0" shapeId="0">
      <text>
        <t>Quote: 37.5% of individuals aged 16-74</t>
      </text>
    </comment>
    <comment ref="AR28" authorId="0" shapeId="0">
      <text>
        <t>No official national statistic exists. Gallup asks about AI in general (with local tool examples), and the study was run with Microsoft, so it is not independent of the Microsoft column. Shown for reference, not added to totals. Quote: South Africa: daily 12.4%, weekly 8.5%, monthly or less 5.3%</t>
      </text>
    </comment>
    <comment ref="AR29" authorId="0" shapeId="0">
      <text>
        <t>Quote: 19.9% of individuals aged 16-74</t>
      </text>
    </comment>
    <comment ref="AR30" authorId="0" shapeId="0">
      <text>
        <t>No official national statistic exists. Gallup asks about AI in general (with local tool examples), and the study was run with Microsoft, so it is not independent of the Microsoft column. Shown for reference, not added to totals. Quote: Kenya: daily 11.3%, weekly 7.4%, monthly or less 3.9%</t>
      </text>
    </comment>
    <comment ref="AR32" authorId="0" shapeId="0">
      <text>
        <t>Share of internet users; the user count applies the same bulletin's 79.3% internet use rate for people aged 5+. Broad AI definition. Quote: de las personas de 5 y mas anos que usaron Internet el 18,0% utilizaron herramientas de IA</t>
      </text>
    </comment>
    <comment ref="AR33" authorId="0" shapeId="0">
      <text>
        <t>Share of internet users, not of all people; user count applies the survey's 95.0% internet use rate. Alternate: 2024: 33.3%; 2023: 17.6%. ChatGPT alone 41.8%. Quote: 생성형 AI 서비스를 경험해 봤다는 응답은 2024년 33.3%에서 2025년 44.5%로 11.2%p 증가했으며</t>
      </text>
    </comment>
    <comment ref="AR36" authorId="0" shapeId="0">
      <text>
        <t>Quote: 37.9% of individuals aged 16-74</t>
      </text>
    </comment>
    <comment ref="AR39" authorId="0" shapeId="0">
      <text>
        <t>No INDEC figure exists. Private university, online panel (online adults only): shown for reference, not added to totals. Quote: casi la mitad (45.5%) de las personas encuestadas utiliza IA para fines personales</t>
      </text>
    </comment>
    <comment ref="AR42" authorId="0" shapeId="0">
      <text>
        <t>Statistics Canada publishes generative-AI use for workers only (22% in Sep 2024 - Jul 2025). Ever tried; early 2025. Alternate: Statistics Canada, Canadian Survey on Working Conditions: 30% of workers aged 15-69 used generative AI (July 2025). Quote: Two-thirds of Canadians (66%) have tried a GenAI tool, yet only about 30% use them daily or weekly</t>
      </text>
    </comment>
    <comment ref="AR44" authorId="0" shapeId="0">
      <text>
        <t>Age range 18-70 is from earlier waves of the study and is not confirmed for 2025. World Bank population for Ukraine is uncertain because of the war. Alternate: KIIS May 2025: 26% have practical experience with AI. Quote: 42% дорослих і 70% підлітків користуються інструментами ШІ</t>
      </text>
    </comment>
    <comment ref="AR45" authorId="0" shapeId="0">
      <text>
        <t>Alternate: Gallup World Poll 2026 (15+): about 31% have ever used AI. Quote: Utilisation d'une application de l'intelligence artificielle ... National 24,1% (2023) 27,5% (2024)</t>
      </text>
    </comment>
    <comment ref="AR47" authorId="0" shapeId="0">
      <text>
        <t>Share of internet users (internet penetration about 99.6%). Age range 10-74 taken from press breakdowns, not confirmed in the full report. Quote: the adoption rate of AI tools among internet users in Saudi Arabia reached 45.2%</t>
      </text>
    </comment>
    <comment ref="AR48" authorId="0" shapeId="0">
      <text>
        <t>Quote: 22.7% of individuals aged 16-74</t>
      </text>
    </comment>
    <comment ref="AR51" authorId="0" shapeId="0">
      <text>
        <t>No official national statistic exists. Gallup asks about AI in general (with local tool examples), and the study was run with Microsoft, so it is not independent of the Microsoft column. Shown for reference, not added to totals. Quote: Ghana: daily 12.1%, weekly 8.4%, monthly or less 5.4%</t>
      </text>
    </comment>
    <comment ref="AR52" authorId="0" shapeId="0">
      <text>
        <t>Quote: Las herramientas de inteligencia artificial (IA) figuraron en el tercer lugar de los mas empleados con 16.3 %.</t>
      </text>
    </comment>
    <comment ref="AR59" authorId="0" shapeId="0">
      <text>
        <t>No official ABS/ACMA figure exists. Online panel, co-produced with Google; ever used. Alternate: Australian Digital Inclusion Index 2025 (RMIT/Swinburne): 45.6% recently used a generative AI tool (2024 data). Quote: Based on this definition, 48.6 per cent of Australians say that they have used Generative AI.</t>
      </text>
    </comment>
    <comment ref="B64" authorId="0" shapeId="0">
      <text>
        <t>Residual: World Bank World aggregate minus the 217 listed economies (WB includes Taiwan in World but does not publish it)</t>
      </text>
    </comment>
    <comment ref="AR64" authorId="0" shapeId="0">
      <text>
        <t>Alternate: MODA (Ministry of Digital Affairs), Oct-Nov 2025: 44.3% of people aged 12+ have ever used an AI tool. Quote: 整體而言，台灣有 43.19%民眾使用過生成式 AI（上網者中則佔48.67%）</t>
      </text>
    </comment>
    <comment ref="AR70" authorId="0" shapeId="0">
      <text>
        <t>No INE or SUBTEL figure exists. Private university, online panel, any AI: shown for reference, not added to totals. Quote: Un 60% de las personas senala si utilizar Inteligencia Artificial en su vida cotidiana</t>
      </text>
    </comment>
    <comment ref="AR72" authorId="0" shapeId="0">
      <text>
        <t>Quote: 17.8% of individuals aged 16-74</t>
      </text>
    </comment>
    <comment ref="AR76" authorId="0" shapeId="0">
      <text>
        <t>Quote: 44.7% of individuals aged 16-74</t>
      </text>
    </comment>
    <comment ref="AR86" authorId="0" shapeId="0">
      <text>
        <t>Quote: 42.0% of individuals aged 16-74</t>
      </text>
    </comment>
    <comment ref="AR93" authorId="0" shapeId="0">
      <text>
        <t>Quote: 35.4% of individuals aged 16-74</t>
      </text>
    </comment>
    <comment ref="AR94" authorId="0" shapeId="0">
      <text>
        <t>Quote: 38.7% of individuals aged 16-74</t>
      </text>
    </comment>
    <comment ref="AR97" authorId="0" shapeId="0">
      <text>
        <t>Quote: 42.0% of individuals aged 16-74</t>
      </text>
    </comment>
    <comment ref="AR98" authorId="0" shapeId="0">
      <text>
        <t>Quote: 44.1% of individuals aged 16-74</t>
      </text>
    </comment>
    <comment ref="AR101" authorId="0" shapeId="0">
      <text>
        <t>Quote: 29.6% of individuals aged 16-74</t>
      </text>
    </comment>
    <comment ref="AR102" authorId="0" shapeId="0">
      <text>
        <t>Quote: 39.4% of individuals aged 16-74</t>
      </text>
    </comment>
    <comment ref="AR103" authorId="0" shapeId="0">
      <text>
        <t>Quote: 47.0% of individuals aged 16-74</t>
      </text>
    </comment>
    <comment ref="AR114" authorId="0" shapeId="0">
      <text>
        <t>Quote: 18.6% of individuals aged 16-74</t>
      </text>
    </comment>
    <comment ref="AR116" authorId="0" shapeId="0">
      <text>
        <t>Quote: 22.5% of individuals aged 16-74</t>
      </text>
    </comment>
    <comment ref="AR118" authorId="0" shapeId="0">
      <text>
        <t>No official all-resident figure exists. Covers citizens and permanent residents aged 21+ who could answer in English; the user count applies it to everyone aged 21+, including foreign residents. Alternate: IMDA Digital Economy Report 2026: 85.7% of workers use AI tools at work (workers only). Quote: 64.0% of respondents reported using AI chatbots</t>
      </text>
    </comment>
    <comment ref="AR119" authorId="0" shapeId="0">
      <text>
        <t>Quote: 48.4% of individuals aged 16-74</t>
      </text>
    </comment>
    <comment ref="AR122" authorId="0" shapeId="0">
      <text>
        <t>Quote: 46.3% of individuals aged 16-74</t>
      </text>
    </comment>
    <comment ref="AR123" authorId="0" shapeId="0">
      <text>
        <t>Quote: 56.3% of individuals aged 16-74</t>
      </text>
    </comment>
    <comment ref="AR126" authorId="0" shapeId="0">
      <text>
        <t>Quote: 44.9% of individuals aged 16-74</t>
      </text>
    </comment>
    <comment ref="AR127" authorId="0" shapeId="0">
      <text>
        <t>Quote: 30.8% of individuals aged 16-74</t>
      </text>
    </comment>
    <comment ref="AR129" authorId="0" shapeId="0">
      <text>
        <t>Loose measure (familiar with OR used) and no Stats NZ figure: shown for reference, not added to totals. User count assumes 95% internet use. Alternate: InternetNZ Internet Insights 2025: 79% of online adults used some AI in the past 12 months. Quote: Around 60% of New Zealand Internet users are familiar with or have used AI tools.</t>
      </text>
    </comment>
    <comment ref="AR135" authorId="0" shapeId="0">
      <text>
        <t>Quote: 27.5% of individuals aged 16-74</t>
      </text>
    </comment>
    <comment ref="AR140" authorId="0" shapeId="0">
      <text>
        <t>Quote: 20.3% of individuals aged 16-74</t>
      </text>
    </comment>
    <comment ref="AR144" authorId="0" shapeId="0">
      <text>
        <t>Quote: 36.9% of individuals aged 16-74</t>
      </text>
    </comment>
    <comment ref="AR151" authorId="0" shapeId="0">
      <text>
        <t>Quote: 27.3% of individuals aged 16-74</t>
      </text>
    </comment>
    <comment ref="AR153" authorId="0" shapeId="0">
      <text>
        <t>Quote: 37.6% of individuals aged 16-74</t>
      </text>
    </comment>
    <comment ref="AR155" authorId="0" shapeId="0">
      <text>
        <t>Quote: 33.4% of individuals aged 16-74</t>
      </text>
    </comment>
    <comment ref="AR156" authorId="0" shapeId="0">
      <text>
        <t>Quote: 22.0% of individuals aged 16-74</t>
      </text>
    </comment>
    <comment ref="AR158" authorId="0" shapeId="0">
      <text>
        <t>Quote: 44.9% of individuals aged 16-74</t>
      </text>
    </comment>
    <comment ref="AR160" authorId="0" shapeId="0">
      <text>
        <t>Quote: 44.2% of individuals aged 16-74</t>
      </text>
    </comment>
    <comment ref="AR162" authorId="0" shapeId="0">
      <text>
        <t>Quote: 46.6% of individuals aged 16-74</t>
      </text>
    </comment>
    <comment ref="AR171" authorId="0" shapeId="0">
      <text>
        <t>Quote: 42.5% of individuals aged 16-74</t>
      </text>
    </comment>
    <comment ref="AR175" authorId="0" shapeId="0">
      <text>
        <t>Quote: 46.5% of individuals aged 16-74</t>
      </text>
    </comment>
    <comment ref="AN223" authorId="0" shapeId="0">
      <text>
        <t>Population-weighted share across the measured economies (AI users / 15-64 pop where measured).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R13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0" customWidth="1" min="2" max="2"/>
    <col width="2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s>
  <sheetData>
    <row r="1">
      <c r="A1" s="1" t="inlineStr">
        <is>
          <t>Global population 2025 — by region, income level and age (millions)</t>
        </is>
      </c>
    </row>
    <row r="2">
      <c r="A2" s="2" t="inlineStr">
        <is>
          <t>Source: World Bank WDI (population by 5-year age band &amp; sex, updated 2026-07-01; income groups = World Bank FY2027 classification, regions = World Bank). All cells are SUMIFS on the Countries sheet.</t>
        </is>
      </c>
    </row>
    <row r="3"/>
    <row r="4">
      <c r="A4" s="3" t="inlineStr">
        <is>
          <t>1. By region</t>
        </is>
      </c>
    </row>
    <row r="5">
      <c r="A5" s="4" t="inlineStr">
        <is>
          <t>Region</t>
        </is>
      </c>
      <c r="B5" s="5" t="inlineStr">
        <is>
          <t>0-14</t>
        </is>
      </c>
      <c r="C5" s="5" t="inlineStr">
        <is>
          <t>15-24</t>
        </is>
      </c>
      <c r="D5" s="5" t="inlineStr">
        <is>
          <t>25-34</t>
        </is>
      </c>
      <c r="E5" s="5" t="inlineStr">
        <is>
          <t>35-44</t>
        </is>
      </c>
      <c r="F5" s="5" t="inlineStr">
        <is>
          <t>45-54</t>
        </is>
      </c>
      <c r="G5" s="5" t="inlineStr">
        <is>
          <t>55-64</t>
        </is>
      </c>
      <c r="H5" s="5" t="inlineStr">
        <is>
          <t>65+</t>
        </is>
      </c>
      <c r="I5" s="5" t="inlineStr">
        <is>
          <t>Total</t>
        </is>
      </c>
      <c r="J5" s="5" t="inlineStr">
        <is>
          <t>% of world</t>
        </is>
      </c>
      <c r="K5" s="5" t="inlineStr">
        <is>
          <t>% 0-14</t>
        </is>
      </c>
      <c r="L5" s="5" t="inlineStr">
        <is>
          <t>% 15-24</t>
        </is>
      </c>
      <c r="M5" s="5" t="inlineStr">
        <is>
          <t>% 25-34</t>
        </is>
      </c>
      <c r="N5" s="5" t="inlineStr">
        <is>
          <t>% 35-44</t>
        </is>
      </c>
      <c r="O5" s="5" t="inlineStr">
        <is>
          <t>% 45-54</t>
        </is>
      </c>
      <c r="P5" s="5" t="inlineStr">
        <is>
          <t>% 55-64</t>
        </is>
      </c>
      <c r="Q5" s="5" t="inlineStr">
        <is>
          <t>% 65+</t>
        </is>
      </c>
      <c r="R5" s="5" t="inlineStr">
        <is>
          <t>Countries</t>
        </is>
      </c>
    </row>
    <row r="6">
      <c r="A6" s="6" t="inlineStr">
        <is>
          <t>East Asia &amp; Pacific</t>
        </is>
      </c>
      <c r="B6" s="7">
        <f>SUMIFS(Countries!$X$5:$X$222,Countries!$C$5:$C$222,"East Asia &amp; Pacific")/1000000</f>
        <v/>
      </c>
      <c r="C6" s="7">
        <f>SUMIFS(Countries!$Y$5:$Y$222,Countries!$C$5:$C$222,"East Asia &amp; Pacific")/1000000</f>
        <v/>
      </c>
      <c r="D6" s="7">
        <f>SUMIFS(Countries!$Z$5:$Z$222,Countries!$C$5:$C$222,"East Asia &amp; Pacific")/1000000</f>
        <v/>
      </c>
      <c r="E6" s="7">
        <f>SUMIFS(Countries!$AA$5:$AA$222,Countries!$C$5:$C$222,"East Asia &amp; Pacific")/1000000</f>
        <v/>
      </c>
      <c r="F6" s="7">
        <f>SUMIFS(Countries!$AB$5:$AB$222,Countries!$C$5:$C$222,"East Asia &amp; Pacific")/1000000</f>
        <v/>
      </c>
      <c r="G6" s="7">
        <f>SUMIFS(Countries!$AC$5:$AC$222,Countries!$C$5:$C$222,"East Asia &amp; Pacific")/1000000</f>
        <v/>
      </c>
      <c r="H6" s="7">
        <f>SUMIFS(Countries!$AD$5:$AD$222,Countries!$C$5:$C$222,"East Asia &amp; Pacific")/1000000</f>
        <v/>
      </c>
      <c r="I6" s="8">
        <f>SUM(B6:H6)</f>
        <v/>
      </c>
      <c r="J6" s="9">
        <f>I6/I$13</f>
        <v/>
      </c>
      <c r="K6" s="9">
        <f>IF($I6&gt;0,B6/$I6,0)</f>
        <v/>
      </c>
      <c r="L6" s="9">
        <f>IF($I6&gt;0,C6/$I6,0)</f>
        <v/>
      </c>
      <c r="M6" s="9">
        <f>IF($I6&gt;0,D6/$I6,0)</f>
        <v/>
      </c>
      <c r="N6" s="9">
        <f>IF($I6&gt;0,E6/$I6,0)</f>
        <v/>
      </c>
      <c r="O6" s="9">
        <f>IF($I6&gt;0,F6/$I6,0)</f>
        <v/>
      </c>
      <c r="P6" s="9">
        <f>IF($I6&gt;0,G6/$I6,0)</f>
        <v/>
      </c>
      <c r="Q6" s="9">
        <f>IF($I6&gt;0,H6/$I6,0)</f>
        <v/>
      </c>
      <c r="R6" s="10">
        <f>COUNTIFS(Countries!$C$5:$C$222,"East Asia &amp; Pacific")</f>
        <v/>
      </c>
    </row>
    <row r="7">
      <c r="A7" s="6" t="inlineStr">
        <is>
          <t>South Asia</t>
        </is>
      </c>
      <c r="B7" s="7">
        <f>SUMIFS(Countries!$X$5:$X$222,Countries!$C$5:$C$222,"South Asia")/1000000</f>
        <v/>
      </c>
      <c r="C7" s="7">
        <f>SUMIFS(Countries!$Y$5:$Y$222,Countries!$C$5:$C$222,"South Asia")/1000000</f>
        <v/>
      </c>
      <c r="D7" s="7">
        <f>SUMIFS(Countries!$Z$5:$Z$222,Countries!$C$5:$C$222,"South Asia")/1000000</f>
        <v/>
      </c>
      <c r="E7" s="7">
        <f>SUMIFS(Countries!$AA$5:$AA$222,Countries!$C$5:$C$222,"South Asia")/1000000</f>
        <v/>
      </c>
      <c r="F7" s="7">
        <f>SUMIFS(Countries!$AB$5:$AB$222,Countries!$C$5:$C$222,"South Asia")/1000000</f>
        <v/>
      </c>
      <c r="G7" s="7">
        <f>SUMIFS(Countries!$AC$5:$AC$222,Countries!$C$5:$C$222,"South Asia")/1000000</f>
        <v/>
      </c>
      <c r="H7" s="7">
        <f>SUMIFS(Countries!$AD$5:$AD$222,Countries!$C$5:$C$222,"South Asia")/1000000</f>
        <v/>
      </c>
      <c r="I7" s="8">
        <f>SUM(B7:H7)</f>
        <v/>
      </c>
      <c r="J7" s="9">
        <f>I7/I$13</f>
        <v/>
      </c>
      <c r="K7" s="9">
        <f>IF($I7&gt;0,B7/$I7,0)</f>
        <v/>
      </c>
      <c r="L7" s="9">
        <f>IF($I7&gt;0,C7/$I7,0)</f>
        <v/>
      </c>
      <c r="M7" s="9">
        <f>IF($I7&gt;0,D7/$I7,0)</f>
        <v/>
      </c>
      <c r="N7" s="9">
        <f>IF($I7&gt;0,E7/$I7,0)</f>
        <v/>
      </c>
      <c r="O7" s="9">
        <f>IF($I7&gt;0,F7/$I7,0)</f>
        <v/>
      </c>
      <c r="P7" s="9">
        <f>IF($I7&gt;0,G7/$I7,0)</f>
        <v/>
      </c>
      <c r="Q7" s="9">
        <f>IF($I7&gt;0,H7/$I7,0)</f>
        <v/>
      </c>
      <c r="R7" s="10">
        <f>COUNTIFS(Countries!$C$5:$C$222,"South Asia")</f>
        <v/>
      </c>
    </row>
    <row r="8">
      <c r="A8" s="6" t="inlineStr">
        <is>
          <t>Sub-Saharan Africa</t>
        </is>
      </c>
      <c r="B8" s="7">
        <f>SUMIFS(Countries!$X$5:$X$222,Countries!$C$5:$C$222,"Sub-Saharan Africa")/1000000</f>
        <v/>
      </c>
      <c r="C8" s="7">
        <f>SUMIFS(Countries!$Y$5:$Y$222,Countries!$C$5:$C$222,"Sub-Saharan Africa")/1000000</f>
        <v/>
      </c>
      <c r="D8" s="7">
        <f>SUMIFS(Countries!$Z$5:$Z$222,Countries!$C$5:$C$222,"Sub-Saharan Africa")/1000000</f>
        <v/>
      </c>
      <c r="E8" s="7">
        <f>SUMIFS(Countries!$AA$5:$AA$222,Countries!$C$5:$C$222,"Sub-Saharan Africa")/1000000</f>
        <v/>
      </c>
      <c r="F8" s="7">
        <f>SUMIFS(Countries!$AB$5:$AB$222,Countries!$C$5:$C$222,"Sub-Saharan Africa")/1000000</f>
        <v/>
      </c>
      <c r="G8" s="7">
        <f>SUMIFS(Countries!$AC$5:$AC$222,Countries!$C$5:$C$222,"Sub-Saharan Africa")/1000000</f>
        <v/>
      </c>
      <c r="H8" s="7">
        <f>SUMIFS(Countries!$AD$5:$AD$222,Countries!$C$5:$C$222,"Sub-Saharan Africa")/1000000</f>
        <v/>
      </c>
      <c r="I8" s="8">
        <f>SUM(B8:H8)</f>
        <v/>
      </c>
      <c r="J8" s="9">
        <f>I8/I$13</f>
        <v/>
      </c>
      <c r="K8" s="9">
        <f>IF($I8&gt;0,B8/$I8,0)</f>
        <v/>
      </c>
      <c r="L8" s="9">
        <f>IF($I8&gt;0,C8/$I8,0)</f>
        <v/>
      </c>
      <c r="M8" s="9">
        <f>IF($I8&gt;0,D8/$I8,0)</f>
        <v/>
      </c>
      <c r="N8" s="9">
        <f>IF($I8&gt;0,E8/$I8,0)</f>
        <v/>
      </c>
      <c r="O8" s="9">
        <f>IF($I8&gt;0,F8/$I8,0)</f>
        <v/>
      </c>
      <c r="P8" s="9">
        <f>IF($I8&gt;0,G8/$I8,0)</f>
        <v/>
      </c>
      <c r="Q8" s="9">
        <f>IF($I8&gt;0,H8/$I8,0)</f>
        <v/>
      </c>
      <c r="R8" s="10">
        <f>COUNTIFS(Countries!$C$5:$C$222,"Sub-Saharan Africa")</f>
        <v/>
      </c>
    </row>
    <row r="9">
      <c r="A9" s="6" t="inlineStr">
        <is>
          <t>Europe &amp; Central Asia</t>
        </is>
      </c>
      <c r="B9" s="7">
        <f>SUMIFS(Countries!$X$5:$X$222,Countries!$C$5:$C$222,"Europe &amp; Central Asia")/1000000</f>
        <v/>
      </c>
      <c r="C9" s="7">
        <f>SUMIFS(Countries!$Y$5:$Y$222,Countries!$C$5:$C$222,"Europe &amp; Central Asia")/1000000</f>
        <v/>
      </c>
      <c r="D9" s="7">
        <f>SUMIFS(Countries!$Z$5:$Z$222,Countries!$C$5:$C$222,"Europe &amp; Central Asia")/1000000</f>
        <v/>
      </c>
      <c r="E9" s="7">
        <f>SUMIFS(Countries!$AA$5:$AA$222,Countries!$C$5:$C$222,"Europe &amp; Central Asia")/1000000</f>
        <v/>
      </c>
      <c r="F9" s="7">
        <f>SUMIFS(Countries!$AB$5:$AB$222,Countries!$C$5:$C$222,"Europe &amp; Central Asia")/1000000</f>
        <v/>
      </c>
      <c r="G9" s="7">
        <f>SUMIFS(Countries!$AC$5:$AC$222,Countries!$C$5:$C$222,"Europe &amp; Central Asia")/1000000</f>
        <v/>
      </c>
      <c r="H9" s="7">
        <f>SUMIFS(Countries!$AD$5:$AD$222,Countries!$C$5:$C$222,"Europe &amp; Central Asia")/1000000</f>
        <v/>
      </c>
      <c r="I9" s="8">
        <f>SUM(B9:H9)</f>
        <v/>
      </c>
      <c r="J9" s="9">
        <f>I9/I$13</f>
        <v/>
      </c>
      <c r="K9" s="9">
        <f>IF($I9&gt;0,B9/$I9,0)</f>
        <v/>
      </c>
      <c r="L9" s="9">
        <f>IF($I9&gt;0,C9/$I9,0)</f>
        <v/>
      </c>
      <c r="M9" s="9">
        <f>IF($I9&gt;0,D9/$I9,0)</f>
        <v/>
      </c>
      <c r="N9" s="9">
        <f>IF($I9&gt;0,E9/$I9,0)</f>
        <v/>
      </c>
      <c r="O9" s="9">
        <f>IF($I9&gt;0,F9/$I9,0)</f>
        <v/>
      </c>
      <c r="P9" s="9">
        <f>IF($I9&gt;0,G9/$I9,0)</f>
        <v/>
      </c>
      <c r="Q9" s="9">
        <f>IF($I9&gt;0,H9/$I9,0)</f>
        <v/>
      </c>
      <c r="R9" s="10">
        <f>COUNTIFS(Countries!$C$5:$C$222,"Europe &amp; Central Asia")</f>
        <v/>
      </c>
    </row>
    <row r="10">
      <c r="A10" s="6" t="inlineStr">
        <is>
          <t>Middle East, North Africa, Afghanistan &amp; Pakistan</t>
        </is>
      </c>
      <c r="B10" s="7">
        <f>SUMIFS(Countries!$X$5:$X$222,Countries!$C$5:$C$222,"Middle East, North Africa, Afghanistan &amp; Pakistan")/1000000</f>
        <v/>
      </c>
      <c r="C10" s="7">
        <f>SUMIFS(Countries!$Y$5:$Y$222,Countries!$C$5:$C$222,"Middle East, North Africa, Afghanistan &amp; Pakistan")/1000000</f>
        <v/>
      </c>
      <c r="D10" s="7">
        <f>SUMIFS(Countries!$Z$5:$Z$222,Countries!$C$5:$C$222,"Middle East, North Africa, Afghanistan &amp; Pakistan")/1000000</f>
        <v/>
      </c>
      <c r="E10" s="7">
        <f>SUMIFS(Countries!$AA$5:$AA$222,Countries!$C$5:$C$222,"Middle East, North Africa, Afghanistan &amp; Pakistan")/1000000</f>
        <v/>
      </c>
      <c r="F10" s="7">
        <f>SUMIFS(Countries!$AB$5:$AB$222,Countries!$C$5:$C$222,"Middle East, North Africa, Afghanistan &amp; Pakistan")/1000000</f>
        <v/>
      </c>
      <c r="G10" s="7">
        <f>SUMIFS(Countries!$AC$5:$AC$222,Countries!$C$5:$C$222,"Middle East, North Africa, Afghanistan &amp; Pakistan")/1000000</f>
        <v/>
      </c>
      <c r="H10" s="7">
        <f>SUMIFS(Countries!$AD$5:$AD$222,Countries!$C$5:$C$222,"Middle East, North Africa, Afghanistan &amp; Pakistan")/1000000</f>
        <v/>
      </c>
      <c r="I10" s="8">
        <f>SUM(B10:H10)</f>
        <v/>
      </c>
      <c r="J10" s="9">
        <f>I10/I$13</f>
        <v/>
      </c>
      <c r="K10" s="9">
        <f>IF($I10&gt;0,B10/$I10,0)</f>
        <v/>
      </c>
      <c r="L10" s="9">
        <f>IF($I10&gt;0,C10/$I10,0)</f>
        <v/>
      </c>
      <c r="M10" s="9">
        <f>IF($I10&gt;0,D10/$I10,0)</f>
        <v/>
      </c>
      <c r="N10" s="9">
        <f>IF($I10&gt;0,E10/$I10,0)</f>
        <v/>
      </c>
      <c r="O10" s="9">
        <f>IF($I10&gt;0,F10/$I10,0)</f>
        <v/>
      </c>
      <c r="P10" s="9">
        <f>IF($I10&gt;0,G10/$I10,0)</f>
        <v/>
      </c>
      <c r="Q10" s="9">
        <f>IF($I10&gt;0,H10/$I10,0)</f>
        <v/>
      </c>
      <c r="R10" s="10">
        <f>COUNTIFS(Countries!$C$5:$C$222,"Middle East, North Africa, Afghanistan &amp; Pakistan")</f>
        <v/>
      </c>
    </row>
    <row r="11">
      <c r="A11" s="6" t="inlineStr">
        <is>
          <t>Latin America &amp; Caribbean</t>
        </is>
      </c>
      <c r="B11" s="7">
        <f>SUMIFS(Countries!$X$5:$X$222,Countries!$C$5:$C$222,"Latin America &amp; Caribbean")/1000000</f>
        <v/>
      </c>
      <c r="C11" s="7">
        <f>SUMIFS(Countries!$Y$5:$Y$222,Countries!$C$5:$C$222,"Latin America &amp; Caribbean")/1000000</f>
        <v/>
      </c>
      <c r="D11" s="7">
        <f>SUMIFS(Countries!$Z$5:$Z$222,Countries!$C$5:$C$222,"Latin America &amp; Caribbean")/1000000</f>
        <v/>
      </c>
      <c r="E11" s="7">
        <f>SUMIFS(Countries!$AA$5:$AA$222,Countries!$C$5:$C$222,"Latin America &amp; Caribbean")/1000000</f>
        <v/>
      </c>
      <c r="F11" s="7">
        <f>SUMIFS(Countries!$AB$5:$AB$222,Countries!$C$5:$C$222,"Latin America &amp; Caribbean")/1000000</f>
        <v/>
      </c>
      <c r="G11" s="7">
        <f>SUMIFS(Countries!$AC$5:$AC$222,Countries!$C$5:$C$222,"Latin America &amp; Caribbean")/1000000</f>
        <v/>
      </c>
      <c r="H11" s="7">
        <f>SUMIFS(Countries!$AD$5:$AD$222,Countries!$C$5:$C$222,"Latin America &amp; Caribbean")/1000000</f>
        <v/>
      </c>
      <c r="I11" s="8">
        <f>SUM(B11:H11)</f>
        <v/>
      </c>
      <c r="J11" s="9">
        <f>I11/I$13</f>
        <v/>
      </c>
      <c r="K11" s="9">
        <f>IF($I11&gt;0,B11/$I11,0)</f>
        <v/>
      </c>
      <c r="L11" s="9">
        <f>IF($I11&gt;0,C11/$I11,0)</f>
        <v/>
      </c>
      <c r="M11" s="9">
        <f>IF($I11&gt;0,D11/$I11,0)</f>
        <v/>
      </c>
      <c r="N11" s="9">
        <f>IF($I11&gt;0,E11/$I11,0)</f>
        <v/>
      </c>
      <c r="O11" s="9">
        <f>IF($I11&gt;0,F11/$I11,0)</f>
        <v/>
      </c>
      <c r="P11" s="9">
        <f>IF($I11&gt;0,G11/$I11,0)</f>
        <v/>
      </c>
      <c r="Q11" s="9">
        <f>IF($I11&gt;0,H11/$I11,0)</f>
        <v/>
      </c>
      <c r="R11" s="10">
        <f>COUNTIFS(Countries!$C$5:$C$222,"Latin America &amp; Caribbean")</f>
        <v/>
      </c>
    </row>
    <row r="12">
      <c r="A12" s="6" t="inlineStr">
        <is>
          <t>North America</t>
        </is>
      </c>
      <c r="B12" s="7">
        <f>SUMIFS(Countries!$X$5:$X$222,Countries!$C$5:$C$222,"North America")/1000000</f>
        <v/>
      </c>
      <c r="C12" s="7">
        <f>SUMIFS(Countries!$Y$5:$Y$222,Countries!$C$5:$C$222,"North America")/1000000</f>
        <v/>
      </c>
      <c r="D12" s="7">
        <f>SUMIFS(Countries!$Z$5:$Z$222,Countries!$C$5:$C$222,"North America")/1000000</f>
        <v/>
      </c>
      <c r="E12" s="7">
        <f>SUMIFS(Countries!$AA$5:$AA$222,Countries!$C$5:$C$222,"North America")/1000000</f>
        <v/>
      </c>
      <c r="F12" s="7">
        <f>SUMIFS(Countries!$AB$5:$AB$222,Countries!$C$5:$C$222,"North America")/1000000</f>
        <v/>
      </c>
      <c r="G12" s="7">
        <f>SUMIFS(Countries!$AC$5:$AC$222,Countries!$C$5:$C$222,"North America")/1000000</f>
        <v/>
      </c>
      <c r="H12" s="7">
        <f>SUMIFS(Countries!$AD$5:$AD$222,Countries!$C$5:$C$222,"North America")/1000000</f>
        <v/>
      </c>
      <c r="I12" s="8">
        <f>SUM(B12:H12)</f>
        <v/>
      </c>
      <c r="J12" s="9">
        <f>I12/I$13</f>
        <v/>
      </c>
      <c r="K12" s="9">
        <f>IF($I12&gt;0,B12/$I12,0)</f>
        <v/>
      </c>
      <c r="L12" s="9">
        <f>IF($I12&gt;0,C12/$I12,0)</f>
        <v/>
      </c>
      <c r="M12" s="9">
        <f>IF($I12&gt;0,D12/$I12,0)</f>
        <v/>
      </c>
      <c r="N12" s="9">
        <f>IF($I12&gt;0,E12/$I12,0)</f>
        <v/>
      </c>
      <c r="O12" s="9">
        <f>IF($I12&gt;0,F12/$I12,0)</f>
        <v/>
      </c>
      <c r="P12" s="9">
        <f>IF($I12&gt;0,G12/$I12,0)</f>
        <v/>
      </c>
      <c r="Q12" s="9">
        <f>IF($I12&gt;0,H12/$I12,0)</f>
        <v/>
      </c>
      <c r="R12" s="10">
        <f>COUNTIFS(Countries!$C$5:$C$222,"North America")</f>
        <v/>
      </c>
    </row>
    <row r="13">
      <c r="A13" s="11" t="inlineStr">
        <is>
          <t>World</t>
        </is>
      </c>
      <c r="B13" s="12">
        <f>SUM(B6:B12)</f>
        <v/>
      </c>
      <c r="C13" s="12">
        <f>SUM(C6:C12)</f>
        <v/>
      </c>
      <c r="D13" s="12">
        <f>SUM(D6:D12)</f>
        <v/>
      </c>
      <c r="E13" s="12">
        <f>SUM(E6:E12)</f>
        <v/>
      </c>
      <c r="F13" s="12">
        <f>SUM(F6:F12)</f>
        <v/>
      </c>
      <c r="G13" s="12">
        <f>SUM(G6:G12)</f>
        <v/>
      </c>
      <c r="H13" s="12">
        <f>SUM(H6:H12)</f>
        <v/>
      </c>
      <c r="I13" s="12">
        <f>SUM(I6:I12)</f>
        <v/>
      </c>
      <c r="J13" s="13">
        <f>SUM(J6:J12)</f>
        <v/>
      </c>
      <c r="K13" s="13">
        <f>B13/$I13</f>
        <v/>
      </c>
      <c r="L13" s="13">
        <f>C13/$I13</f>
        <v/>
      </c>
      <c r="M13" s="13">
        <f>D13/$I13</f>
        <v/>
      </c>
      <c r="N13" s="13">
        <f>E13/$I13</f>
        <v/>
      </c>
      <c r="O13" s="13">
        <f>F13/$I13</f>
        <v/>
      </c>
      <c r="P13" s="13">
        <f>G13/$I13</f>
        <v/>
      </c>
      <c r="Q13" s="13">
        <f>H13/$I13</f>
        <v/>
      </c>
      <c r="R13" s="11">
        <f>SUM(R6:R12)</f>
        <v/>
      </c>
    </row>
    <row r="14"/>
    <row r="15">
      <c r="A15" s="3" t="inlineStr">
        <is>
          <t>2. By income level</t>
        </is>
      </c>
    </row>
    <row r="16">
      <c r="A16" s="4" t="inlineStr">
        <is>
          <t>Income level</t>
        </is>
      </c>
      <c r="B16" s="5" t="inlineStr">
        <is>
          <t>0-14</t>
        </is>
      </c>
      <c r="C16" s="5" t="inlineStr">
        <is>
          <t>15-24</t>
        </is>
      </c>
      <c r="D16" s="5" t="inlineStr">
        <is>
          <t>25-34</t>
        </is>
      </c>
      <c r="E16" s="5" t="inlineStr">
        <is>
          <t>35-44</t>
        </is>
      </c>
      <c r="F16" s="5" t="inlineStr">
        <is>
          <t>45-54</t>
        </is>
      </c>
      <c r="G16" s="5" t="inlineStr">
        <is>
          <t>55-64</t>
        </is>
      </c>
      <c r="H16" s="5" t="inlineStr">
        <is>
          <t>65+</t>
        </is>
      </c>
      <c r="I16" s="5" t="inlineStr">
        <is>
          <t>Total</t>
        </is>
      </c>
      <c r="J16" s="5" t="inlineStr">
        <is>
          <t>% of world</t>
        </is>
      </c>
      <c r="K16" s="5" t="inlineStr">
        <is>
          <t>% 0-14</t>
        </is>
      </c>
      <c r="L16" s="5" t="inlineStr">
        <is>
          <t>% 15-24</t>
        </is>
      </c>
      <c r="M16" s="5" t="inlineStr">
        <is>
          <t>% 25-34</t>
        </is>
      </c>
      <c r="N16" s="5" t="inlineStr">
        <is>
          <t>% 35-44</t>
        </is>
      </c>
      <c r="O16" s="5" t="inlineStr">
        <is>
          <t>% 45-54</t>
        </is>
      </c>
      <c r="P16" s="5" t="inlineStr">
        <is>
          <t>% 55-64</t>
        </is>
      </c>
      <c r="Q16" s="5" t="inlineStr">
        <is>
          <t>% 65+</t>
        </is>
      </c>
      <c r="R16" s="5" t="inlineStr">
        <is>
          <t>Countries</t>
        </is>
      </c>
    </row>
    <row r="17">
      <c r="A17" s="6" t="inlineStr">
        <is>
          <t>High income</t>
        </is>
      </c>
      <c r="B17" s="7">
        <f>SUMIFS(Countries!$X$5:$X$222,Countries!$D$5:$D$222,"High income")/1000000</f>
        <v/>
      </c>
      <c r="C17" s="7">
        <f>SUMIFS(Countries!$Y$5:$Y$222,Countries!$D$5:$D$222,"High income")/1000000</f>
        <v/>
      </c>
      <c r="D17" s="7">
        <f>SUMIFS(Countries!$Z$5:$Z$222,Countries!$D$5:$D$222,"High income")/1000000</f>
        <v/>
      </c>
      <c r="E17" s="7">
        <f>SUMIFS(Countries!$AA$5:$AA$222,Countries!$D$5:$D$222,"High income")/1000000</f>
        <v/>
      </c>
      <c r="F17" s="7">
        <f>SUMIFS(Countries!$AB$5:$AB$222,Countries!$D$5:$D$222,"High income")/1000000</f>
        <v/>
      </c>
      <c r="G17" s="7">
        <f>SUMIFS(Countries!$AC$5:$AC$222,Countries!$D$5:$D$222,"High income")/1000000</f>
        <v/>
      </c>
      <c r="H17" s="7">
        <f>SUMIFS(Countries!$AD$5:$AD$222,Countries!$D$5:$D$222,"High income")/1000000</f>
        <v/>
      </c>
      <c r="I17" s="8">
        <f>SUM(B17:H17)</f>
        <v/>
      </c>
      <c r="J17" s="9">
        <f>I17/I$21</f>
        <v/>
      </c>
      <c r="K17" s="9">
        <f>IF($I17&gt;0,B17/$I17,0)</f>
        <v/>
      </c>
      <c r="L17" s="9">
        <f>IF($I17&gt;0,C17/$I17,0)</f>
        <v/>
      </c>
      <c r="M17" s="9">
        <f>IF($I17&gt;0,D17/$I17,0)</f>
        <v/>
      </c>
      <c r="N17" s="9">
        <f>IF($I17&gt;0,E17/$I17,0)</f>
        <v/>
      </c>
      <c r="O17" s="9">
        <f>IF($I17&gt;0,F17/$I17,0)</f>
        <v/>
      </c>
      <c r="P17" s="9">
        <f>IF($I17&gt;0,G17/$I17,0)</f>
        <v/>
      </c>
      <c r="Q17" s="9">
        <f>IF($I17&gt;0,H17/$I17,0)</f>
        <v/>
      </c>
      <c r="R17" s="10">
        <f>COUNTIFS(Countries!$D$5:$D$222,"High income")</f>
        <v/>
      </c>
    </row>
    <row r="18">
      <c r="A18" s="6" t="inlineStr">
        <is>
          <t>Upper middle income</t>
        </is>
      </c>
      <c r="B18" s="7">
        <f>SUMIFS(Countries!$X$5:$X$222,Countries!$D$5:$D$222,"Upper middle income")/1000000</f>
        <v/>
      </c>
      <c r="C18" s="7">
        <f>SUMIFS(Countries!$Y$5:$Y$222,Countries!$D$5:$D$222,"Upper middle income")/1000000</f>
        <v/>
      </c>
      <c r="D18" s="7">
        <f>SUMIFS(Countries!$Z$5:$Z$222,Countries!$D$5:$D$222,"Upper middle income")/1000000</f>
        <v/>
      </c>
      <c r="E18" s="7">
        <f>SUMIFS(Countries!$AA$5:$AA$222,Countries!$D$5:$D$222,"Upper middle income")/1000000</f>
        <v/>
      </c>
      <c r="F18" s="7">
        <f>SUMIFS(Countries!$AB$5:$AB$222,Countries!$D$5:$D$222,"Upper middle income")/1000000</f>
        <v/>
      </c>
      <c r="G18" s="7">
        <f>SUMIFS(Countries!$AC$5:$AC$222,Countries!$D$5:$D$222,"Upper middle income")/1000000</f>
        <v/>
      </c>
      <c r="H18" s="7">
        <f>SUMIFS(Countries!$AD$5:$AD$222,Countries!$D$5:$D$222,"Upper middle income")/1000000</f>
        <v/>
      </c>
      <c r="I18" s="8">
        <f>SUM(B18:H18)</f>
        <v/>
      </c>
      <c r="J18" s="9">
        <f>I18/I$21</f>
        <v/>
      </c>
      <c r="K18" s="9">
        <f>IF($I18&gt;0,B18/$I18,0)</f>
        <v/>
      </c>
      <c r="L18" s="9">
        <f>IF($I18&gt;0,C18/$I18,0)</f>
        <v/>
      </c>
      <c r="M18" s="9">
        <f>IF($I18&gt;0,D18/$I18,0)</f>
        <v/>
      </c>
      <c r="N18" s="9">
        <f>IF($I18&gt;0,E18/$I18,0)</f>
        <v/>
      </c>
      <c r="O18" s="9">
        <f>IF($I18&gt;0,F18/$I18,0)</f>
        <v/>
      </c>
      <c r="P18" s="9">
        <f>IF($I18&gt;0,G18/$I18,0)</f>
        <v/>
      </c>
      <c r="Q18" s="9">
        <f>IF($I18&gt;0,H18/$I18,0)</f>
        <v/>
      </c>
      <c r="R18" s="10">
        <f>COUNTIFS(Countries!$D$5:$D$222,"Upper middle income")</f>
        <v/>
      </c>
    </row>
    <row r="19">
      <c r="A19" s="6" t="inlineStr">
        <is>
          <t>Lower middle income</t>
        </is>
      </c>
      <c r="B19" s="7">
        <f>SUMIFS(Countries!$X$5:$X$222,Countries!$D$5:$D$222,"Lower middle income")/1000000</f>
        <v/>
      </c>
      <c r="C19" s="7">
        <f>SUMIFS(Countries!$Y$5:$Y$222,Countries!$D$5:$D$222,"Lower middle income")/1000000</f>
        <v/>
      </c>
      <c r="D19" s="7">
        <f>SUMIFS(Countries!$Z$5:$Z$222,Countries!$D$5:$D$222,"Lower middle income")/1000000</f>
        <v/>
      </c>
      <c r="E19" s="7">
        <f>SUMIFS(Countries!$AA$5:$AA$222,Countries!$D$5:$D$222,"Lower middle income")/1000000</f>
        <v/>
      </c>
      <c r="F19" s="7">
        <f>SUMIFS(Countries!$AB$5:$AB$222,Countries!$D$5:$D$222,"Lower middle income")/1000000</f>
        <v/>
      </c>
      <c r="G19" s="7">
        <f>SUMIFS(Countries!$AC$5:$AC$222,Countries!$D$5:$D$222,"Lower middle income")/1000000</f>
        <v/>
      </c>
      <c r="H19" s="7">
        <f>SUMIFS(Countries!$AD$5:$AD$222,Countries!$D$5:$D$222,"Lower middle income")/1000000</f>
        <v/>
      </c>
      <c r="I19" s="8">
        <f>SUM(B19:H19)</f>
        <v/>
      </c>
      <c r="J19" s="9">
        <f>I19/I$21</f>
        <v/>
      </c>
      <c r="K19" s="9">
        <f>IF($I19&gt;0,B19/$I19,0)</f>
        <v/>
      </c>
      <c r="L19" s="9">
        <f>IF($I19&gt;0,C19/$I19,0)</f>
        <v/>
      </c>
      <c r="M19" s="9">
        <f>IF($I19&gt;0,D19/$I19,0)</f>
        <v/>
      </c>
      <c r="N19" s="9">
        <f>IF($I19&gt;0,E19/$I19,0)</f>
        <v/>
      </c>
      <c r="O19" s="9">
        <f>IF($I19&gt;0,F19/$I19,0)</f>
        <v/>
      </c>
      <c r="P19" s="9">
        <f>IF($I19&gt;0,G19/$I19,0)</f>
        <v/>
      </c>
      <c r="Q19" s="9">
        <f>IF($I19&gt;0,H19/$I19,0)</f>
        <v/>
      </c>
      <c r="R19" s="10">
        <f>COUNTIFS(Countries!$D$5:$D$222,"Lower middle income")</f>
        <v/>
      </c>
    </row>
    <row r="20">
      <c r="A20" s="6" t="inlineStr">
        <is>
          <t>Low income</t>
        </is>
      </c>
      <c r="B20" s="7">
        <f>SUMIFS(Countries!$X$5:$X$222,Countries!$D$5:$D$222,"Low income")/1000000</f>
        <v/>
      </c>
      <c r="C20" s="7">
        <f>SUMIFS(Countries!$Y$5:$Y$222,Countries!$D$5:$D$222,"Low income")/1000000</f>
        <v/>
      </c>
      <c r="D20" s="7">
        <f>SUMIFS(Countries!$Z$5:$Z$222,Countries!$D$5:$D$222,"Low income")/1000000</f>
        <v/>
      </c>
      <c r="E20" s="7">
        <f>SUMIFS(Countries!$AA$5:$AA$222,Countries!$D$5:$D$222,"Low income")/1000000</f>
        <v/>
      </c>
      <c r="F20" s="7">
        <f>SUMIFS(Countries!$AB$5:$AB$222,Countries!$D$5:$D$222,"Low income")/1000000</f>
        <v/>
      </c>
      <c r="G20" s="7">
        <f>SUMIFS(Countries!$AC$5:$AC$222,Countries!$D$5:$D$222,"Low income")/1000000</f>
        <v/>
      </c>
      <c r="H20" s="7">
        <f>SUMIFS(Countries!$AD$5:$AD$222,Countries!$D$5:$D$222,"Low income")/1000000</f>
        <v/>
      </c>
      <c r="I20" s="8">
        <f>SUM(B20:H20)</f>
        <v/>
      </c>
      <c r="J20" s="9">
        <f>I20/I$21</f>
        <v/>
      </c>
      <c r="K20" s="9">
        <f>IF($I20&gt;0,B20/$I20,0)</f>
        <v/>
      </c>
      <c r="L20" s="9">
        <f>IF($I20&gt;0,C20/$I20,0)</f>
        <v/>
      </c>
      <c r="M20" s="9">
        <f>IF($I20&gt;0,D20/$I20,0)</f>
        <v/>
      </c>
      <c r="N20" s="9">
        <f>IF($I20&gt;0,E20/$I20,0)</f>
        <v/>
      </c>
      <c r="O20" s="9">
        <f>IF($I20&gt;0,F20/$I20,0)</f>
        <v/>
      </c>
      <c r="P20" s="9">
        <f>IF($I20&gt;0,G20/$I20,0)</f>
        <v/>
      </c>
      <c r="Q20" s="9">
        <f>IF($I20&gt;0,H20/$I20,0)</f>
        <v/>
      </c>
      <c r="R20" s="10">
        <f>COUNTIFS(Countries!$D$5:$D$222,"Low income")</f>
        <v/>
      </c>
    </row>
    <row r="21">
      <c r="A21" s="11" t="inlineStr">
        <is>
          <t>World</t>
        </is>
      </c>
      <c r="B21" s="12">
        <f>SUM(B17:B20)</f>
        <v/>
      </c>
      <c r="C21" s="12">
        <f>SUM(C17:C20)</f>
        <v/>
      </c>
      <c r="D21" s="12">
        <f>SUM(D17:D20)</f>
        <v/>
      </c>
      <c r="E21" s="12">
        <f>SUM(E17:E20)</f>
        <v/>
      </c>
      <c r="F21" s="12">
        <f>SUM(F17:F20)</f>
        <v/>
      </c>
      <c r="G21" s="12">
        <f>SUM(G17:G20)</f>
        <v/>
      </c>
      <c r="H21" s="12">
        <f>SUM(H17:H20)</f>
        <v/>
      </c>
      <c r="I21" s="12">
        <f>SUM(I17:I20)</f>
        <v/>
      </c>
      <c r="J21" s="13">
        <f>SUM(J17:J20)</f>
        <v/>
      </c>
      <c r="K21" s="13">
        <f>B21/$I21</f>
        <v/>
      </c>
      <c r="L21" s="13">
        <f>C21/$I21</f>
        <v/>
      </c>
      <c r="M21" s="13">
        <f>D21/$I21</f>
        <v/>
      </c>
      <c r="N21" s="13">
        <f>E21/$I21</f>
        <v/>
      </c>
      <c r="O21" s="13">
        <f>F21/$I21</f>
        <v/>
      </c>
      <c r="P21" s="13">
        <f>G21/$I21</f>
        <v/>
      </c>
      <c r="Q21" s="13">
        <f>H21/$I21</f>
        <v/>
      </c>
      <c r="R21" s="11">
        <f>SUM(R17:R20)</f>
        <v/>
      </c>
    </row>
    <row r="22"/>
    <row r="23">
      <c r="A23" s="3" t="inlineStr">
        <is>
          <t>3. Region x income level (millions)</t>
        </is>
      </c>
    </row>
    <row r="24">
      <c r="A24" s="4" t="inlineStr">
        <is>
          <t>Region</t>
        </is>
      </c>
      <c r="B24" s="5" t="inlineStr">
        <is>
          <t>High income</t>
        </is>
      </c>
      <c r="C24" s="5" t="inlineStr">
        <is>
          <t>Upper middle income</t>
        </is>
      </c>
      <c r="D24" s="5" t="inlineStr">
        <is>
          <t>Lower middle income</t>
        </is>
      </c>
      <c r="E24" s="5" t="inlineStr">
        <is>
          <t>Low income</t>
        </is>
      </c>
      <c r="F24" s="5" t="inlineStr">
        <is>
          <t>Total</t>
        </is>
      </c>
      <c r="G24" s="5" t="inlineStr">
        <is>
          <t>% High income</t>
        </is>
      </c>
      <c r="H24" s="5" t="inlineStr">
        <is>
          <t>% Upper middle income</t>
        </is>
      </c>
      <c r="I24" s="5" t="inlineStr">
        <is>
          <t>% Lower middle income</t>
        </is>
      </c>
      <c r="J24" s="5" t="inlineStr">
        <is>
          <t>% Low income</t>
        </is>
      </c>
    </row>
    <row r="25">
      <c r="A25" s="6" t="inlineStr">
        <is>
          <t>East Asia &amp; Pacific</t>
        </is>
      </c>
      <c r="B25" s="7">
        <f>SUMIFS(Countries!$AE$5:$AE$222,Countries!$C$5:$C$222,"East Asia &amp; Pacific",Countries!$D$5:$D$222,"High income")/1000000</f>
        <v/>
      </c>
      <c r="C25" s="7">
        <f>SUMIFS(Countries!$AE$5:$AE$222,Countries!$C$5:$C$222,"East Asia &amp; Pacific",Countries!$D$5:$D$222,"Upper middle income")/1000000</f>
        <v/>
      </c>
      <c r="D25" s="7">
        <f>SUMIFS(Countries!$AE$5:$AE$222,Countries!$C$5:$C$222,"East Asia &amp; Pacific",Countries!$D$5:$D$222,"Lower middle income")/1000000</f>
        <v/>
      </c>
      <c r="E25" s="7">
        <f>SUMIFS(Countries!$AE$5:$AE$222,Countries!$C$5:$C$222,"East Asia &amp; Pacific",Countries!$D$5:$D$222,"Low income")/1000000</f>
        <v/>
      </c>
      <c r="F25" s="8">
        <f>SUM(B25:E25)</f>
        <v/>
      </c>
      <c r="G25" s="9">
        <f>IF($F25&gt;0,B25/$F25,0)</f>
        <v/>
      </c>
      <c r="H25" s="9">
        <f>IF($F25&gt;0,C25/$F25,0)</f>
        <v/>
      </c>
      <c r="I25" s="9">
        <f>IF($F25&gt;0,D25/$F25,0)</f>
        <v/>
      </c>
      <c r="J25" s="9">
        <f>IF($F25&gt;0,E25/$F25,0)</f>
        <v/>
      </c>
    </row>
    <row r="26">
      <c r="A26" s="6" t="inlineStr">
        <is>
          <t>South Asia</t>
        </is>
      </c>
      <c r="B26" s="7">
        <f>SUMIFS(Countries!$AE$5:$AE$222,Countries!$C$5:$C$222,"South Asia",Countries!$D$5:$D$222,"High income")/1000000</f>
        <v/>
      </c>
      <c r="C26" s="7">
        <f>SUMIFS(Countries!$AE$5:$AE$222,Countries!$C$5:$C$222,"South Asia",Countries!$D$5:$D$222,"Upper middle income")/1000000</f>
        <v/>
      </c>
      <c r="D26" s="7">
        <f>SUMIFS(Countries!$AE$5:$AE$222,Countries!$C$5:$C$222,"South Asia",Countries!$D$5:$D$222,"Lower middle income")/1000000</f>
        <v/>
      </c>
      <c r="E26" s="7">
        <f>SUMIFS(Countries!$AE$5:$AE$222,Countries!$C$5:$C$222,"South Asia",Countries!$D$5:$D$222,"Low income")/1000000</f>
        <v/>
      </c>
      <c r="F26" s="8">
        <f>SUM(B26:E26)</f>
        <v/>
      </c>
      <c r="G26" s="9">
        <f>IF($F26&gt;0,B26/$F26,0)</f>
        <v/>
      </c>
      <c r="H26" s="9">
        <f>IF($F26&gt;0,C26/$F26,0)</f>
        <v/>
      </c>
      <c r="I26" s="9">
        <f>IF($F26&gt;0,D26/$F26,0)</f>
        <v/>
      </c>
      <c r="J26" s="9">
        <f>IF($F26&gt;0,E26/$F26,0)</f>
        <v/>
      </c>
    </row>
    <row r="27">
      <c r="A27" s="6" t="inlineStr">
        <is>
          <t>Sub-Saharan Africa</t>
        </is>
      </c>
      <c r="B27" s="7">
        <f>SUMIFS(Countries!$AE$5:$AE$222,Countries!$C$5:$C$222,"Sub-Saharan Africa",Countries!$D$5:$D$222,"High income")/1000000</f>
        <v/>
      </c>
      <c r="C27" s="7">
        <f>SUMIFS(Countries!$AE$5:$AE$222,Countries!$C$5:$C$222,"Sub-Saharan Africa",Countries!$D$5:$D$222,"Upper middle income")/1000000</f>
        <v/>
      </c>
      <c r="D27" s="7">
        <f>SUMIFS(Countries!$AE$5:$AE$222,Countries!$C$5:$C$222,"Sub-Saharan Africa",Countries!$D$5:$D$222,"Lower middle income")/1000000</f>
        <v/>
      </c>
      <c r="E27" s="7">
        <f>SUMIFS(Countries!$AE$5:$AE$222,Countries!$C$5:$C$222,"Sub-Saharan Africa",Countries!$D$5:$D$222,"Low income")/1000000</f>
        <v/>
      </c>
      <c r="F27" s="8">
        <f>SUM(B27:E27)</f>
        <v/>
      </c>
      <c r="G27" s="9">
        <f>IF($F27&gt;0,B27/$F27,0)</f>
        <v/>
      </c>
      <c r="H27" s="9">
        <f>IF($F27&gt;0,C27/$F27,0)</f>
        <v/>
      </c>
      <c r="I27" s="9">
        <f>IF($F27&gt;0,D27/$F27,0)</f>
        <v/>
      </c>
      <c r="J27" s="9">
        <f>IF($F27&gt;0,E27/$F27,0)</f>
        <v/>
      </c>
    </row>
    <row r="28">
      <c r="A28" s="6" t="inlineStr">
        <is>
          <t>Europe &amp; Central Asia</t>
        </is>
      </c>
      <c r="B28" s="7">
        <f>SUMIFS(Countries!$AE$5:$AE$222,Countries!$C$5:$C$222,"Europe &amp; Central Asia",Countries!$D$5:$D$222,"High income")/1000000</f>
        <v/>
      </c>
      <c r="C28" s="7">
        <f>SUMIFS(Countries!$AE$5:$AE$222,Countries!$C$5:$C$222,"Europe &amp; Central Asia",Countries!$D$5:$D$222,"Upper middle income")/1000000</f>
        <v/>
      </c>
      <c r="D28" s="7">
        <f>SUMIFS(Countries!$AE$5:$AE$222,Countries!$C$5:$C$222,"Europe &amp; Central Asia",Countries!$D$5:$D$222,"Lower middle income")/1000000</f>
        <v/>
      </c>
      <c r="E28" s="7">
        <f>SUMIFS(Countries!$AE$5:$AE$222,Countries!$C$5:$C$222,"Europe &amp; Central Asia",Countries!$D$5:$D$222,"Low income")/1000000</f>
        <v/>
      </c>
      <c r="F28" s="8">
        <f>SUM(B28:E28)</f>
        <v/>
      </c>
      <c r="G28" s="9">
        <f>IF($F28&gt;0,B28/$F28,0)</f>
        <v/>
      </c>
      <c r="H28" s="9">
        <f>IF($F28&gt;0,C28/$F28,0)</f>
        <v/>
      </c>
      <c r="I28" s="9">
        <f>IF($F28&gt;0,D28/$F28,0)</f>
        <v/>
      </c>
      <c r="J28" s="9">
        <f>IF($F28&gt;0,E28/$F28,0)</f>
        <v/>
      </c>
    </row>
    <row r="29">
      <c r="A29" s="6" t="inlineStr">
        <is>
          <t>Middle East, North Africa, Afghanistan &amp; Pakistan</t>
        </is>
      </c>
      <c r="B29" s="7">
        <f>SUMIFS(Countries!$AE$5:$AE$222,Countries!$C$5:$C$222,"Middle East, North Africa, Afghanistan &amp; Pakistan",Countries!$D$5:$D$222,"High income")/1000000</f>
        <v/>
      </c>
      <c r="C29" s="7">
        <f>SUMIFS(Countries!$AE$5:$AE$222,Countries!$C$5:$C$222,"Middle East, North Africa, Afghanistan &amp; Pakistan",Countries!$D$5:$D$222,"Upper middle income")/1000000</f>
        <v/>
      </c>
      <c r="D29" s="7">
        <f>SUMIFS(Countries!$AE$5:$AE$222,Countries!$C$5:$C$222,"Middle East, North Africa, Afghanistan &amp; Pakistan",Countries!$D$5:$D$222,"Lower middle income")/1000000</f>
        <v/>
      </c>
      <c r="E29" s="7">
        <f>SUMIFS(Countries!$AE$5:$AE$222,Countries!$C$5:$C$222,"Middle East, North Africa, Afghanistan &amp; Pakistan",Countries!$D$5:$D$222,"Low income")/1000000</f>
        <v/>
      </c>
      <c r="F29" s="8">
        <f>SUM(B29:E29)</f>
        <v/>
      </c>
      <c r="G29" s="9">
        <f>IF($F29&gt;0,B29/$F29,0)</f>
        <v/>
      </c>
      <c r="H29" s="9">
        <f>IF($F29&gt;0,C29/$F29,0)</f>
        <v/>
      </c>
      <c r="I29" s="9">
        <f>IF($F29&gt;0,D29/$F29,0)</f>
        <v/>
      </c>
      <c r="J29" s="9">
        <f>IF($F29&gt;0,E29/$F29,0)</f>
        <v/>
      </c>
    </row>
    <row r="30">
      <c r="A30" s="6" t="inlineStr">
        <is>
          <t>Latin America &amp; Caribbean</t>
        </is>
      </c>
      <c r="B30" s="7">
        <f>SUMIFS(Countries!$AE$5:$AE$222,Countries!$C$5:$C$222,"Latin America &amp; Caribbean",Countries!$D$5:$D$222,"High income")/1000000</f>
        <v/>
      </c>
      <c r="C30" s="7">
        <f>SUMIFS(Countries!$AE$5:$AE$222,Countries!$C$5:$C$222,"Latin America &amp; Caribbean",Countries!$D$5:$D$222,"Upper middle income")/1000000</f>
        <v/>
      </c>
      <c r="D30" s="7">
        <f>SUMIFS(Countries!$AE$5:$AE$222,Countries!$C$5:$C$222,"Latin America &amp; Caribbean",Countries!$D$5:$D$222,"Lower middle income")/1000000</f>
        <v/>
      </c>
      <c r="E30" s="7">
        <f>SUMIFS(Countries!$AE$5:$AE$222,Countries!$C$5:$C$222,"Latin America &amp; Caribbean",Countries!$D$5:$D$222,"Low income")/1000000</f>
        <v/>
      </c>
      <c r="F30" s="8">
        <f>SUM(B30:E30)</f>
        <v/>
      </c>
      <c r="G30" s="9">
        <f>IF($F30&gt;0,B30/$F30,0)</f>
        <v/>
      </c>
      <c r="H30" s="9">
        <f>IF($F30&gt;0,C30/$F30,0)</f>
        <v/>
      </c>
      <c r="I30" s="9">
        <f>IF($F30&gt;0,D30/$F30,0)</f>
        <v/>
      </c>
      <c r="J30" s="9">
        <f>IF($F30&gt;0,E30/$F30,0)</f>
        <v/>
      </c>
    </row>
    <row r="31">
      <c r="A31" s="6" t="inlineStr">
        <is>
          <t>North America</t>
        </is>
      </c>
      <c r="B31" s="7">
        <f>SUMIFS(Countries!$AE$5:$AE$222,Countries!$C$5:$C$222,"North America",Countries!$D$5:$D$222,"High income")/1000000</f>
        <v/>
      </c>
      <c r="C31" s="7">
        <f>SUMIFS(Countries!$AE$5:$AE$222,Countries!$C$5:$C$222,"North America",Countries!$D$5:$D$222,"Upper middle income")/1000000</f>
        <v/>
      </c>
      <c r="D31" s="7">
        <f>SUMIFS(Countries!$AE$5:$AE$222,Countries!$C$5:$C$222,"North America",Countries!$D$5:$D$222,"Lower middle income")/1000000</f>
        <v/>
      </c>
      <c r="E31" s="7">
        <f>SUMIFS(Countries!$AE$5:$AE$222,Countries!$C$5:$C$222,"North America",Countries!$D$5:$D$222,"Low income")/1000000</f>
        <v/>
      </c>
      <c r="F31" s="8">
        <f>SUM(B31:E31)</f>
        <v/>
      </c>
      <c r="G31" s="9">
        <f>IF($F31&gt;0,B31/$F31,0)</f>
        <v/>
      </c>
      <c r="H31" s="9">
        <f>IF($F31&gt;0,C31/$F31,0)</f>
        <v/>
      </c>
      <c r="I31" s="9">
        <f>IF($F31&gt;0,D31/$F31,0)</f>
        <v/>
      </c>
      <c r="J31" s="9">
        <f>IF($F31&gt;0,E31/$F31,0)</f>
        <v/>
      </c>
    </row>
    <row r="32">
      <c r="A32" s="14" t="inlineStr">
        <is>
          <t>World</t>
        </is>
      </c>
      <c r="B32" s="15">
        <f>SUM(B25:B31)</f>
        <v/>
      </c>
      <c r="C32" s="15">
        <f>SUM(C25:C31)</f>
        <v/>
      </c>
      <c r="D32" s="15">
        <f>SUM(D25:D31)</f>
        <v/>
      </c>
      <c r="E32" s="15">
        <f>SUM(E25:E31)</f>
        <v/>
      </c>
      <c r="F32" s="15">
        <f>SUM(F25:F31)</f>
        <v/>
      </c>
      <c r="G32" s="16">
        <f>B32/$F32</f>
        <v/>
      </c>
      <c r="H32" s="16">
        <f>C32/$F32</f>
        <v/>
      </c>
      <c r="I32" s="16">
        <f>D32/$F32</f>
        <v/>
      </c>
      <c r="J32" s="16">
        <f>E32/$F32</f>
        <v/>
      </c>
    </row>
    <row r="33"/>
    <row r="34">
      <c r="A34" s="3" t="inlineStr">
        <is>
          <t>4. Region x income level x age (millions) — every non-empty cell</t>
        </is>
      </c>
    </row>
    <row r="35">
      <c r="A35" s="4" t="inlineStr">
        <is>
          <t>Region</t>
        </is>
      </c>
      <c r="B35" s="5" t="inlineStr">
        <is>
          <t>Income level</t>
        </is>
      </c>
      <c r="C35" s="5" t="inlineStr">
        <is>
          <t>0-14</t>
        </is>
      </c>
      <c r="D35" s="5" t="inlineStr">
        <is>
          <t>15-24</t>
        </is>
      </c>
      <c r="E35" s="5" t="inlineStr">
        <is>
          <t>25-34</t>
        </is>
      </c>
      <c r="F35" s="5" t="inlineStr">
        <is>
          <t>35-44</t>
        </is>
      </c>
      <c r="G35" s="5" t="inlineStr">
        <is>
          <t>45-54</t>
        </is>
      </c>
      <c r="H35" s="5" t="inlineStr">
        <is>
          <t>55-64</t>
        </is>
      </c>
      <c r="I35" s="5" t="inlineStr">
        <is>
          <t>65+</t>
        </is>
      </c>
      <c r="J35" s="5" t="inlineStr">
        <is>
          <t>Total</t>
        </is>
      </c>
      <c r="K35" s="5" t="inlineStr">
        <is>
          <t>Countries</t>
        </is>
      </c>
    </row>
    <row r="36">
      <c r="A36" s="6" t="inlineStr">
        <is>
          <t>East Asia &amp; Pacific</t>
        </is>
      </c>
      <c r="B36" s="6" t="inlineStr">
        <is>
          <t>High income</t>
        </is>
      </c>
      <c r="C36" s="7">
        <f>SUMIFS(Countries!$X$5:$X$222,Countries!$C$5:$C$222,"East Asia &amp; Pacific",Countries!$D$5:$D$222,"High income")/1000000</f>
        <v/>
      </c>
      <c r="D36" s="7">
        <f>SUMIFS(Countries!$Y$5:$Y$222,Countries!$C$5:$C$222,"East Asia &amp; Pacific",Countries!$D$5:$D$222,"High income")/1000000</f>
        <v/>
      </c>
      <c r="E36" s="7">
        <f>SUMIFS(Countries!$Z$5:$Z$222,Countries!$C$5:$C$222,"East Asia &amp; Pacific",Countries!$D$5:$D$222,"High income")/1000000</f>
        <v/>
      </c>
      <c r="F36" s="7">
        <f>SUMIFS(Countries!$AA$5:$AA$222,Countries!$C$5:$C$222,"East Asia &amp; Pacific",Countries!$D$5:$D$222,"High income")/1000000</f>
        <v/>
      </c>
      <c r="G36" s="7">
        <f>SUMIFS(Countries!$AB$5:$AB$222,Countries!$C$5:$C$222,"East Asia &amp; Pacific",Countries!$D$5:$D$222,"High income")/1000000</f>
        <v/>
      </c>
      <c r="H36" s="7">
        <f>SUMIFS(Countries!$AC$5:$AC$222,Countries!$C$5:$C$222,"East Asia &amp; Pacific",Countries!$D$5:$D$222,"High income")/1000000</f>
        <v/>
      </c>
      <c r="I36" s="7">
        <f>SUMIFS(Countries!$AD$5:$AD$222,Countries!$C$5:$C$222,"East Asia &amp; Pacific",Countries!$D$5:$D$222,"High income")/1000000</f>
        <v/>
      </c>
      <c r="J36" s="8">
        <f>SUM(C36:I36)</f>
        <v/>
      </c>
      <c r="K36" s="10">
        <f>COUNTIFS(Countries!$C$5:$C$222,"East Asia &amp; Pacific",Countries!$D$5:$D$222,"High income")</f>
        <v/>
      </c>
    </row>
    <row r="37">
      <c r="A37" s="6" t="inlineStr">
        <is>
          <t>East Asia &amp; Pacific</t>
        </is>
      </c>
      <c r="B37" s="6" t="inlineStr">
        <is>
          <t>Upper middle income</t>
        </is>
      </c>
      <c r="C37" s="7">
        <f>SUMIFS(Countries!$X$5:$X$222,Countries!$C$5:$C$222,"East Asia &amp; Pacific",Countries!$D$5:$D$222,"Upper middle income")/1000000</f>
        <v/>
      </c>
      <c r="D37" s="7">
        <f>SUMIFS(Countries!$Y$5:$Y$222,Countries!$C$5:$C$222,"East Asia &amp; Pacific",Countries!$D$5:$D$222,"Upper middle income")/1000000</f>
        <v/>
      </c>
      <c r="E37" s="7">
        <f>SUMIFS(Countries!$Z$5:$Z$222,Countries!$C$5:$C$222,"East Asia &amp; Pacific",Countries!$D$5:$D$222,"Upper middle income")/1000000</f>
        <v/>
      </c>
      <c r="F37" s="7">
        <f>SUMIFS(Countries!$AA$5:$AA$222,Countries!$C$5:$C$222,"East Asia &amp; Pacific",Countries!$D$5:$D$222,"Upper middle income")/1000000</f>
        <v/>
      </c>
      <c r="G37" s="7">
        <f>SUMIFS(Countries!$AB$5:$AB$222,Countries!$C$5:$C$222,"East Asia &amp; Pacific",Countries!$D$5:$D$222,"Upper middle income")/1000000</f>
        <v/>
      </c>
      <c r="H37" s="7">
        <f>SUMIFS(Countries!$AC$5:$AC$222,Countries!$C$5:$C$222,"East Asia &amp; Pacific",Countries!$D$5:$D$222,"Upper middle income")/1000000</f>
        <v/>
      </c>
      <c r="I37" s="7">
        <f>SUMIFS(Countries!$AD$5:$AD$222,Countries!$C$5:$C$222,"East Asia &amp; Pacific",Countries!$D$5:$D$222,"Upper middle income")/1000000</f>
        <v/>
      </c>
      <c r="J37" s="8">
        <f>SUM(C37:I37)</f>
        <v/>
      </c>
      <c r="K37" s="10">
        <f>COUNTIFS(Countries!$C$5:$C$222,"East Asia &amp; Pacific",Countries!$D$5:$D$222,"Upper middle income")</f>
        <v/>
      </c>
    </row>
    <row r="38">
      <c r="A38" s="6" t="inlineStr">
        <is>
          <t>East Asia &amp; Pacific</t>
        </is>
      </c>
      <c r="B38" s="6" t="inlineStr">
        <is>
          <t>Lower middle income</t>
        </is>
      </c>
      <c r="C38" s="7">
        <f>SUMIFS(Countries!$X$5:$X$222,Countries!$C$5:$C$222,"East Asia &amp; Pacific",Countries!$D$5:$D$222,"Lower middle income")/1000000</f>
        <v/>
      </c>
      <c r="D38" s="7">
        <f>SUMIFS(Countries!$Y$5:$Y$222,Countries!$C$5:$C$222,"East Asia &amp; Pacific",Countries!$D$5:$D$222,"Lower middle income")/1000000</f>
        <v/>
      </c>
      <c r="E38" s="7">
        <f>SUMIFS(Countries!$Z$5:$Z$222,Countries!$C$5:$C$222,"East Asia &amp; Pacific",Countries!$D$5:$D$222,"Lower middle income")/1000000</f>
        <v/>
      </c>
      <c r="F38" s="7">
        <f>SUMIFS(Countries!$AA$5:$AA$222,Countries!$C$5:$C$222,"East Asia &amp; Pacific",Countries!$D$5:$D$222,"Lower middle income")/1000000</f>
        <v/>
      </c>
      <c r="G38" s="7">
        <f>SUMIFS(Countries!$AB$5:$AB$222,Countries!$C$5:$C$222,"East Asia &amp; Pacific",Countries!$D$5:$D$222,"Lower middle income")/1000000</f>
        <v/>
      </c>
      <c r="H38" s="7">
        <f>SUMIFS(Countries!$AC$5:$AC$222,Countries!$C$5:$C$222,"East Asia &amp; Pacific",Countries!$D$5:$D$222,"Lower middle income")/1000000</f>
        <v/>
      </c>
      <c r="I38" s="7">
        <f>SUMIFS(Countries!$AD$5:$AD$222,Countries!$C$5:$C$222,"East Asia &amp; Pacific",Countries!$D$5:$D$222,"Lower middle income")/1000000</f>
        <v/>
      </c>
      <c r="J38" s="8">
        <f>SUM(C38:I38)</f>
        <v/>
      </c>
      <c r="K38" s="10">
        <f>COUNTIFS(Countries!$C$5:$C$222,"East Asia &amp; Pacific",Countries!$D$5:$D$222,"Lower middle income")</f>
        <v/>
      </c>
    </row>
    <row r="39">
      <c r="A39" s="6" t="inlineStr">
        <is>
          <t>East Asia &amp; Pacific</t>
        </is>
      </c>
      <c r="B39" s="6" t="inlineStr">
        <is>
          <t>Low income</t>
        </is>
      </c>
      <c r="C39" s="7">
        <f>SUMIFS(Countries!$X$5:$X$222,Countries!$C$5:$C$222,"East Asia &amp; Pacific",Countries!$D$5:$D$222,"Low income")/1000000</f>
        <v/>
      </c>
      <c r="D39" s="7">
        <f>SUMIFS(Countries!$Y$5:$Y$222,Countries!$C$5:$C$222,"East Asia &amp; Pacific",Countries!$D$5:$D$222,"Low income")/1000000</f>
        <v/>
      </c>
      <c r="E39" s="7">
        <f>SUMIFS(Countries!$Z$5:$Z$222,Countries!$C$5:$C$222,"East Asia &amp; Pacific",Countries!$D$5:$D$222,"Low income")/1000000</f>
        <v/>
      </c>
      <c r="F39" s="7">
        <f>SUMIFS(Countries!$AA$5:$AA$222,Countries!$C$5:$C$222,"East Asia &amp; Pacific",Countries!$D$5:$D$222,"Low income")/1000000</f>
        <v/>
      </c>
      <c r="G39" s="7">
        <f>SUMIFS(Countries!$AB$5:$AB$222,Countries!$C$5:$C$222,"East Asia &amp; Pacific",Countries!$D$5:$D$222,"Low income")/1000000</f>
        <v/>
      </c>
      <c r="H39" s="7">
        <f>SUMIFS(Countries!$AC$5:$AC$222,Countries!$C$5:$C$222,"East Asia &amp; Pacific",Countries!$D$5:$D$222,"Low income")/1000000</f>
        <v/>
      </c>
      <c r="I39" s="7">
        <f>SUMIFS(Countries!$AD$5:$AD$222,Countries!$C$5:$C$222,"East Asia &amp; Pacific",Countries!$D$5:$D$222,"Low income")/1000000</f>
        <v/>
      </c>
      <c r="J39" s="8">
        <f>SUM(C39:I39)</f>
        <v/>
      </c>
      <c r="K39" s="10">
        <f>COUNTIFS(Countries!$C$5:$C$222,"East Asia &amp; Pacific",Countries!$D$5:$D$222,"Low income")</f>
        <v/>
      </c>
    </row>
    <row r="40">
      <c r="A40" s="6" t="inlineStr">
        <is>
          <t>South Asia</t>
        </is>
      </c>
      <c r="B40" s="6" t="inlineStr">
        <is>
          <t>Upper middle income</t>
        </is>
      </c>
      <c r="C40" s="7">
        <f>SUMIFS(Countries!$X$5:$X$222,Countries!$C$5:$C$222,"South Asia",Countries!$D$5:$D$222,"Upper middle income")/1000000</f>
        <v/>
      </c>
      <c r="D40" s="7">
        <f>SUMIFS(Countries!$Y$5:$Y$222,Countries!$C$5:$C$222,"South Asia",Countries!$D$5:$D$222,"Upper middle income")/1000000</f>
        <v/>
      </c>
      <c r="E40" s="7">
        <f>SUMIFS(Countries!$Z$5:$Z$222,Countries!$C$5:$C$222,"South Asia",Countries!$D$5:$D$222,"Upper middle income")/1000000</f>
        <v/>
      </c>
      <c r="F40" s="7">
        <f>SUMIFS(Countries!$AA$5:$AA$222,Countries!$C$5:$C$222,"South Asia",Countries!$D$5:$D$222,"Upper middle income")/1000000</f>
        <v/>
      </c>
      <c r="G40" s="7">
        <f>SUMIFS(Countries!$AB$5:$AB$222,Countries!$C$5:$C$222,"South Asia",Countries!$D$5:$D$222,"Upper middle income")/1000000</f>
        <v/>
      </c>
      <c r="H40" s="7">
        <f>SUMIFS(Countries!$AC$5:$AC$222,Countries!$C$5:$C$222,"South Asia",Countries!$D$5:$D$222,"Upper middle income")/1000000</f>
        <v/>
      </c>
      <c r="I40" s="7">
        <f>SUMIFS(Countries!$AD$5:$AD$222,Countries!$C$5:$C$222,"South Asia",Countries!$D$5:$D$222,"Upper middle income")/1000000</f>
        <v/>
      </c>
      <c r="J40" s="8">
        <f>SUM(C40:I40)</f>
        <v/>
      </c>
      <c r="K40" s="10">
        <f>COUNTIFS(Countries!$C$5:$C$222,"South Asia",Countries!$D$5:$D$222,"Upper middle income")</f>
        <v/>
      </c>
    </row>
    <row r="41">
      <c r="A41" s="6" t="inlineStr">
        <is>
          <t>South Asia</t>
        </is>
      </c>
      <c r="B41" s="6" t="inlineStr">
        <is>
          <t>Lower middle income</t>
        </is>
      </c>
      <c r="C41" s="7">
        <f>SUMIFS(Countries!$X$5:$X$222,Countries!$C$5:$C$222,"South Asia",Countries!$D$5:$D$222,"Lower middle income")/1000000</f>
        <v/>
      </c>
      <c r="D41" s="7">
        <f>SUMIFS(Countries!$Y$5:$Y$222,Countries!$C$5:$C$222,"South Asia",Countries!$D$5:$D$222,"Lower middle income")/1000000</f>
        <v/>
      </c>
      <c r="E41" s="7">
        <f>SUMIFS(Countries!$Z$5:$Z$222,Countries!$C$5:$C$222,"South Asia",Countries!$D$5:$D$222,"Lower middle income")/1000000</f>
        <v/>
      </c>
      <c r="F41" s="7">
        <f>SUMIFS(Countries!$AA$5:$AA$222,Countries!$C$5:$C$222,"South Asia",Countries!$D$5:$D$222,"Lower middle income")/1000000</f>
        <v/>
      </c>
      <c r="G41" s="7">
        <f>SUMIFS(Countries!$AB$5:$AB$222,Countries!$C$5:$C$222,"South Asia",Countries!$D$5:$D$222,"Lower middle income")/1000000</f>
        <v/>
      </c>
      <c r="H41" s="7">
        <f>SUMIFS(Countries!$AC$5:$AC$222,Countries!$C$5:$C$222,"South Asia",Countries!$D$5:$D$222,"Lower middle income")/1000000</f>
        <v/>
      </c>
      <c r="I41" s="7">
        <f>SUMIFS(Countries!$AD$5:$AD$222,Countries!$C$5:$C$222,"South Asia",Countries!$D$5:$D$222,"Lower middle income")/1000000</f>
        <v/>
      </c>
      <c r="J41" s="8">
        <f>SUM(C41:I41)</f>
        <v/>
      </c>
      <c r="K41" s="10">
        <f>COUNTIFS(Countries!$C$5:$C$222,"South Asia",Countries!$D$5:$D$222,"Lower middle income")</f>
        <v/>
      </c>
    </row>
    <row r="42">
      <c r="A42" s="6" t="inlineStr">
        <is>
          <t>Sub-Saharan Africa</t>
        </is>
      </c>
      <c r="B42" s="6" t="inlineStr">
        <is>
          <t>High income</t>
        </is>
      </c>
      <c r="C42" s="7">
        <f>SUMIFS(Countries!$X$5:$X$222,Countries!$C$5:$C$222,"Sub-Saharan Africa",Countries!$D$5:$D$222,"High income")/1000000</f>
        <v/>
      </c>
      <c r="D42" s="7">
        <f>SUMIFS(Countries!$Y$5:$Y$222,Countries!$C$5:$C$222,"Sub-Saharan Africa",Countries!$D$5:$D$222,"High income")/1000000</f>
        <v/>
      </c>
      <c r="E42" s="7">
        <f>SUMIFS(Countries!$Z$5:$Z$222,Countries!$C$5:$C$222,"Sub-Saharan Africa",Countries!$D$5:$D$222,"High income")/1000000</f>
        <v/>
      </c>
      <c r="F42" s="7">
        <f>SUMIFS(Countries!$AA$5:$AA$222,Countries!$C$5:$C$222,"Sub-Saharan Africa",Countries!$D$5:$D$222,"High income")/1000000</f>
        <v/>
      </c>
      <c r="G42" s="7">
        <f>SUMIFS(Countries!$AB$5:$AB$222,Countries!$C$5:$C$222,"Sub-Saharan Africa",Countries!$D$5:$D$222,"High income")/1000000</f>
        <v/>
      </c>
      <c r="H42" s="7">
        <f>SUMIFS(Countries!$AC$5:$AC$222,Countries!$C$5:$C$222,"Sub-Saharan Africa",Countries!$D$5:$D$222,"High income")/1000000</f>
        <v/>
      </c>
      <c r="I42" s="7">
        <f>SUMIFS(Countries!$AD$5:$AD$222,Countries!$C$5:$C$222,"Sub-Saharan Africa",Countries!$D$5:$D$222,"High income")/1000000</f>
        <v/>
      </c>
      <c r="J42" s="8">
        <f>SUM(C42:I42)</f>
        <v/>
      </c>
      <c r="K42" s="10">
        <f>COUNTIFS(Countries!$C$5:$C$222,"Sub-Saharan Africa",Countries!$D$5:$D$222,"High income")</f>
        <v/>
      </c>
    </row>
    <row r="43">
      <c r="A43" s="6" t="inlineStr">
        <is>
          <t>Sub-Saharan Africa</t>
        </is>
      </c>
      <c r="B43" s="6" t="inlineStr">
        <is>
          <t>Upper middle income</t>
        </is>
      </c>
      <c r="C43" s="7">
        <f>SUMIFS(Countries!$X$5:$X$222,Countries!$C$5:$C$222,"Sub-Saharan Africa",Countries!$D$5:$D$222,"Upper middle income")/1000000</f>
        <v/>
      </c>
      <c r="D43" s="7">
        <f>SUMIFS(Countries!$Y$5:$Y$222,Countries!$C$5:$C$222,"Sub-Saharan Africa",Countries!$D$5:$D$222,"Upper middle income")/1000000</f>
        <v/>
      </c>
      <c r="E43" s="7">
        <f>SUMIFS(Countries!$Z$5:$Z$222,Countries!$C$5:$C$222,"Sub-Saharan Africa",Countries!$D$5:$D$222,"Upper middle income")/1000000</f>
        <v/>
      </c>
      <c r="F43" s="7">
        <f>SUMIFS(Countries!$AA$5:$AA$222,Countries!$C$5:$C$222,"Sub-Saharan Africa",Countries!$D$5:$D$222,"Upper middle income")/1000000</f>
        <v/>
      </c>
      <c r="G43" s="7">
        <f>SUMIFS(Countries!$AB$5:$AB$222,Countries!$C$5:$C$222,"Sub-Saharan Africa",Countries!$D$5:$D$222,"Upper middle income")/1000000</f>
        <v/>
      </c>
      <c r="H43" s="7">
        <f>SUMIFS(Countries!$AC$5:$AC$222,Countries!$C$5:$C$222,"Sub-Saharan Africa",Countries!$D$5:$D$222,"Upper middle income")/1000000</f>
        <v/>
      </c>
      <c r="I43" s="7">
        <f>SUMIFS(Countries!$AD$5:$AD$222,Countries!$C$5:$C$222,"Sub-Saharan Africa",Countries!$D$5:$D$222,"Upper middle income")/1000000</f>
        <v/>
      </c>
      <c r="J43" s="8">
        <f>SUM(C43:I43)</f>
        <v/>
      </c>
      <c r="K43" s="10">
        <f>COUNTIFS(Countries!$C$5:$C$222,"Sub-Saharan Africa",Countries!$D$5:$D$222,"Upper middle income")</f>
        <v/>
      </c>
    </row>
    <row r="44">
      <c r="A44" s="6" t="inlineStr">
        <is>
          <t>Sub-Saharan Africa</t>
        </is>
      </c>
      <c r="B44" s="6" t="inlineStr">
        <is>
          <t>Lower middle income</t>
        </is>
      </c>
      <c r="C44" s="7">
        <f>SUMIFS(Countries!$X$5:$X$222,Countries!$C$5:$C$222,"Sub-Saharan Africa",Countries!$D$5:$D$222,"Lower middle income")/1000000</f>
        <v/>
      </c>
      <c r="D44" s="7">
        <f>SUMIFS(Countries!$Y$5:$Y$222,Countries!$C$5:$C$222,"Sub-Saharan Africa",Countries!$D$5:$D$222,"Lower middle income")/1000000</f>
        <v/>
      </c>
      <c r="E44" s="7">
        <f>SUMIFS(Countries!$Z$5:$Z$222,Countries!$C$5:$C$222,"Sub-Saharan Africa",Countries!$D$5:$D$222,"Lower middle income")/1000000</f>
        <v/>
      </c>
      <c r="F44" s="7">
        <f>SUMIFS(Countries!$AA$5:$AA$222,Countries!$C$5:$C$222,"Sub-Saharan Africa",Countries!$D$5:$D$222,"Lower middle income")/1000000</f>
        <v/>
      </c>
      <c r="G44" s="7">
        <f>SUMIFS(Countries!$AB$5:$AB$222,Countries!$C$5:$C$222,"Sub-Saharan Africa",Countries!$D$5:$D$222,"Lower middle income")/1000000</f>
        <v/>
      </c>
      <c r="H44" s="7">
        <f>SUMIFS(Countries!$AC$5:$AC$222,Countries!$C$5:$C$222,"Sub-Saharan Africa",Countries!$D$5:$D$222,"Lower middle income")/1000000</f>
        <v/>
      </c>
      <c r="I44" s="7">
        <f>SUMIFS(Countries!$AD$5:$AD$222,Countries!$C$5:$C$222,"Sub-Saharan Africa",Countries!$D$5:$D$222,"Lower middle income")/1000000</f>
        <v/>
      </c>
      <c r="J44" s="8">
        <f>SUM(C44:I44)</f>
        <v/>
      </c>
      <c r="K44" s="10">
        <f>COUNTIFS(Countries!$C$5:$C$222,"Sub-Saharan Africa",Countries!$D$5:$D$222,"Lower middle income")</f>
        <v/>
      </c>
    </row>
    <row r="45">
      <c r="A45" s="6" t="inlineStr">
        <is>
          <t>Sub-Saharan Africa</t>
        </is>
      </c>
      <c r="B45" s="6" t="inlineStr">
        <is>
          <t>Low income</t>
        </is>
      </c>
      <c r="C45" s="7">
        <f>SUMIFS(Countries!$X$5:$X$222,Countries!$C$5:$C$222,"Sub-Saharan Africa",Countries!$D$5:$D$222,"Low income")/1000000</f>
        <v/>
      </c>
      <c r="D45" s="7">
        <f>SUMIFS(Countries!$Y$5:$Y$222,Countries!$C$5:$C$222,"Sub-Saharan Africa",Countries!$D$5:$D$222,"Low income")/1000000</f>
        <v/>
      </c>
      <c r="E45" s="7">
        <f>SUMIFS(Countries!$Z$5:$Z$222,Countries!$C$5:$C$222,"Sub-Saharan Africa",Countries!$D$5:$D$222,"Low income")/1000000</f>
        <v/>
      </c>
      <c r="F45" s="7">
        <f>SUMIFS(Countries!$AA$5:$AA$222,Countries!$C$5:$C$222,"Sub-Saharan Africa",Countries!$D$5:$D$222,"Low income")/1000000</f>
        <v/>
      </c>
      <c r="G45" s="7">
        <f>SUMIFS(Countries!$AB$5:$AB$222,Countries!$C$5:$C$222,"Sub-Saharan Africa",Countries!$D$5:$D$222,"Low income")/1000000</f>
        <v/>
      </c>
      <c r="H45" s="7">
        <f>SUMIFS(Countries!$AC$5:$AC$222,Countries!$C$5:$C$222,"Sub-Saharan Africa",Countries!$D$5:$D$222,"Low income")/1000000</f>
        <v/>
      </c>
      <c r="I45" s="7">
        <f>SUMIFS(Countries!$AD$5:$AD$222,Countries!$C$5:$C$222,"Sub-Saharan Africa",Countries!$D$5:$D$222,"Low income")/1000000</f>
        <v/>
      </c>
      <c r="J45" s="8">
        <f>SUM(C45:I45)</f>
        <v/>
      </c>
      <c r="K45" s="10">
        <f>COUNTIFS(Countries!$C$5:$C$222,"Sub-Saharan Africa",Countries!$D$5:$D$222,"Low income")</f>
        <v/>
      </c>
    </row>
    <row r="46">
      <c r="A46" s="6" t="inlineStr">
        <is>
          <t>Europe &amp; Central Asia</t>
        </is>
      </c>
      <c r="B46" s="6" t="inlineStr">
        <is>
          <t>High income</t>
        </is>
      </c>
      <c r="C46" s="7">
        <f>SUMIFS(Countries!$X$5:$X$222,Countries!$C$5:$C$222,"Europe &amp; Central Asia",Countries!$D$5:$D$222,"High income")/1000000</f>
        <v/>
      </c>
      <c r="D46" s="7">
        <f>SUMIFS(Countries!$Y$5:$Y$222,Countries!$C$5:$C$222,"Europe &amp; Central Asia",Countries!$D$5:$D$222,"High income")/1000000</f>
        <v/>
      </c>
      <c r="E46" s="7">
        <f>SUMIFS(Countries!$Z$5:$Z$222,Countries!$C$5:$C$222,"Europe &amp; Central Asia",Countries!$D$5:$D$222,"High income")/1000000</f>
        <v/>
      </c>
      <c r="F46" s="7">
        <f>SUMIFS(Countries!$AA$5:$AA$222,Countries!$C$5:$C$222,"Europe &amp; Central Asia",Countries!$D$5:$D$222,"High income")/1000000</f>
        <v/>
      </c>
      <c r="G46" s="7">
        <f>SUMIFS(Countries!$AB$5:$AB$222,Countries!$C$5:$C$222,"Europe &amp; Central Asia",Countries!$D$5:$D$222,"High income")/1000000</f>
        <v/>
      </c>
      <c r="H46" s="7">
        <f>SUMIFS(Countries!$AC$5:$AC$222,Countries!$C$5:$C$222,"Europe &amp; Central Asia",Countries!$D$5:$D$222,"High income")/1000000</f>
        <v/>
      </c>
      <c r="I46" s="7">
        <f>SUMIFS(Countries!$AD$5:$AD$222,Countries!$C$5:$C$222,"Europe &amp; Central Asia",Countries!$D$5:$D$222,"High income")/1000000</f>
        <v/>
      </c>
      <c r="J46" s="8">
        <f>SUM(C46:I46)</f>
        <v/>
      </c>
      <c r="K46" s="10">
        <f>COUNTIFS(Countries!$C$5:$C$222,"Europe &amp; Central Asia",Countries!$D$5:$D$222,"High income")</f>
        <v/>
      </c>
    </row>
    <row r="47">
      <c r="A47" s="6" t="inlineStr">
        <is>
          <t>Europe &amp; Central Asia</t>
        </is>
      </c>
      <c r="B47" s="6" t="inlineStr">
        <is>
          <t>Upper middle income</t>
        </is>
      </c>
      <c r="C47" s="7">
        <f>SUMIFS(Countries!$X$5:$X$222,Countries!$C$5:$C$222,"Europe &amp; Central Asia",Countries!$D$5:$D$222,"Upper middle income")/1000000</f>
        <v/>
      </c>
      <c r="D47" s="7">
        <f>SUMIFS(Countries!$Y$5:$Y$222,Countries!$C$5:$C$222,"Europe &amp; Central Asia",Countries!$D$5:$D$222,"Upper middle income")/1000000</f>
        <v/>
      </c>
      <c r="E47" s="7">
        <f>SUMIFS(Countries!$Z$5:$Z$222,Countries!$C$5:$C$222,"Europe &amp; Central Asia",Countries!$D$5:$D$222,"Upper middle income")/1000000</f>
        <v/>
      </c>
      <c r="F47" s="7">
        <f>SUMIFS(Countries!$AA$5:$AA$222,Countries!$C$5:$C$222,"Europe &amp; Central Asia",Countries!$D$5:$D$222,"Upper middle income")/1000000</f>
        <v/>
      </c>
      <c r="G47" s="7">
        <f>SUMIFS(Countries!$AB$5:$AB$222,Countries!$C$5:$C$222,"Europe &amp; Central Asia",Countries!$D$5:$D$222,"Upper middle income")/1000000</f>
        <v/>
      </c>
      <c r="H47" s="7">
        <f>SUMIFS(Countries!$AC$5:$AC$222,Countries!$C$5:$C$222,"Europe &amp; Central Asia",Countries!$D$5:$D$222,"Upper middle income")/1000000</f>
        <v/>
      </c>
      <c r="I47" s="7">
        <f>SUMIFS(Countries!$AD$5:$AD$222,Countries!$C$5:$C$222,"Europe &amp; Central Asia",Countries!$D$5:$D$222,"Upper middle income")/1000000</f>
        <v/>
      </c>
      <c r="J47" s="8">
        <f>SUM(C47:I47)</f>
        <v/>
      </c>
      <c r="K47" s="10">
        <f>COUNTIFS(Countries!$C$5:$C$222,"Europe &amp; Central Asia",Countries!$D$5:$D$222,"Upper middle income")</f>
        <v/>
      </c>
    </row>
    <row r="48">
      <c r="A48" s="6" t="inlineStr">
        <is>
          <t>Europe &amp; Central Asia</t>
        </is>
      </c>
      <c r="B48" s="6" t="inlineStr">
        <is>
          <t>Lower middle income</t>
        </is>
      </c>
      <c r="C48" s="7">
        <f>SUMIFS(Countries!$X$5:$X$222,Countries!$C$5:$C$222,"Europe &amp; Central Asia",Countries!$D$5:$D$222,"Lower middle income")/1000000</f>
        <v/>
      </c>
      <c r="D48" s="7">
        <f>SUMIFS(Countries!$Y$5:$Y$222,Countries!$C$5:$C$222,"Europe &amp; Central Asia",Countries!$D$5:$D$222,"Lower middle income")/1000000</f>
        <v/>
      </c>
      <c r="E48" s="7">
        <f>SUMIFS(Countries!$Z$5:$Z$222,Countries!$C$5:$C$222,"Europe &amp; Central Asia",Countries!$D$5:$D$222,"Lower middle income")/1000000</f>
        <v/>
      </c>
      <c r="F48" s="7">
        <f>SUMIFS(Countries!$AA$5:$AA$222,Countries!$C$5:$C$222,"Europe &amp; Central Asia",Countries!$D$5:$D$222,"Lower middle income")/1000000</f>
        <v/>
      </c>
      <c r="G48" s="7">
        <f>SUMIFS(Countries!$AB$5:$AB$222,Countries!$C$5:$C$222,"Europe &amp; Central Asia",Countries!$D$5:$D$222,"Lower middle income")/1000000</f>
        <v/>
      </c>
      <c r="H48" s="7">
        <f>SUMIFS(Countries!$AC$5:$AC$222,Countries!$C$5:$C$222,"Europe &amp; Central Asia",Countries!$D$5:$D$222,"Lower middle income")/1000000</f>
        <v/>
      </c>
      <c r="I48" s="7">
        <f>SUMIFS(Countries!$AD$5:$AD$222,Countries!$C$5:$C$222,"Europe &amp; Central Asia",Countries!$D$5:$D$222,"Lower middle income")/1000000</f>
        <v/>
      </c>
      <c r="J48" s="8">
        <f>SUM(C48:I48)</f>
        <v/>
      </c>
      <c r="K48" s="10">
        <f>COUNTIFS(Countries!$C$5:$C$222,"Europe &amp; Central Asia",Countries!$D$5:$D$222,"Lower middle income")</f>
        <v/>
      </c>
    </row>
    <row r="49">
      <c r="A49" s="6" t="inlineStr">
        <is>
          <t>Middle East, North Africa, Afghanistan &amp; Pakistan</t>
        </is>
      </c>
      <c r="B49" s="6" t="inlineStr">
        <is>
          <t>High income</t>
        </is>
      </c>
      <c r="C49" s="7">
        <f>SUMIFS(Countries!$X$5:$X$222,Countries!$C$5:$C$222,"Middle East, North Africa, Afghanistan &amp; Pakistan",Countries!$D$5:$D$222,"High income")/1000000</f>
        <v/>
      </c>
      <c r="D49" s="7">
        <f>SUMIFS(Countries!$Y$5:$Y$222,Countries!$C$5:$C$222,"Middle East, North Africa, Afghanistan &amp; Pakistan",Countries!$D$5:$D$222,"High income")/1000000</f>
        <v/>
      </c>
      <c r="E49" s="7">
        <f>SUMIFS(Countries!$Z$5:$Z$222,Countries!$C$5:$C$222,"Middle East, North Africa, Afghanistan &amp; Pakistan",Countries!$D$5:$D$222,"High income")/1000000</f>
        <v/>
      </c>
      <c r="F49" s="7">
        <f>SUMIFS(Countries!$AA$5:$AA$222,Countries!$C$5:$C$222,"Middle East, North Africa, Afghanistan &amp; Pakistan",Countries!$D$5:$D$222,"High income")/1000000</f>
        <v/>
      </c>
      <c r="G49" s="7">
        <f>SUMIFS(Countries!$AB$5:$AB$222,Countries!$C$5:$C$222,"Middle East, North Africa, Afghanistan &amp; Pakistan",Countries!$D$5:$D$222,"High income")/1000000</f>
        <v/>
      </c>
      <c r="H49" s="7">
        <f>SUMIFS(Countries!$AC$5:$AC$222,Countries!$C$5:$C$222,"Middle East, North Africa, Afghanistan &amp; Pakistan",Countries!$D$5:$D$222,"High income")/1000000</f>
        <v/>
      </c>
      <c r="I49" s="7">
        <f>SUMIFS(Countries!$AD$5:$AD$222,Countries!$C$5:$C$222,"Middle East, North Africa, Afghanistan &amp; Pakistan",Countries!$D$5:$D$222,"High income")/1000000</f>
        <v/>
      </c>
      <c r="J49" s="8">
        <f>SUM(C49:I49)</f>
        <v/>
      </c>
      <c r="K49" s="10">
        <f>COUNTIFS(Countries!$C$5:$C$222,"Middle East, North Africa, Afghanistan &amp; Pakistan",Countries!$D$5:$D$222,"High income")</f>
        <v/>
      </c>
    </row>
    <row r="50">
      <c r="A50" s="6" t="inlineStr">
        <is>
          <t>Middle East, North Africa, Afghanistan &amp; Pakistan</t>
        </is>
      </c>
      <c r="B50" s="6" t="inlineStr">
        <is>
          <t>Upper middle income</t>
        </is>
      </c>
      <c r="C50" s="7">
        <f>SUMIFS(Countries!$X$5:$X$222,Countries!$C$5:$C$222,"Middle East, North Africa, Afghanistan &amp; Pakistan",Countries!$D$5:$D$222,"Upper middle income")/1000000</f>
        <v/>
      </c>
      <c r="D50" s="7">
        <f>SUMIFS(Countries!$Y$5:$Y$222,Countries!$C$5:$C$222,"Middle East, North Africa, Afghanistan &amp; Pakistan",Countries!$D$5:$D$222,"Upper middle income")/1000000</f>
        <v/>
      </c>
      <c r="E50" s="7">
        <f>SUMIFS(Countries!$Z$5:$Z$222,Countries!$C$5:$C$222,"Middle East, North Africa, Afghanistan &amp; Pakistan",Countries!$D$5:$D$222,"Upper middle income")/1000000</f>
        <v/>
      </c>
      <c r="F50" s="7">
        <f>SUMIFS(Countries!$AA$5:$AA$222,Countries!$C$5:$C$222,"Middle East, North Africa, Afghanistan &amp; Pakistan",Countries!$D$5:$D$222,"Upper middle income")/1000000</f>
        <v/>
      </c>
      <c r="G50" s="7">
        <f>SUMIFS(Countries!$AB$5:$AB$222,Countries!$C$5:$C$222,"Middle East, North Africa, Afghanistan &amp; Pakistan",Countries!$D$5:$D$222,"Upper middle income")/1000000</f>
        <v/>
      </c>
      <c r="H50" s="7">
        <f>SUMIFS(Countries!$AC$5:$AC$222,Countries!$C$5:$C$222,"Middle East, North Africa, Afghanistan &amp; Pakistan",Countries!$D$5:$D$222,"Upper middle income")/1000000</f>
        <v/>
      </c>
      <c r="I50" s="7">
        <f>SUMIFS(Countries!$AD$5:$AD$222,Countries!$C$5:$C$222,"Middle East, North Africa, Afghanistan &amp; Pakistan",Countries!$D$5:$D$222,"Upper middle income")/1000000</f>
        <v/>
      </c>
      <c r="J50" s="8">
        <f>SUM(C50:I50)</f>
        <v/>
      </c>
      <c r="K50" s="10">
        <f>COUNTIFS(Countries!$C$5:$C$222,"Middle East, North Africa, Afghanistan &amp; Pakistan",Countries!$D$5:$D$222,"Upper middle income")</f>
        <v/>
      </c>
    </row>
    <row r="51">
      <c r="A51" s="6" t="inlineStr">
        <is>
          <t>Middle East, North Africa, Afghanistan &amp; Pakistan</t>
        </is>
      </c>
      <c r="B51" s="6" t="inlineStr">
        <is>
          <t>Lower middle income</t>
        </is>
      </c>
      <c r="C51" s="7">
        <f>SUMIFS(Countries!$X$5:$X$222,Countries!$C$5:$C$222,"Middle East, North Africa, Afghanistan &amp; Pakistan",Countries!$D$5:$D$222,"Lower middle income")/1000000</f>
        <v/>
      </c>
      <c r="D51" s="7">
        <f>SUMIFS(Countries!$Y$5:$Y$222,Countries!$C$5:$C$222,"Middle East, North Africa, Afghanistan &amp; Pakistan",Countries!$D$5:$D$222,"Lower middle income")/1000000</f>
        <v/>
      </c>
      <c r="E51" s="7">
        <f>SUMIFS(Countries!$Z$5:$Z$222,Countries!$C$5:$C$222,"Middle East, North Africa, Afghanistan &amp; Pakistan",Countries!$D$5:$D$222,"Lower middle income")/1000000</f>
        <v/>
      </c>
      <c r="F51" s="7">
        <f>SUMIFS(Countries!$AA$5:$AA$222,Countries!$C$5:$C$222,"Middle East, North Africa, Afghanistan &amp; Pakistan",Countries!$D$5:$D$222,"Lower middle income")/1000000</f>
        <v/>
      </c>
      <c r="G51" s="7">
        <f>SUMIFS(Countries!$AB$5:$AB$222,Countries!$C$5:$C$222,"Middle East, North Africa, Afghanistan &amp; Pakistan",Countries!$D$5:$D$222,"Lower middle income")/1000000</f>
        <v/>
      </c>
      <c r="H51" s="7">
        <f>SUMIFS(Countries!$AC$5:$AC$222,Countries!$C$5:$C$222,"Middle East, North Africa, Afghanistan &amp; Pakistan",Countries!$D$5:$D$222,"Lower middle income")/1000000</f>
        <v/>
      </c>
      <c r="I51" s="7">
        <f>SUMIFS(Countries!$AD$5:$AD$222,Countries!$C$5:$C$222,"Middle East, North Africa, Afghanistan &amp; Pakistan",Countries!$D$5:$D$222,"Lower middle income")/1000000</f>
        <v/>
      </c>
      <c r="J51" s="8">
        <f>SUM(C51:I51)</f>
        <v/>
      </c>
      <c r="K51" s="10">
        <f>COUNTIFS(Countries!$C$5:$C$222,"Middle East, North Africa, Afghanistan &amp; Pakistan",Countries!$D$5:$D$222,"Lower middle income")</f>
        <v/>
      </c>
    </row>
    <row r="52">
      <c r="A52" s="6" t="inlineStr">
        <is>
          <t>Middle East, North Africa, Afghanistan &amp; Pakistan</t>
        </is>
      </c>
      <c r="B52" s="6" t="inlineStr">
        <is>
          <t>Low income</t>
        </is>
      </c>
      <c r="C52" s="7">
        <f>SUMIFS(Countries!$X$5:$X$222,Countries!$C$5:$C$222,"Middle East, North Africa, Afghanistan &amp; Pakistan",Countries!$D$5:$D$222,"Low income")/1000000</f>
        <v/>
      </c>
      <c r="D52" s="7">
        <f>SUMIFS(Countries!$Y$5:$Y$222,Countries!$C$5:$C$222,"Middle East, North Africa, Afghanistan &amp; Pakistan",Countries!$D$5:$D$222,"Low income")/1000000</f>
        <v/>
      </c>
      <c r="E52" s="7">
        <f>SUMIFS(Countries!$Z$5:$Z$222,Countries!$C$5:$C$222,"Middle East, North Africa, Afghanistan &amp; Pakistan",Countries!$D$5:$D$222,"Low income")/1000000</f>
        <v/>
      </c>
      <c r="F52" s="7">
        <f>SUMIFS(Countries!$AA$5:$AA$222,Countries!$C$5:$C$222,"Middle East, North Africa, Afghanistan &amp; Pakistan",Countries!$D$5:$D$222,"Low income")/1000000</f>
        <v/>
      </c>
      <c r="G52" s="7">
        <f>SUMIFS(Countries!$AB$5:$AB$222,Countries!$C$5:$C$222,"Middle East, North Africa, Afghanistan &amp; Pakistan",Countries!$D$5:$D$222,"Low income")/1000000</f>
        <v/>
      </c>
      <c r="H52" s="7">
        <f>SUMIFS(Countries!$AC$5:$AC$222,Countries!$C$5:$C$222,"Middle East, North Africa, Afghanistan &amp; Pakistan",Countries!$D$5:$D$222,"Low income")/1000000</f>
        <v/>
      </c>
      <c r="I52" s="7">
        <f>SUMIFS(Countries!$AD$5:$AD$222,Countries!$C$5:$C$222,"Middle East, North Africa, Afghanistan &amp; Pakistan",Countries!$D$5:$D$222,"Low income")/1000000</f>
        <v/>
      </c>
      <c r="J52" s="8">
        <f>SUM(C52:I52)</f>
        <v/>
      </c>
      <c r="K52" s="10">
        <f>COUNTIFS(Countries!$C$5:$C$222,"Middle East, North Africa, Afghanistan &amp; Pakistan",Countries!$D$5:$D$222,"Low income")</f>
        <v/>
      </c>
    </row>
    <row r="53">
      <c r="A53" s="6" t="inlineStr">
        <is>
          <t>Latin America &amp; Caribbean</t>
        </is>
      </c>
      <c r="B53" s="6" t="inlineStr">
        <is>
          <t>High income</t>
        </is>
      </c>
      <c r="C53" s="7">
        <f>SUMIFS(Countries!$X$5:$X$222,Countries!$C$5:$C$222,"Latin America &amp; Caribbean",Countries!$D$5:$D$222,"High income")/1000000</f>
        <v/>
      </c>
      <c r="D53" s="7">
        <f>SUMIFS(Countries!$Y$5:$Y$222,Countries!$C$5:$C$222,"Latin America &amp; Caribbean",Countries!$D$5:$D$222,"High income")/1000000</f>
        <v/>
      </c>
      <c r="E53" s="7">
        <f>SUMIFS(Countries!$Z$5:$Z$222,Countries!$C$5:$C$222,"Latin America &amp; Caribbean",Countries!$D$5:$D$222,"High income")/1000000</f>
        <v/>
      </c>
      <c r="F53" s="7">
        <f>SUMIFS(Countries!$AA$5:$AA$222,Countries!$C$5:$C$222,"Latin America &amp; Caribbean",Countries!$D$5:$D$222,"High income")/1000000</f>
        <v/>
      </c>
      <c r="G53" s="7">
        <f>SUMIFS(Countries!$AB$5:$AB$222,Countries!$C$5:$C$222,"Latin America &amp; Caribbean",Countries!$D$5:$D$222,"High income")/1000000</f>
        <v/>
      </c>
      <c r="H53" s="7">
        <f>SUMIFS(Countries!$AC$5:$AC$222,Countries!$C$5:$C$222,"Latin America &amp; Caribbean",Countries!$D$5:$D$222,"High income")/1000000</f>
        <v/>
      </c>
      <c r="I53" s="7">
        <f>SUMIFS(Countries!$AD$5:$AD$222,Countries!$C$5:$C$222,"Latin America &amp; Caribbean",Countries!$D$5:$D$222,"High income")/1000000</f>
        <v/>
      </c>
      <c r="J53" s="8">
        <f>SUM(C53:I53)</f>
        <v/>
      </c>
      <c r="K53" s="10">
        <f>COUNTIFS(Countries!$C$5:$C$222,"Latin America &amp; Caribbean",Countries!$D$5:$D$222,"High income")</f>
        <v/>
      </c>
    </row>
    <row r="54">
      <c r="A54" s="6" t="inlineStr">
        <is>
          <t>Latin America &amp; Caribbean</t>
        </is>
      </c>
      <c r="B54" s="6" t="inlineStr">
        <is>
          <t>Upper middle income</t>
        </is>
      </c>
      <c r="C54" s="7">
        <f>SUMIFS(Countries!$X$5:$X$222,Countries!$C$5:$C$222,"Latin America &amp; Caribbean",Countries!$D$5:$D$222,"Upper middle income")/1000000</f>
        <v/>
      </c>
      <c r="D54" s="7">
        <f>SUMIFS(Countries!$Y$5:$Y$222,Countries!$C$5:$C$222,"Latin America &amp; Caribbean",Countries!$D$5:$D$222,"Upper middle income")/1000000</f>
        <v/>
      </c>
      <c r="E54" s="7">
        <f>SUMIFS(Countries!$Z$5:$Z$222,Countries!$C$5:$C$222,"Latin America &amp; Caribbean",Countries!$D$5:$D$222,"Upper middle income")/1000000</f>
        <v/>
      </c>
      <c r="F54" s="7">
        <f>SUMIFS(Countries!$AA$5:$AA$222,Countries!$C$5:$C$222,"Latin America &amp; Caribbean",Countries!$D$5:$D$222,"Upper middle income")/1000000</f>
        <v/>
      </c>
      <c r="G54" s="7">
        <f>SUMIFS(Countries!$AB$5:$AB$222,Countries!$C$5:$C$222,"Latin America &amp; Caribbean",Countries!$D$5:$D$222,"Upper middle income")/1000000</f>
        <v/>
      </c>
      <c r="H54" s="7">
        <f>SUMIFS(Countries!$AC$5:$AC$222,Countries!$C$5:$C$222,"Latin America &amp; Caribbean",Countries!$D$5:$D$222,"Upper middle income")/1000000</f>
        <v/>
      </c>
      <c r="I54" s="7">
        <f>SUMIFS(Countries!$AD$5:$AD$222,Countries!$C$5:$C$222,"Latin America &amp; Caribbean",Countries!$D$5:$D$222,"Upper middle income")/1000000</f>
        <v/>
      </c>
      <c r="J54" s="8">
        <f>SUM(C54:I54)</f>
        <v/>
      </c>
      <c r="K54" s="10">
        <f>COUNTIFS(Countries!$C$5:$C$222,"Latin America &amp; Caribbean",Countries!$D$5:$D$222,"Upper middle income")</f>
        <v/>
      </c>
    </row>
    <row r="55">
      <c r="A55" s="6" t="inlineStr">
        <is>
          <t>Latin America &amp; Caribbean</t>
        </is>
      </c>
      <c r="B55" s="6" t="inlineStr">
        <is>
          <t>Lower middle income</t>
        </is>
      </c>
      <c r="C55" s="7">
        <f>SUMIFS(Countries!$X$5:$X$222,Countries!$C$5:$C$222,"Latin America &amp; Caribbean",Countries!$D$5:$D$222,"Lower middle income")/1000000</f>
        <v/>
      </c>
      <c r="D55" s="7">
        <f>SUMIFS(Countries!$Y$5:$Y$222,Countries!$C$5:$C$222,"Latin America &amp; Caribbean",Countries!$D$5:$D$222,"Lower middle income")/1000000</f>
        <v/>
      </c>
      <c r="E55" s="7">
        <f>SUMIFS(Countries!$Z$5:$Z$222,Countries!$C$5:$C$222,"Latin America &amp; Caribbean",Countries!$D$5:$D$222,"Lower middle income")/1000000</f>
        <v/>
      </c>
      <c r="F55" s="7">
        <f>SUMIFS(Countries!$AA$5:$AA$222,Countries!$C$5:$C$222,"Latin America &amp; Caribbean",Countries!$D$5:$D$222,"Lower middle income")/1000000</f>
        <v/>
      </c>
      <c r="G55" s="7">
        <f>SUMIFS(Countries!$AB$5:$AB$222,Countries!$C$5:$C$222,"Latin America &amp; Caribbean",Countries!$D$5:$D$222,"Lower middle income")/1000000</f>
        <v/>
      </c>
      <c r="H55" s="7">
        <f>SUMIFS(Countries!$AC$5:$AC$222,Countries!$C$5:$C$222,"Latin America &amp; Caribbean",Countries!$D$5:$D$222,"Lower middle income")/1000000</f>
        <v/>
      </c>
      <c r="I55" s="7">
        <f>SUMIFS(Countries!$AD$5:$AD$222,Countries!$C$5:$C$222,"Latin America &amp; Caribbean",Countries!$D$5:$D$222,"Lower middle income")/1000000</f>
        <v/>
      </c>
      <c r="J55" s="8">
        <f>SUM(C55:I55)</f>
        <v/>
      </c>
      <c r="K55" s="10">
        <f>COUNTIFS(Countries!$C$5:$C$222,"Latin America &amp; Caribbean",Countries!$D$5:$D$222,"Lower middle income")</f>
        <v/>
      </c>
    </row>
    <row r="56">
      <c r="A56" s="6" t="inlineStr">
        <is>
          <t>North America</t>
        </is>
      </c>
      <c r="B56" s="6" t="inlineStr">
        <is>
          <t>High income</t>
        </is>
      </c>
      <c r="C56" s="7">
        <f>SUMIFS(Countries!$X$5:$X$222,Countries!$C$5:$C$222,"North America",Countries!$D$5:$D$222,"High income")/1000000</f>
        <v/>
      </c>
      <c r="D56" s="7">
        <f>SUMIFS(Countries!$Y$5:$Y$222,Countries!$C$5:$C$222,"North America",Countries!$D$5:$D$222,"High income")/1000000</f>
        <v/>
      </c>
      <c r="E56" s="7">
        <f>SUMIFS(Countries!$Z$5:$Z$222,Countries!$C$5:$C$222,"North America",Countries!$D$5:$D$222,"High income")/1000000</f>
        <v/>
      </c>
      <c r="F56" s="7">
        <f>SUMIFS(Countries!$AA$5:$AA$222,Countries!$C$5:$C$222,"North America",Countries!$D$5:$D$222,"High income")/1000000</f>
        <v/>
      </c>
      <c r="G56" s="7">
        <f>SUMIFS(Countries!$AB$5:$AB$222,Countries!$C$5:$C$222,"North America",Countries!$D$5:$D$222,"High income")/1000000</f>
        <v/>
      </c>
      <c r="H56" s="7">
        <f>SUMIFS(Countries!$AC$5:$AC$222,Countries!$C$5:$C$222,"North America",Countries!$D$5:$D$222,"High income")/1000000</f>
        <v/>
      </c>
      <c r="I56" s="7">
        <f>SUMIFS(Countries!$AD$5:$AD$222,Countries!$C$5:$C$222,"North America",Countries!$D$5:$D$222,"High income")/1000000</f>
        <v/>
      </c>
      <c r="J56" s="8">
        <f>SUM(C56:I56)</f>
        <v/>
      </c>
      <c r="K56" s="10">
        <f>COUNTIFS(Countries!$C$5:$C$222,"North America",Countries!$D$5:$D$222,"High income")</f>
        <v/>
      </c>
    </row>
    <row r="57">
      <c r="A57" s="14" t="inlineStr">
        <is>
          <t>World</t>
        </is>
      </c>
      <c r="B57" s="17" t="n"/>
      <c r="C57" s="15">
        <f>SUM(C36:C56)</f>
        <v/>
      </c>
      <c r="D57" s="15">
        <f>SUM(D36:D56)</f>
        <v/>
      </c>
      <c r="E57" s="15">
        <f>SUM(E36:E56)</f>
        <v/>
      </c>
      <c r="F57" s="15">
        <f>SUM(F36:F56)</f>
        <v/>
      </c>
      <c r="G57" s="15">
        <f>SUM(G36:G56)</f>
        <v/>
      </c>
      <c r="H57" s="15">
        <f>SUM(H36:H56)</f>
        <v/>
      </c>
      <c r="I57" s="15">
        <f>SUM(I36:I56)</f>
        <v/>
      </c>
      <c r="J57" s="15">
        <f>SUM(J36:J56)</f>
        <v/>
      </c>
      <c r="K57" s="18">
        <f>SUM(K36:K56)</f>
        <v/>
      </c>
    </row>
    <row r="58"/>
    <row r="59">
      <c r="A59" s="3" t="inlineStr">
        <is>
          <t>5. Top 25 countries (millions)</t>
        </is>
      </c>
    </row>
    <row r="60">
      <c r="A60" s="4" t="inlineStr">
        <is>
          <t>Country</t>
        </is>
      </c>
      <c r="B60" s="5" t="inlineStr">
        <is>
          <t>Region</t>
        </is>
      </c>
      <c r="C60" s="5" t="inlineStr">
        <is>
          <t>Income level</t>
        </is>
      </c>
      <c r="D60" s="5" t="inlineStr">
        <is>
          <t>0-14</t>
        </is>
      </c>
      <c r="E60" s="5" t="inlineStr">
        <is>
          <t>15-24</t>
        </is>
      </c>
      <c r="F60" s="5" t="inlineStr">
        <is>
          <t>25-34</t>
        </is>
      </c>
      <c r="G60" s="5" t="inlineStr">
        <is>
          <t>35-44</t>
        </is>
      </c>
      <c r="H60" s="5" t="inlineStr">
        <is>
          <t>45-54</t>
        </is>
      </c>
      <c r="I60" s="5" t="inlineStr">
        <is>
          <t>55-64</t>
        </is>
      </c>
      <c r="J60" s="5" t="inlineStr">
        <is>
          <t>65+</t>
        </is>
      </c>
      <c r="K60" s="5" t="inlineStr">
        <is>
          <t>Total</t>
        </is>
      </c>
      <c r="L60" s="5" t="inlineStr">
        <is>
          <t>% of world</t>
        </is>
      </c>
      <c r="M60" s="5" t="inlineStr">
        <is>
          <t>Median age</t>
        </is>
      </c>
    </row>
    <row r="61">
      <c r="A61" s="10">
        <f>INDEX(Countries!$B$5:$B$222,MATCH(1,Countries!$AG$5:$AG$222,0))</f>
        <v/>
      </c>
      <c r="B61" s="10">
        <f>INDEX(Countries!$C$5:$C$222,MATCH(1,Countries!$AG$5:$AG$222,0))</f>
        <v/>
      </c>
      <c r="C61" s="10">
        <f>INDEX(Countries!$D$5:$D$222,MATCH(1,Countries!$AG$5:$AG$222,0))</f>
        <v/>
      </c>
      <c r="D61" s="7">
        <f>INDEX(Countries!$X$5:$X$222,MATCH(1,Countries!$AG$5:$AG$222,0))/1000000</f>
        <v/>
      </c>
      <c r="E61" s="7">
        <f>INDEX(Countries!$Y$5:$Y$222,MATCH(1,Countries!$AG$5:$AG$222,0))/1000000</f>
        <v/>
      </c>
      <c r="F61" s="7">
        <f>INDEX(Countries!$Z$5:$Z$222,MATCH(1,Countries!$AG$5:$AG$222,0))/1000000</f>
        <v/>
      </c>
      <c r="G61" s="7">
        <f>INDEX(Countries!$AA$5:$AA$222,MATCH(1,Countries!$AG$5:$AG$222,0))/1000000</f>
        <v/>
      </c>
      <c r="H61" s="7">
        <f>INDEX(Countries!$AB$5:$AB$222,MATCH(1,Countries!$AG$5:$AG$222,0))/1000000</f>
        <v/>
      </c>
      <c r="I61" s="7">
        <f>INDEX(Countries!$AC$5:$AC$222,MATCH(1,Countries!$AG$5:$AG$222,0))/1000000</f>
        <v/>
      </c>
      <c r="J61" s="7">
        <f>INDEX(Countries!$AD$5:$AD$222,MATCH(1,Countries!$AG$5:$AG$222,0))/1000000</f>
        <v/>
      </c>
      <c r="K61" s="8">
        <f>INDEX(Countries!$AE$5:$AE$222,MATCH(1,Countries!$AG$5:$AG$222,0))/1000000</f>
        <v/>
      </c>
      <c r="L61" s="9">
        <f>INDEX(Countries!$AF$5:$AF$222,MATCH(1,Countries!$AG$5:$AG$222,0))</f>
        <v/>
      </c>
      <c r="M61" s="19">
        <f>INDEX(Countries!$AK$5:$AK$222,MATCH(1,Countries!$AG$5:$AG$222,0))</f>
        <v/>
      </c>
    </row>
    <row r="62">
      <c r="A62" s="10">
        <f>INDEX(Countries!$B$5:$B$222,MATCH(2,Countries!$AG$5:$AG$222,0))</f>
        <v/>
      </c>
      <c r="B62" s="10">
        <f>INDEX(Countries!$C$5:$C$222,MATCH(2,Countries!$AG$5:$AG$222,0))</f>
        <v/>
      </c>
      <c r="C62" s="10">
        <f>INDEX(Countries!$D$5:$D$222,MATCH(2,Countries!$AG$5:$AG$222,0))</f>
        <v/>
      </c>
      <c r="D62" s="7">
        <f>INDEX(Countries!$X$5:$X$222,MATCH(2,Countries!$AG$5:$AG$222,0))/1000000</f>
        <v/>
      </c>
      <c r="E62" s="7">
        <f>INDEX(Countries!$Y$5:$Y$222,MATCH(2,Countries!$AG$5:$AG$222,0))/1000000</f>
        <v/>
      </c>
      <c r="F62" s="7">
        <f>INDEX(Countries!$Z$5:$Z$222,MATCH(2,Countries!$AG$5:$AG$222,0))/1000000</f>
        <v/>
      </c>
      <c r="G62" s="7">
        <f>INDEX(Countries!$AA$5:$AA$222,MATCH(2,Countries!$AG$5:$AG$222,0))/1000000</f>
        <v/>
      </c>
      <c r="H62" s="7">
        <f>INDEX(Countries!$AB$5:$AB$222,MATCH(2,Countries!$AG$5:$AG$222,0))/1000000</f>
        <v/>
      </c>
      <c r="I62" s="7">
        <f>INDEX(Countries!$AC$5:$AC$222,MATCH(2,Countries!$AG$5:$AG$222,0))/1000000</f>
        <v/>
      </c>
      <c r="J62" s="7">
        <f>INDEX(Countries!$AD$5:$AD$222,MATCH(2,Countries!$AG$5:$AG$222,0))/1000000</f>
        <v/>
      </c>
      <c r="K62" s="8">
        <f>INDEX(Countries!$AE$5:$AE$222,MATCH(2,Countries!$AG$5:$AG$222,0))/1000000</f>
        <v/>
      </c>
      <c r="L62" s="9">
        <f>INDEX(Countries!$AF$5:$AF$222,MATCH(2,Countries!$AG$5:$AG$222,0))</f>
        <v/>
      </c>
      <c r="M62" s="19">
        <f>INDEX(Countries!$AK$5:$AK$222,MATCH(2,Countries!$AG$5:$AG$222,0))</f>
        <v/>
      </c>
    </row>
    <row r="63">
      <c r="A63" s="10">
        <f>INDEX(Countries!$B$5:$B$222,MATCH(3,Countries!$AG$5:$AG$222,0))</f>
        <v/>
      </c>
      <c r="B63" s="10">
        <f>INDEX(Countries!$C$5:$C$222,MATCH(3,Countries!$AG$5:$AG$222,0))</f>
        <v/>
      </c>
      <c r="C63" s="10">
        <f>INDEX(Countries!$D$5:$D$222,MATCH(3,Countries!$AG$5:$AG$222,0))</f>
        <v/>
      </c>
      <c r="D63" s="7">
        <f>INDEX(Countries!$X$5:$X$222,MATCH(3,Countries!$AG$5:$AG$222,0))/1000000</f>
        <v/>
      </c>
      <c r="E63" s="7">
        <f>INDEX(Countries!$Y$5:$Y$222,MATCH(3,Countries!$AG$5:$AG$222,0))/1000000</f>
        <v/>
      </c>
      <c r="F63" s="7">
        <f>INDEX(Countries!$Z$5:$Z$222,MATCH(3,Countries!$AG$5:$AG$222,0))/1000000</f>
        <v/>
      </c>
      <c r="G63" s="7">
        <f>INDEX(Countries!$AA$5:$AA$222,MATCH(3,Countries!$AG$5:$AG$222,0))/1000000</f>
        <v/>
      </c>
      <c r="H63" s="7">
        <f>INDEX(Countries!$AB$5:$AB$222,MATCH(3,Countries!$AG$5:$AG$222,0))/1000000</f>
        <v/>
      </c>
      <c r="I63" s="7">
        <f>INDEX(Countries!$AC$5:$AC$222,MATCH(3,Countries!$AG$5:$AG$222,0))/1000000</f>
        <v/>
      </c>
      <c r="J63" s="7">
        <f>INDEX(Countries!$AD$5:$AD$222,MATCH(3,Countries!$AG$5:$AG$222,0))/1000000</f>
        <v/>
      </c>
      <c r="K63" s="8">
        <f>INDEX(Countries!$AE$5:$AE$222,MATCH(3,Countries!$AG$5:$AG$222,0))/1000000</f>
        <v/>
      </c>
      <c r="L63" s="9">
        <f>INDEX(Countries!$AF$5:$AF$222,MATCH(3,Countries!$AG$5:$AG$222,0))</f>
        <v/>
      </c>
      <c r="M63" s="19">
        <f>INDEX(Countries!$AK$5:$AK$222,MATCH(3,Countries!$AG$5:$AG$222,0))</f>
        <v/>
      </c>
    </row>
    <row r="64">
      <c r="A64" s="10">
        <f>INDEX(Countries!$B$5:$B$222,MATCH(4,Countries!$AG$5:$AG$222,0))</f>
        <v/>
      </c>
      <c r="B64" s="10">
        <f>INDEX(Countries!$C$5:$C$222,MATCH(4,Countries!$AG$5:$AG$222,0))</f>
        <v/>
      </c>
      <c r="C64" s="10">
        <f>INDEX(Countries!$D$5:$D$222,MATCH(4,Countries!$AG$5:$AG$222,0))</f>
        <v/>
      </c>
      <c r="D64" s="7">
        <f>INDEX(Countries!$X$5:$X$222,MATCH(4,Countries!$AG$5:$AG$222,0))/1000000</f>
        <v/>
      </c>
      <c r="E64" s="7">
        <f>INDEX(Countries!$Y$5:$Y$222,MATCH(4,Countries!$AG$5:$AG$222,0))/1000000</f>
        <v/>
      </c>
      <c r="F64" s="7">
        <f>INDEX(Countries!$Z$5:$Z$222,MATCH(4,Countries!$AG$5:$AG$222,0))/1000000</f>
        <v/>
      </c>
      <c r="G64" s="7">
        <f>INDEX(Countries!$AA$5:$AA$222,MATCH(4,Countries!$AG$5:$AG$222,0))/1000000</f>
        <v/>
      </c>
      <c r="H64" s="7">
        <f>INDEX(Countries!$AB$5:$AB$222,MATCH(4,Countries!$AG$5:$AG$222,0))/1000000</f>
        <v/>
      </c>
      <c r="I64" s="7">
        <f>INDEX(Countries!$AC$5:$AC$222,MATCH(4,Countries!$AG$5:$AG$222,0))/1000000</f>
        <v/>
      </c>
      <c r="J64" s="7">
        <f>INDEX(Countries!$AD$5:$AD$222,MATCH(4,Countries!$AG$5:$AG$222,0))/1000000</f>
        <v/>
      </c>
      <c r="K64" s="8">
        <f>INDEX(Countries!$AE$5:$AE$222,MATCH(4,Countries!$AG$5:$AG$222,0))/1000000</f>
        <v/>
      </c>
      <c r="L64" s="9">
        <f>INDEX(Countries!$AF$5:$AF$222,MATCH(4,Countries!$AG$5:$AG$222,0))</f>
        <v/>
      </c>
      <c r="M64" s="19">
        <f>INDEX(Countries!$AK$5:$AK$222,MATCH(4,Countries!$AG$5:$AG$222,0))</f>
        <v/>
      </c>
    </row>
    <row r="65">
      <c r="A65" s="10">
        <f>INDEX(Countries!$B$5:$B$222,MATCH(5,Countries!$AG$5:$AG$222,0))</f>
        <v/>
      </c>
      <c r="B65" s="10">
        <f>INDEX(Countries!$C$5:$C$222,MATCH(5,Countries!$AG$5:$AG$222,0))</f>
        <v/>
      </c>
      <c r="C65" s="10">
        <f>INDEX(Countries!$D$5:$D$222,MATCH(5,Countries!$AG$5:$AG$222,0))</f>
        <v/>
      </c>
      <c r="D65" s="7">
        <f>INDEX(Countries!$X$5:$X$222,MATCH(5,Countries!$AG$5:$AG$222,0))/1000000</f>
        <v/>
      </c>
      <c r="E65" s="7">
        <f>INDEX(Countries!$Y$5:$Y$222,MATCH(5,Countries!$AG$5:$AG$222,0))/1000000</f>
        <v/>
      </c>
      <c r="F65" s="7">
        <f>INDEX(Countries!$Z$5:$Z$222,MATCH(5,Countries!$AG$5:$AG$222,0))/1000000</f>
        <v/>
      </c>
      <c r="G65" s="7">
        <f>INDEX(Countries!$AA$5:$AA$222,MATCH(5,Countries!$AG$5:$AG$222,0))/1000000</f>
        <v/>
      </c>
      <c r="H65" s="7">
        <f>INDEX(Countries!$AB$5:$AB$222,MATCH(5,Countries!$AG$5:$AG$222,0))/1000000</f>
        <v/>
      </c>
      <c r="I65" s="7">
        <f>INDEX(Countries!$AC$5:$AC$222,MATCH(5,Countries!$AG$5:$AG$222,0))/1000000</f>
        <v/>
      </c>
      <c r="J65" s="7">
        <f>INDEX(Countries!$AD$5:$AD$222,MATCH(5,Countries!$AG$5:$AG$222,0))/1000000</f>
        <v/>
      </c>
      <c r="K65" s="8">
        <f>INDEX(Countries!$AE$5:$AE$222,MATCH(5,Countries!$AG$5:$AG$222,0))/1000000</f>
        <v/>
      </c>
      <c r="L65" s="9">
        <f>INDEX(Countries!$AF$5:$AF$222,MATCH(5,Countries!$AG$5:$AG$222,0))</f>
        <v/>
      </c>
      <c r="M65" s="19">
        <f>INDEX(Countries!$AK$5:$AK$222,MATCH(5,Countries!$AG$5:$AG$222,0))</f>
        <v/>
      </c>
    </row>
    <row r="66">
      <c r="A66" s="10">
        <f>INDEX(Countries!$B$5:$B$222,MATCH(6,Countries!$AG$5:$AG$222,0))</f>
        <v/>
      </c>
      <c r="B66" s="10">
        <f>INDEX(Countries!$C$5:$C$222,MATCH(6,Countries!$AG$5:$AG$222,0))</f>
        <v/>
      </c>
      <c r="C66" s="10">
        <f>INDEX(Countries!$D$5:$D$222,MATCH(6,Countries!$AG$5:$AG$222,0))</f>
        <v/>
      </c>
      <c r="D66" s="7">
        <f>INDEX(Countries!$X$5:$X$222,MATCH(6,Countries!$AG$5:$AG$222,0))/1000000</f>
        <v/>
      </c>
      <c r="E66" s="7">
        <f>INDEX(Countries!$Y$5:$Y$222,MATCH(6,Countries!$AG$5:$AG$222,0))/1000000</f>
        <v/>
      </c>
      <c r="F66" s="7">
        <f>INDEX(Countries!$Z$5:$Z$222,MATCH(6,Countries!$AG$5:$AG$222,0))/1000000</f>
        <v/>
      </c>
      <c r="G66" s="7">
        <f>INDEX(Countries!$AA$5:$AA$222,MATCH(6,Countries!$AG$5:$AG$222,0))/1000000</f>
        <v/>
      </c>
      <c r="H66" s="7">
        <f>INDEX(Countries!$AB$5:$AB$222,MATCH(6,Countries!$AG$5:$AG$222,0))/1000000</f>
        <v/>
      </c>
      <c r="I66" s="7">
        <f>INDEX(Countries!$AC$5:$AC$222,MATCH(6,Countries!$AG$5:$AG$222,0))/1000000</f>
        <v/>
      </c>
      <c r="J66" s="7">
        <f>INDEX(Countries!$AD$5:$AD$222,MATCH(6,Countries!$AG$5:$AG$222,0))/1000000</f>
        <v/>
      </c>
      <c r="K66" s="8">
        <f>INDEX(Countries!$AE$5:$AE$222,MATCH(6,Countries!$AG$5:$AG$222,0))/1000000</f>
        <v/>
      </c>
      <c r="L66" s="9">
        <f>INDEX(Countries!$AF$5:$AF$222,MATCH(6,Countries!$AG$5:$AG$222,0))</f>
        <v/>
      </c>
      <c r="M66" s="19">
        <f>INDEX(Countries!$AK$5:$AK$222,MATCH(6,Countries!$AG$5:$AG$222,0))</f>
        <v/>
      </c>
    </row>
    <row r="67">
      <c r="A67" s="10">
        <f>INDEX(Countries!$B$5:$B$222,MATCH(7,Countries!$AG$5:$AG$222,0))</f>
        <v/>
      </c>
      <c r="B67" s="10">
        <f>INDEX(Countries!$C$5:$C$222,MATCH(7,Countries!$AG$5:$AG$222,0))</f>
        <v/>
      </c>
      <c r="C67" s="10">
        <f>INDEX(Countries!$D$5:$D$222,MATCH(7,Countries!$AG$5:$AG$222,0))</f>
        <v/>
      </c>
      <c r="D67" s="7">
        <f>INDEX(Countries!$X$5:$X$222,MATCH(7,Countries!$AG$5:$AG$222,0))/1000000</f>
        <v/>
      </c>
      <c r="E67" s="7">
        <f>INDEX(Countries!$Y$5:$Y$222,MATCH(7,Countries!$AG$5:$AG$222,0))/1000000</f>
        <v/>
      </c>
      <c r="F67" s="7">
        <f>INDEX(Countries!$Z$5:$Z$222,MATCH(7,Countries!$AG$5:$AG$222,0))/1000000</f>
        <v/>
      </c>
      <c r="G67" s="7">
        <f>INDEX(Countries!$AA$5:$AA$222,MATCH(7,Countries!$AG$5:$AG$222,0))/1000000</f>
        <v/>
      </c>
      <c r="H67" s="7">
        <f>INDEX(Countries!$AB$5:$AB$222,MATCH(7,Countries!$AG$5:$AG$222,0))/1000000</f>
        <v/>
      </c>
      <c r="I67" s="7">
        <f>INDEX(Countries!$AC$5:$AC$222,MATCH(7,Countries!$AG$5:$AG$222,0))/1000000</f>
        <v/>
      </c>
      <c r="J67" s="7">
        <f>INDEX(Countries!$AD$5:$AD$222,MATCH(7,Countries!$AG$5:$AG$222,0))/1000000</f>
        <v/>
      </c>
      <c r="K67" s="8">
        <f>INDEX(Countries!$AE$5:$AE$222,MATCH(7,Countries!$AG$5:$AG$222,0))/1000000</f>
        <v/>
      </c>
      <c r="L67" s="9">
        <f>INDEX(Countries!$AF$5:$AF$222,MATCH(7,Countries!$AG$5:$AG$222,0))</f>
        <v/>
      </c>
      <c r="M67" s="19">
        <f>INDEX(Countries!$AK$5:$AK$222,MATCH(7,Countries!$AG$5:$AG$222,0))</f>
        <v/>
      </c>
    </row>
    <row r="68">
      <c r="A68" s="10">
        <f>INDEX(Countries!$B$5:$B$222,MATCH(8,Countries!$AG$5:$AG$222,0))</f>
        <v/>
      </c>
      <c r="B68" s="10">
        <f>INDEX(Countries!$C$5:$C$222,MATCH(8,Countries!$AG$5:$AG$222,0))</f>
        <v/>
      </c>
      <c r="C68" s="10">
        <f>INDEX(Countries!$D$5:$D$222,MATCH(8,Countries!$AG$5:$AG$222,0))</f>
        <v/>
      </c>
      <c r="D68" s="7">
        <f>INDEX(Countries!$X$5:$X$222,MATCH(8,Countries!$AG$5:$AG$222,0))/1000000</f>
        <v/>
      </c>
      <c r="E68" s="7">
        <f>INDEX(Countries!$Y$5:$Y$222,MATCH(8,Countries!$AG$5:$AG$222,0))/1000000</f>
        <v/>
      </c>
      <c r="F68" s="7">
        <f>INDEX(Countries!$Z$5:$Z$222,MATCH(8,Countries!$AG$5:$AG$222,0))/1000000</f>
        <v/>
      </c>
      <c r="G68" s="7">
        <f>INDEX(Countries!$AA$5:$AA$222,MATCH(8,Countries!$AG$5:$AG$222,0))/1000000</f>
        <v/>
      </c>
      <c r="H68" s="7">
        <f>INDEX(Countries!$AB$5:$AB$222,MATCH(8,Countries!$AG$5:$AG$222,0))/1000000</f>
        <v/>
      </c>
      <c r="I68" s="7">
        <f>INDEX(Countries!$AC$5:$AC$222,MATCH(8,Countries!$AG$5:$AG$222,0))/1000000</f>
        <v/>
      </c>
      <c r="J68" s="7">
        <f>INDEX(Countries!$AD$5:$AD$222,MATCH(8,Countries!$AG$5:$AG$222,0))/1000000</f>
        <v/>
      </c>
      <c r="K68" s="8">
        <f>INDEX(Countries!$AE$5:$AE$222,MATCH(8,Countries!$AG$5:$AG$222,0))/1000000</f>
        <v/>
      </c>
      <c r="L68" s="9">
        <f>INDEX(Countries!$AF$5:$AF$222,MATCH(8,Countries!$AG$5:$AG$222,0))</f>
        <v/>
      </c>
      <c r="M68" s="19">
        <f>INDEX(Countries!$AK$5:$AK$222,MATCH(8,Countries!$AG$5:$AG$222,0))</f>
        <v/>
      </c>
    </row>
    <row r="69">
      <c r="A69" s="10">
        <f>INDEX(Countries!$B$5:$B$222,MATCH(9,Countries!$AG$5:$AG$222,0))</f>
        <v/>
      </c>
      <c r="B69" s="10">
        <f>INDEX(Countries!$C$5:$C$222,MATCH(9,Countries!$AG$5:$AG$222,0))</f>
        <v/>
      </c>
      <c r="C69" s="10">
        <f>INDEX(Countries!$D$5:$D$222,MATCH(9,Countries!$AG$5:$AG$222,0))</f>
        <v/>
      </c>
      <c r="D69" s="7">
        <f>INDEX(Countries!$X$5:$X$222,MATCH(9,Countries!$AG$5:$AG$222,0))/1000000</f>
        <v/>
      </c>
      <c r="E69" s="7">
        <f>INDEX(Countries!$Y$5:$Y$222,MATCH(9,Countries!$AG$5:$AG$222,0))/1000000</f>
        <v/>
      </c>
      <c r="F69" s="7">
        <f>INDEX(Countries!$Z$5:$Z$222,MATCH(9,Countries!$AG$5:$AG$222,0))/1000000</f>
        <v/>
      </c>
      <c r="G69" s="7">
        <f>INDEX(Countries!$AA$5:$AA$222,MATCH(9,Countries!$AG$5:$AG$222,0))/1000000</f>
        <v/>
      </c>
      <c r="H69" s="7">
        <f>INDEX(Countries!$AB$5:$AB$222,MATCH(9,Countries!$AG$5:$AG$222,0))/1000000</f>
        <v/>
      </c>
      <c r="I69" s="7">
        <f>INDEX(Countries!$AC$5:$AC$222,MATCH(9,Countries!$AG$5:$AG$222,0))/1000000</f>
        <v/>
      </c>
      <c r="J69" s="7">
        <f>INDEX(Countries!$AD$5:$AD$222,MATCH(9,Countries!$AG$5:$AG$222,0))/1000000</f>
        <v/>
      </c>
      <c r="K69" s="8">
        <f>INDEX(Countries!$AE$5:$AE$222,MATCH(9,Countries!$AG$5:$AG$222,0))/1000000</f>
        <v/>
      </c>
      <c r="L69" s="9">
        <f>INDEX(Countries!$AF$5:$AF$222,MATCH(9,Countries!$AG$5:$AG$222,0))</f>
        <v/>
      </c>
      <c r="M69" s="19">
        <f>INDEX(Countries!$AK$5:$AK$222,MATCH(9,Countries!$AG$5:$AG$222,0))</f>
        <v/>
      </c>
    </row>
    <row r="70">
      <c r="A70" s="10">
        <f>INDEX(Countries!$B$5:$B$222,MATCH(10,Countries!$AG$5:$AG$222,0))</f>
        <v/>
      </c>
      <c r="B70" s="10">
        <f>INDEX(Countries!$C$5:$C$222,MATCH(10,Countries!$AG$5:$AG$222,0))</f>
        <v/>
      </c>
      <c r="C70" s="10">
        <f>INDEX(Countries!$D$5:$D$222,MATCH(10,Countries!$AG$5:$AG$222,0))</f>
        <v/>
      </c>
      <c r="D70" s="7">
        <f>INDEX(Countries!$X$5:$X$222,MATCH(10,Countries!$AG$5:$AG$222,0))/1000000</f>
        <v/>
      </c>
      <c r="E70" s="7">
        <f>INDEX(Countries!$Y$5:$Y$222,MATCH(10,Countries!$AG$5:$AG$222,0))/1000000</f>
        <v/>
      </c>
      <c r="F70" s="7">
        <f>INDEX(Countries!$Z$5:$Z$222,MATCH(10,Countries!$AG$5:$AG$222,0))/1000000</f>
        <v/>
      </c>
      <c r="G70" s="7">
        <f>INDEX(Countries!$AA$5:$AA$222,MATCH(10,Countries!$AG$5:$AG$222,0))/1000000</f>
        <v/>
      </c>
      <c r="H70" s="7">
        <f>INDEX(Countries!$AB$5:$AB$222,MATCH(10,Countries!$AG$5:$AG$222,0))/1000000</f>
        <v/>
      </c>
      <c r="I70" s="7">
        <f>INDEX(Countries!$AC$5:$AC$222,MATCH(10,Countries!$AG$5:$AG$222,0))/1000000</f>
        <v/>
      </c>
      <c r="J70" s="7">
        <f>INDEX(Countries!$AD$5:$AD$222,MATCH(10,Countries!$AG$5:$AG$222,0))/1000000</f>
        <v/>
      </c>
      <c r="K70" s="8">
        <f>INDEX(Countries!$AE$5:$AE$222,MATCH(10,Countries!$AG$5:$AG$222,0))/1000000</f>
        <v/>
      </c>
      <c r="L70" s="9">
        <f>INDEX(Countries!$AF$5:$AF$222,MATCH(10,Countries!$AG$5:$AG$222,0))</f>
        <v/>
      </c>
      <c r="M70" s="19">
        <f>INDEX(Countries!$AK$5:$AK$222,MATCH(10,Countries!$AG$5:$AG$222,0))</f>
        <v/>
      </c>
    </row>
    <row r="71">
      <c r="A71" s="10">
        <f>INDEX(Countries!$B$5:$B$222,MATCH(11,Countries!$AG$5:$AG$222,0))</f>
        <v/>
      </c>
      <c r="B71" s="10">
        <f>INDEX(Countries!$C$5:$C$222,MATCH(11,Countries!$AG$5:$AG$222,0))</f>
        <v/>
      </c>
      <c r="C71" s="10">
        <f>INDEX(Countries!$D$5:$D$222,MATCH(11,Countries!$AG$5:$AG$222,0))</f>
        <v/>
      </c>
      <c r="D71" s="7">
        <f>INDEX(Countries!$X$5:$X$222,MATCH(11,Countries!$AG$5:$AG$222,0))/1000000</f>
        <v/>
      </c>
      <c r="E71" s="7">
        <f>INDEX(Countries!$Y$5:$Y$222,MATCH(11,Countries!$AG$5:$AG$222,0))/1000000</f>
        <v/>
      </c>
      <c r="F71" s="7">
        <f>INDEX(Countries!$Z$5:$Z$222,MATCH(11,Countries!$AG$5:$AG$222,0))/1000000</f>
        <v/>
      </c>
      <c r="G71" s="7">
        <f>INDEX(Countries!$AA$5:$AA$222,MATCH(11,Countries!$AG$5:$AG$222,0))/1000000</f>
        <v/>
      </c>
      <c r="H71" s="7">
        <f>INDEX(Countries!$AB$5:$AB$222,MATCH(11,Countries!$AG$5:$AG$222,0))/1000000</f>
        <v/>
      </c>
      <c r="I71" s="7">
        <f>INDEX(Countries!$AC$5:$AC$222,MATCH(11,Countries!$AG$5:$AG$222,0))/1000000</f>
        <v/>
      </c>
      <c r="J71" s="7">
        <f>INDEX(Countries!$AD$5:$AD$222,MATCH(11,Countries!$AG$5:$AG$222,0))/1000000</f>
        <v/>
      </c>
      <c r="K71" s="8">
        <f>INDEX(Countries!$AE$5:$AE$222,MATCH(11,Countries!$AG$5:$AG$222,0))/1000000</f>
        <v/>
      </c>
      <c r="L71" s="9">
        <f>INDEX(Countries!$AF$5:$AF$222,MATCH(11,Countries!$AG$5:$AG$222,0))</f>
        <v/>
      </c>
      <c r="M71" s="19">
        <f>INDEX(Countries!$AK$5:$AK$222,MATCH(11,Countries!$AG$5:$AG$222,0))</f>
        <v/>
      </c>
    </row>
    <row r="72">
      <c r="A72" s="10">
        <f>INDEX(Countries!$B$5:$B$222,MATCH(12,Countries!$AG$5:$AG$222,0))</f>
        <v/>
      </c>
      <c r="B72" s="10">
        <f>INDEX(Countries!$C$5:$C$222,MATCH(12,Countries!$AG$5:$AG$222,0))</f>
        <v/>
      </c>
      <c r="C72" s="10">
        <f>INDEX(Countries!$D$5:$D$222,MATCH(12,Countries!$AG$5:$AG$222,0))</f>
        <v/>
      </c>
      <c r="D72" s="7">
        <f>INDEX(Countries!$X$5:$X$222,MATCH(12,Countries!$AG$5:$AG$222,0))/1000000</f>
        <v/>
      </c>
      <c r="E72" s="7">
        <f>INDEX(Countries!$Y$5:$Y$222,MATCH(12,Countries!$AG$5:$AG$222,0))/1000000</f>
        <v/>
      </c>
      <c r="F72" s="7">
        <f>INDEX(Countries!$Z$5:$Z$222,MATCH(12,Countries!$AG$5:$AG$222,0))/1000000</f>
        <v/>
      </c>
      <c r="G72" s="7">
        <f>INDEX(Countries!$AA$5:$AA$222,MATCH(12,Countries!$AG$5:$AG$222,0))/1000000</f>
        <v/>
      </c>
      <c r="H72" s="7">
        <f>INDEX(Countries!$AB$5:$AB$222,MATCH(12,Countries!$AG$5:$AG$222,0))/1000000</f>
        <v/>
      </c>
      <c r="I72" s="7">
        <f>INDEX(Countries!$AC$5:$AC$222,MATCH(12,Countries!$AG$5:$AG$222,0))/1000000</f>
        <v/>
      </c>
      <c r="J72" s="7">
        <f>INDEX(Countries!$AD$5:$AD$222,MATCH(12,Countries!$AG$5:$AG$222,0))/1000000</f>
        <v/>
      </c>
      <c r="K72" s="8">
        <f>INDEX(Countries!$AE$5:$AE$222,MATCH(12,Countries!$AG$5:$AG$222,0))/1000000</f>
        <v/>
      </c>
      <c r="L72" s="9">
        <f>INDEX(Countries!$AF$5:$AF$222,MATCH(12,Countries!$AG$5:$AG$222,0))</f>
        <v/>
      </c>
      <c r="M72" s="19">
        <f>INDEX(Countries!$AK$5:$AK$222,MATCH(12,Countries!$AG$5:$AG$222,0))</f>
        <v/>
      </c>
    </row>
    <row r="73">
      <c r="A73" s="10">
        <f>INDEX(Countries!$B$5:$B$222,MATCH(13,Countries!$AG$5:$AG$222,0))</f>
        <v/>
      </c>
      <c r="B73" s="10">
        <f>INDEX(Countries!$C$5:$C$222,MATCH(13,Countries!$AG$5:$AG$222,0))</f>
        <v/>
      </c>
      <c r="C73" s="10">
        <f>INDEX(Countries!$D$5:$D$222,MATCH(13,Countries!$AG$5:$AG$222,0))</f>
        <v/>
      </c>
      <c r="D73" s="7">
        <f>INDEX(Countries!$X$5:$X$222,MATCH(13,Countries!$AG$5:$AG$222,0))/1000000</f>
        <v/>
      </c>
      <c r="E73" s="7">
        <f>INDEX(Countries!$Y$5:$Y$222,MATCH(13,Countries!$AG$5:$AG$222,0))/1000000</f>
        <v/>
      </c>
      <c r="F73" s="7">
        <f>INDEX(Countries!$Z$5:$Z$222,MATCH(13,Countries!$AG$5:$AG$222,0))/1000000</f>
        <v/>
      </c>
      <c r="G73" s="7">
        <f>INDEX(Countries!$AA$5:$AA$222,MATCH(13,Countries!$AG$5:$AG$222,0))/1000000</f>
        <v/>
      </c>
      <c r="H73" s="7">
        <f>INDEX(Countries!$AB$5:$AB$222,MATCH(13,Countries!$AG$5:$AG$222,0))/1000000</f>
        <v/>
      </c>
      <c r="I73" s="7">
        <f>INDEX(Countries!$AC$5:$AC$222,MATCH(13,Countries!$AG$5:$AG$222,0))/1000000</f>
        <v/>
      </c>
      <c r="J73" s="7">
        <f>INDEX(Countries!$AD$5:$AD$222,MATCH(13,Countries!$AG$5:$AG$222,0))/1000000</f>
        <v/>
      </c>
      <c r="K73" s="8">
        <f>INDEX(Countries!$AE$5:$AE$222,MATCH(13,Countries!$AG$5:$AG$222,0))/1000000</f>
        <v/>
      </c>
      <c r="L73" s="9">
        <f>INDEX(Countries!$AF$5:$AF$222,MATCH(13,Countries!$AG$5:$AG$222,0))</f>
        <v/>
      </c>
      <c r="M73" s="19">
        <f>INDEX(Countries!$AK$5:$AK$222,MATCH(13,Countries!$AG$5:$AG$222,0))</f>
        <v/>
      </c>
    </row>
    <row r="74">
      <c r="A74" s="10">
        <f>INDEX(Countries!$B$5:$B$222,MATCH(14,Countries!$AG$5:$AG$222,0))</f>
        <v/>
      </c>
      <c r="B74" s="10">
        <f>INDEX(Countries!$C$5:$C$222,MATCH(14,Countries!$AG$5:$AG$222,0))</f>
        <v/>
      </c>
      <c r="C74" s="10">
        <f>INDEX(Countries!$D$5:$D$222,MATCH(14,Countries!$AG$5:$AG$222,0))</f>
        <v/>
      </c>
      <c r="D74" s="7">
        <f>INDEX(Countries!$X$5:$X$222,MATCH(14,Countries!$AG$5:$AG$222,0))/1000000</f>
        <v/>
      </c>
      <c r="E74" s="7">
        <f>INDEX(Countries!$Y$5:$Y$222,MATCH(14,Countries!$AG$5:$AG$222,0))/1000000</f>
        <v/>
      </c>
      <c r="F74" s="7">
        <f>INDEX(Countries!$Z$5:$Z$222,MATCH(14,Countries!$AG$5:$AG$222,0))/1000000</f>
        <v/>
      </c>
      <c r="G74" s="7">
        <f>INDEX(Countries!$AA$5:$AA$222,MATCH(14,Countries!$AG$5:$AG$222,0))/1000000</f>
        <v/>
      </c>
      <c r="H74" s="7">
        <f>INDEX(Countries!$AB$5:$AB$222,MATCH(14,Countries!$AG$5:$AG$222,0))/1000000</f>
        <v/>
      </c>
      <c r="I74" s="7">
        <f>INDEX(Countries!$AC$5:$AC$222,MATCH(14,Countries!$AG$5:$AG$222,0))/1000000</f>
        <v/>
      </c>
      <c r="J74" s="7">
        <f>INDEX(Countries!$AD$5:$AD$222,MATCH(14,Countries!$AG$5:$AG$222,0))/1000000</f>
        <v/>
      </c>
      <c r="K74" s="8">
        <f>INDEX(Countries!$AE$5:$AE$222,MATCH(14,Countries!$AG$5:$AG$222,0))/1000000</f>
        <v/>
      </c>
      <c r="L74" s="9">
        <f>INDEX(Countries!$AF$5:$AF$222,MATCH(14,Countries!$AG$5:$AG$222,0))</f>
        <v/>
      </c>
      <c r="M74" s="19">
        <f>INDEX(Countries!$AK$5:$AK$222,MATCH(14,Countries!$AG$5:$AG$222,0))</f>
        <v/>
      </c>
    </row>
    <row r="75">
      <c r="A75" s="10">
        <f>INDEX(Countries!$B$5:$B$222,MATCH(15,Countries!$AG$5:$AG$222,0))</f>
        <v/>
      </c>
      <c r="B75" s="10">
        <f>INDEX(Countries!$C$5:$C$222,MATCH(15,Countries!$AG$5:$AG$222,0))</f>
        <v/>
      </c>
      <c r="C75" s="10">
        <f>INDEX(Countries!$D$5:$D$222,MATCH(15,Countries!$AG$5:$AG$222,0))</f>
        <v/>
      </c>
      <c r="D75" s="7">
        <f>INDEX(Countries!$X$5:$X$222,MATCH(15,Countries!$AG$5:$AG$222,0))/1000000</f>
        <v/>
      </c>
      <c r="E75" s="7">
        <f>INDEX(Countries!$Y$5:$Y$222,MATCH(15,Countries!$AG$5:$AG$222,0))/1000000</f>
        <v/>
      </c>
      <c r="F75" s="7">
        <f>INDEX(Countries!$Z$5:$Z$222,MATCH(15,Countries!$AG$5:$AG$222,0))/1000000</f>
        <v/>
      </c>
      <c r="G75" s="7">
        <f>INDEX(Countries!$AA$5:$AA$222,MATCH(15,Countries!$AG$5:$AG$222,0))/1000000</f>
        <v/>
      </c>
      <c r="H75" s="7">
        <f>INDEX(Countries!$AB$5:$AB$222,MATCH(15,Countries!$AG$5:$AG$222,0))/1000000</f>
        <v/>
      </c>
      <c r="I75" s="7">
        <f>INDEX(Countries!$AC$5:$AC$222,MATCH(15,Countries!$AG$5:$AG$222,0))/1000000</f>
        <v/>
      </c>
      <c r="J75" s="7">
        <f>INDEX(Countries!$AD$5:$AD$222,MATCH(15,Countries!$AG$5:$AG$222,0))/1000000</f>
        <v/>
      </c>
      <c r="K75" s="8">
        <f>INDEX(Countries!$AE$5:$AE$222,MATCH(15,Countries!$AG$5:$AG$222,0))/1000000</f>
        <v/>
      </c>
      <c r="L75" s="9">
        <f>INDEX(Countries!$AF$5:$AF$222,MATCH(15,Countries!$AG$5:$AG$222,0))</f>
        <v/>
      </c>
      <c r="M75" s="19">
        <f>INDEX(Countries!$AK$5:$AK$222,MATCH(15,Countries!$AG$5:$AG$222,0))</f>
        <v/>
      </c>
    </row>
    <row r="76">
      <c r="A76" s="10">
        <f>INDEX(Countries!$B$5:$B$222,MATCH(16,Countries!$AG$5:$AG$222,0))</f>
        <v/>
      </c>
      <c r="B76" s="10">
        <f>INDEX(Countries!$C$5:$C$222,MATCH(16,Countries!$AG$5:$AG$222,0))</f>
        <v/>
      </c>
      <c r="C76" s="10">
        <f>INDEX(Countries!$D$5:$D$222,MATCH(16,Countries!$AG$5:$AG$222,0))</f>
        <v/>
      </c>
      <c r="D76" s="7">
        <f>INDEX(Countries!$X$5:$X$222,MATCH(16,Countries!$AG$5:$AG$222,0))/1000000</f>
        <v/>
      </c>
      <c r="E76" s="7">
        <f>INDEX(Countries!$Y$5:$Y$222,MATCH(16,Countries!$AG$5:$AG$222,0))/1000000</f>
        <v/>
      </c>
      <c r="F76" s="7">
        <f>INDEX(Countries!$Z$5:$Z$222,MATCH(16,Countries!$AG$5:$AG$222,0))/1000000</f>
        <v/>
      </c>
      <c r="G76" s="7">
        <f>INDEX(Countries!$AA$5:$AA$222,MATCH(16,Countries!$AG$5:$AG$222,0))/1000000</f>
        <v/>
      </c>
      <c r="H76" s="7">
        <f>INDEX(Countries!$AB$5:$AB$222,MATCH(16,Countries!$AG$5:$AG$222,0))/1000000</f>
        <v/>
      </c>
      <c r="I76" s="7">
        <f>INDEX(Countries!$AC$5:$AC$222,MATCH(16,Countries!$AG$5:$AG$222,0))/1000000</f>
        <v/>
      </c>
      <c r="J76" s="7">
        <f>INDEX(Countries!$AD$5:$AD$222,MATCH(16,Countries!$AG$5:$AG$222,0))/1000000</f>
        <v/>
      </c>
      <c r="K76" s="8">
        <f>INDEX(Countries!$AE$5:$AE$222,MATCH(16,Countries!$AG$5:$AG$222,0))/1000000</f>
        <v/>
      </c>
      <c r="L76" s="9">
        <f>INDEX(Countries!$AF$5:$AF$222,MATCH(16,Countries!$AG$5:$AG$222,0))</f>
        <v/>
      </c>
      <c r="M76" s="19">
        <f>INDEX(Countries!$AK$5:$AK$222,MATCH(16,Countries!$AG$5:$AG$222,0))</f>
        <v/>
      </c>
    </row>
    <row r="77">
      <c r="A77" s="10">
        <f>INDEX(Countries!$B$5:$B$222,MATCH(17,Countries!$AG$5:$AG$222,0))</f>
        <v/>
      </c>
      <c r="B77" s="10">
        <f>INDEX(Countries!$C$5:$C$222,MATCH(17,Countries!$AG$5:$AG$222,0))</f>
        <v/>
      </c>
      <c r="C77" s="10">
        <f>INDEX(Countries!$D$5:$D$222,MATCH(17,Countries!$AG$5:$AG$222,0))</f>
        <v/>
      </c>
      <c r="D77" s="7">
        <f>INDEX(Countries!$X$5:$X$222,MATCH(17,Countries!$AG$5:$AG$222,0))/1000000</f>
        <v/>
      </c>
      <c r="E77" s="7">
        <f>INDEX(Countries!$Y$5:$Y$222,MATCH(17,Countries!$AG$5:$AG$222,0))/1000000</f>
        <v/>
      </c>
      <c r="F77" s="7">
        <f>INDEX(Countries!$Z$5:$Z$222,MATCH(17,Countries!$AG$5:$AG$222,0))/1000000</f>
        <v/>
      </c>
      <c r="G77" s="7">
        <f>INDEX(Countries!$AA$5:$AA$222,MATCH(17,Countries!$AG$5:$AG$222,0))/1000000</f>
        <v/>
      </c>
      <c r="H77" s="7">
        <f>INDEX(Countries!$AB$5:$AB$222,MATCH(17,Countries!$AG$5:$AG$222,0))/1000000</f>
        <v/>
      </c>
      <c r="I77" s="7">
        <f>INDEX(Countries!$AC$5:$AC$222,MATCH(17,Countries!$AG$5:$AG$222,0))/1000000</f>
        <v/>
      </c>
      <c r="J77" s="7">
        <f>INDEX(Countries!$AD$5:$AD$222,MATCH(17,Countries!$AG$5:$AG$222,0))/1000000</f>
        <v/>
      </c>
      <c r="K77" s="8">
        <f>INDEX(Countries!$AE$5:$AE$222,MATCH(17,Countries!$AG$5:$AG$222,0))/1000000</f>
        <v/>
      </c>
      <c r="L77" s="9">
        <f>INDEX(Countries!$AF$5:$AF$222,MATCH(17,Countries!$AG$5:$AG$222,0))</f>
        <v/>
      </c>
      <c r="M77" s="19">
        <f>INDEX(Countries!$AK$5:$AK$222,MATCH(17,Countries!$AG$5:$AG$222,0))</f>
        <v/>
      </c>
    </row>
    <row r="78">
      <c r="A78" s="10">
        <f>INDEX(Countries!$B$5:$B$222,MATCH(18,Countries!$AG$5:$AG$222,0))</f>
        <v/>
      </c>
      <c r="B78" s="10">
        <f>INDEX(Countries!$C$5:$C$222,MATCH(18,Countries!$AG$5:$AG$222,0))</f>
        <v/>
      </c>
      <c r="C78" s="10">
        <f>INDEX(Countries!$D$5:$D$222,MATCH(18,Countries!$AG$5:$AG$222,0))</f>
        <v/>
      </c>
      <c r="D78" s="7">
        <f>INDEX(Countries!$X$5:$X$222,MATCH(18,Countries!$AG$5:$AG$222,0))/1000000</f>
        <v/>
      </c>
      <c r="E78" s="7">
        <f>INDEX(Countries!$Y$5:$Y$222,MATCH(18,Countries!$AG$5:$AG$222,0))/1000000</f>
        <v/>
      </c>
      <c r="F78" s="7">
        <f>INDEX(Countries!$Z$5:$Z$222,MATCH(18,Countries!$AG$5:$AG$222,0))/1000000</f>
        <v/>
      </c>
      <c r="G78" s="7">
        <f>INDEX(Countries!$AA$5:$AA$222,MATCH(18,Countries!$AG$5:$AG$222,0))/1000000</f>
        <v/>
      </c>
      <c r="H78" s="7">
        <f>INDEX(Countries!$AB$5:$AB$222,MATCH(18,Countries!$AG$5:$AG$222,0))/1000000</f>
        <v/>
      </c>
      <c r="I78" s="7">
        <f>INDEX(Countries!$AC$5:$AC$222,MATCH(18,Countries!$AG$5:$AG$222,0))/1000000</f>
        <v/>
      </c>
      <c r="J78" s="7">
        <f>INDEX(Countries!$AD$5:$AD$222,MATCH(18,Countries!$AG$5:$AG$222,0))/1000000</f>
        <v/>
      </c>
      <c r="K78" s="8">
        <f>INDEX(Countries!$AE$5:$AE$222,MATCH(18,Countries!$AG$5:$AG$222,0))/1000000</f>
        <v/>
      </c>
      <c r="L78" s="9">
        <f>INDEX(Countries!$AF$5:$AF$222,MATCH(18,Countries!$AG$5:$AG$222,0))</f>
        <v/>
      </c>
      <c r="M78" s="19">
        <f>INDEX(Countries!$AK$5:$AK$222,MATCH(18,Countries!$AG$5:$AG$222,0))</f>
        <v/>
      </c>
    </row>
    <row r="79">
      <c r="A79" s="10">
        <f>INDEX(Countries!$B$5:$B$222,MATCH(19,Countries!$AG$5:$AG$222,0))</f>
        <v/>
      </c>
      <c r="B79" s="10">
        <f>INDEX(Countries!$C$5:$C$222,MATCH(19,Countries!$AG$5:$AG$222,0))</f>
        <v/>
      </c>
      <c r="C79" s="10">
        <f>INDEX(Countries!$D$5:$D$222,MATCH(19,Countries!$AG$5:$AG$222,0))</f>
        <v/>
      </c>
      <c r="D79" s="7">
        <f>INDEX(Countries!$X$5:$X$222,MATCH(19,Countries!$AG$5:$AG$222,0))/1000000</f>
        <v/>
      </c>
      <c r="E79" s="7">
        <f>INDEX(Countries!$Y$5:$Y$222,MATCH(19,Countries!$AG$5:$AG$222,0))/1000000</f>
        <v/>
      </c>
      <c r="F79" s="7">
        <f>INDEX(Countries!$Z$5:$Z$222,MATCH(19,Countries!$AG$5:$AG$222,0))/1000000</f>
        <v/>
      </c>
      <c r="G79" s="7">
        <f>INDEX(Countries!$AA$5:$AA$222,MATCH(19,Countries!$AG$5:$AG$222,0))/1000000</f>
        <v/>
      </c>
      <c r="H79" s="7">
        <f>INDEX(Countries!$AB$5:$AB$222,MATCH(19,Countries!$AG$5:$AG$222,0))/1000000</f>
        <v/>
      </c>
      <c r="I79" s="7">
        <f>INDEX(Countries!$AC$5:$AC$222,MATCH(19,Countries!$AG$5:$AG$222,0))/1000000</f>
        <v/>
      </c>
      <c r="J79" s="7">
        <f>INDEX(Countries!$AD$5:$AD$222,MATCH(19,Countries!$AG$5:$AG$222,0))/1000000</f>
        <v/>
      </c>
      <c r="K79" s="8">
        <f>INDEX(Countries!$AE$5:$AE$222,MATCH(19,Countries!$AG$5:$AG$222,0))/1000000</f>
        <v/>
      </c>
      <c r="L79" s="9">
        <f>INDEX(Countries!$AF$5:$AF$222,MATCH(19,Countries!$AG$5:$AG$222,0))</f>
        <v/>
      </c>
      <c r="M79" s="19">
        <f>INDEX(Countries!$AK$5:$AK$222,MATCH(19,Countries!$AG$5:$AG$222,0))</f>
        <v/>
      </c>
    </row>
    <row r="80">
      <c r="A80" s="10">
        <f>INDEX(Countries!$B$5:$B$222,MATCH(20,Countries!$AG$5:$AG$222,0))</f>
        <v/>
      </c>
      <c r="B80" s="10">
        <f>INDEX(Countries!$C$5:$C$222,MATCH(20,Countries!$AG$5:$AG$222,0))</f>
        <v/>
      </c>
      <c r="C80" s="10">
        <f>INDEX(Countries!$D$5:$D$222,MATCH(20,Countries!$AG$5:$AG$222,0))</f>
        <v/>
      </c>
      <c r="D80" s="7">
        <f>INDEX(Countries!$X$5:$X$222,MATCH(20,Countries!$AG$5:$AG$222,0))/1000000</f>
        <v/>
      </c>
      <c r="E80" s="7">
        <f>INDEX(Countries!$Y$5:$Y$222,MATCH(20,Countries!$AG$5:$AG$222,0))/1000000</f>
        <v/>
      </c>
      <c r="F80" s="7">
        <f>INDEX(Countries!$Z$5:$Z$222,MATCH(20,Countries!$AG$5:$AG$222,0))/1000000</f>
        <v/>
      </c>
      <c r="G80" s="7">
        <f>INDEX(Countries!$AA$5:$AA$222,MATCH(20,Countries!$AG$5:$AG$222,0))/1000000</f>
        <v/>
      </c>
      <c r="H80" s="7">
        <f>INDEX(Countries!$AB$5:$AB$222,MATCH(20,Countries!$AG$5:$AG$222,0))/1000000</f>
        <v/>
      </c>
      <c r="I80" s="7">
        <f>INDEX(Countries!$AC$5:$AC$222,MATCH(20,Countries!$AG$5:$AG$222,0))/1000000</f>
        <v/>
      </c>
      <c r="J80" s="7">
        <f>INDEX(Countries!$AD$5:$AD$222,MATCH(20,Countries!$AG$5:$AG$222,0))/1000000</f>
        <v/>
      </c>
      <c r="K80" s="8">
        <f>INDEX(Countries!$AE$5:$AE$222,MATCH(20,Countries!$AG$5:$AG$222,0))/1000000</f>
        <v/>
      </c>
      <c r="L80" s="9">
        <f>INDEX(Countries!$AF$5:$AF$222,MATCH(20,Countries!$AG$5:$AG$222,0))</f>
        <v/>
      </c>
      <c r="M80" s="19">
        <f>INDEX(Countries!$AK$5:$AK$222,MATCH(20,Countries!$AG$5:$AG$222,0))</f>
        <v/>
      </c>
    </row>
    <row r="81">
      <c r="A81" s="10">
        <f>INDEX(Countries!$B$5:$B$222,MATCH(21,Countries!$AG$5:$AG$222,0))</f>
        <v/>
      </c>
      <c r="B81" s="10">
        <f>INDEX(Countries!$C$5:$C$222,MATCH(21,Countries!$AG$5:$AG$222,0))</f>
        <v/>
      </c>
      <c r="C81" s="10">
        <f>INDEX(Countries!$D$5:$D$222,MATCH(21,Countries!$AG$5:$AG$222,0))</f>
        <v/>
      </c>
      <c r="D81" s="7">
        <f>INDEX(Countries!$X$5:$X$222,MATCH(21,Countries!$AG$5:$AG$222,0))/1000000</f>
        <v/>
      </c>
      <c r="E81" s="7">
        <f>INDEX(Countries!$Y$5:$Y$222,MATCH(21,Countries!$AG$5:$AG$222,0))/1000000</f>
        <v/>
      </c>
      <c r="F81" s="7">
        <f>INDEX(Countries!$Z$5:$Z$222,MATCH(21,Countries!$AG$5:$AG$222,0))/1000000</f>
        <v/>
      </c>
      <c r="G81" s="7">
        <f>INDEX(Countries!$AA$5:$AA$222,MATCH(21,Countries!$AG$5:$AG$222,0))/1000000</f>
        <v/>
      </c>
      <c r="H81" s="7">
        <f>INDEX(Countries!$AB$5:$AB$222,MATCH(21,Countries!$AG$5:$AG$222,0))/1000000</f>
        <v/>
      </c>
      <c r="I81" s="7">
        <f>INDEX(Countries!$AC$5:$AC$222,MATCH(21,Countries!$AG$5:$AG$222,0))/1000000</f>
        <v/>
      </c>
      <c r="J81" s="7">
        <f>INDEX(Countries!$AD$5:$AD$222,MATCH(21,Countries!$AG$5:$AG$222,0))/1000000</f>
        <v/>
      </c>
      <c r="K81" s="8">
        <f>INDEX(Countries!$AE$5:$AE$222,MATCH(21,Countries!$AG$5:$AG$222,0))/1000000</f>
        <v/>
      </c>
      <c r="L81" s="9">
        <f>INDEX(Countries!$AF$5:$AF$222,MATCH(21,Countries!$AG$5:$AG$222,0))</f>
        <v/>
      </c>
      <c r="M81" s="19">
        <f>INDEX(Countries!$AK$5:$AK$222,MATCH(21,Countries!$AG$5:$AG$222,0))</f>
        <v/>
      </c>
    </row>
    <row r="82">
      <c r="A82" s="10">
        <f>INDEX(Countries!$B$5:$B$222,MATCH(22,Countries!$AG$5:$AG$222,0))</f>
        <v/>
      </c>
      <c r="B82" s="10">
        <f>INDEX(Countries!$C$5:$C$222,MATCH(22,Countries!$AG$5:$AG$222,0))</f>
        <v/>
      </c>
      <c r="C82" s="10">
        <f>INDEX(Countries!$D$5:$D$222,MATCH(22,Countries!$AG$5:$AG$222,0))</f>
        <v/>
      </c>
      <c r="D82" s="7">
        <f>INDEX(Countries!$X$5:$X$222,MATCH(22,Countries!$AG$5:$AG$222,0))/1000000</f>
        <v/>
      </c>
      <c r="E82" s="7">
        <f>INDEX(Countries!$Y$5:$Y$222,MATCH(22,Countries!$AG$5:$AG$222,0))/1000000</f>
        <v/>
      </c>
      <c r="F82" s="7">
        <f>INDEX(Countries!$Z$5:$Z$222,MATCH(22,Countries!$AG$5:$AG$222,0))/1000000</f>
        <v/>
      </c>
      <c r="G82" s="7">
        <f>INDEX(Countries!$AA$5:$AA$222,MATCH(22,Countries!$AG$5:$AG$222,0))/1000000</f>
        <v/>
      </c>
      <c r="H82" s="7">
        <f>INDEX(Countries!$AB$5:$AB$222,MATCH(22,Countries!$AG$5:$AG$222,0))/1000000</f>
        <v/>
      </c>
      <c r="I82" s="7">
        <f>INDEX(Countries!$AC$5:$AC$222,MATCH(22,Countries!$AG$5:$AG$222,0))/1000000</f>
        <v/>
      </c>
      <c r="J82" s="7">
        <f>INDEX(Countries!$AD$5:$AD$222,MATCH(22,Countries!$AG$5:$AG$222,0))/1000000</f>
        <v/>
      </c>
      <c r="K82" s="8">
        <f>INDEX(Countries!$AE$5:$AE$222,MATCH(22,Countries!$AG$5:$AG$222,0))/1000000</f>
        <v/>
      </c>
      <c r="L82" s="9">
        <f>INDEX(Countries!$AF$5:$AF$222,MATCH(22,Countries!$AG$5:$AG$222,0))</f>
        <v/>
      </c>
      <c r="M82" s="19">
        <f>INDEX(Countries!$AK$5:$AK$222,MATCH(22,Countries!$AG$5:$AG$222,0))</f>
        <v/>
      </c>
    </row>
    <row r="83">
      <c r="A83" s="10">
        <f>INDEX(Countries!$B$5:$B$222,MATCH(23,Countries!$AG$5:$AG$222,0))</f>
        <v/>
      </c>
      <c r="B83" s="10">
        <f>INDEX(Countries!$C$5:$C$222,MATCH(23,Countries!$AG$5:$AG$222,0))</f>
        <v/>
      </c>
      <c r="C83" s="10">
        <f>INDEX(Countries!$D$5:$D$222,MATCH(23,Countries!$AG$5:$AG$222,0))</f>
        <v/>
      </c>
      <c r="D83" s="7">
        <f>INDEX(Countries!$X$5:$X$222,MATCH(23,Countries!$AG$5:$AG$222,0))/1000000</f>
        <v/>
      </c>
      <c r="E83" s="7">
        <f>INDEX(Countries!$Y$5:$Y$222,MATCH(23,Countries!$AG$5:$AG$222,0))/1000000</f>
        <v/>
      </c>
      <c r="F83" s="7">
        <f>INDEX(Countries!$Z$5:$Z$222,MATCH(23,Countries!$AG$5:$AG$222,0))/1000000</f>
        <v/>
      </c>
      <c r="G83" s="7">
        <f>INDEX(Countries!$AA$5:$AA$222,MATCH(23,Countries!$AG$5:$AG$222,0))/1000000</f>
        <v/>
      </c>
      <c r="H83" s="7">
        <f>INDEX(Countries!$AB$5:$AB$222,MATCH(23,Countries!$AG$5:$AG$222,0))/1000000</f>
        <v/>
      </c>
      <c r="I83" s="7">
        <f>INDEX(Countries!$AC$5:$AC$222,MATCH(23,Countries!$AG$5:$AG$222,0))/1000000</f>
        <v/>
      </c>
      <c r="J83" s="7">
        <f>INDEX(Countries!$AD$5:$AD$222,MATCH(23,Countries!$AG$5:$AG$222,0))/1000000</f>
        <v/>
      </c>
      <c r="K83" s="8">
        <f>INDEX(Countries!$AE$5:$AE$222,MATCH(23,Countries!$AG$5:$AG$222,0))/1000000</f>
        <v/>
      </c>
      <c r="L83" s="9">
        <f>INDEX(Countries!$AF$5:$AF$222,MATCH(23,Countries!$AG$5:$AG$222,0))</f>
        <v/>
      </c>
      <c r="M83" s="19">
        <f>INDEX(Countries!$AK$5:$AK$222,MATCH(23,Countries!$AG$5:$AG$222,0))</f>
        <v/>
      </c>
    </row>
    <row r="84">
      <c r="A84" s="10">
        <f>INDEX(Countries!$B$5:$B$222,MATCH(24,Countries!$AG$5:$AG$222,0))</f>
        <v/>
      </c>
      <c r="B84" s="10">
        <f>INDEX(Countries!$C$5:$C$222,MATCH(24,Countries!$AG$5:$AG$222,0))</f>
        <v/>
      </c>
      <c r="C84" s="10">
        <f>INDEX(Countries!$D$5:$D$222,MATCH(24,Countries!$AG$5:$AG$222,0))</f>
        <v/>
      </c>
      <c r="D84" s="7">
        <f>INDEX(Countries!$X$5:$X$222,MATCH(24,Countries!$AG$5:$AG$222,0))/1000000</f>
        <v/>
      </c>
      <c r="E84" s="7">
        <f>INDEX(Countries!$Y$5:$Y$222,MATCH(24,Countries!$AG$5:$AG$222,0))/1000000</f>
        <v/>
      </c>
      <c r="F84" s="7">
        <f>INDEX(Countries!$Z$5:$Z$222,MATCH(24,Countries!$AG$5:$AG$222,0))/1000000</f>
        <v/>
      </c>
      <c r="G84" s="7">
        <f>INDEX(Countries!$AA$5:$AA$222,MATCH(24,Countries!$AG$5:$AG$222,0))/1000000</f>
        <v/>
      </c>
      <c r="H84" s="7">
        <f>INDEX(Countries!$AB$5:$AB$222,MATCH(24,Countries!$AG$5:$AG$222,0))/1000000</f>
        <v/>
      </c>
      <c r="I84" s="7">
        <f>INDEX(Countries!$AC$5:$AC$222,MATCH(24,Countries!$AG$5:$AG$222,0))/1000000</f>
        <v/>
      </c>
      <c r="J84" s="7">
        <f>INDEX(Countries!$AD$5:$AD$222,MATCH(24,Countries!$AG$5:$AG$222,0))/1000000</f>
        <v/>
      </c>
      <c r="K84" s="8">
        <f>INDEX(Countries!$AE$5:$AE$222,MATCH(24,Countries!$AG$5:$AG$222,0))/1000000</f>
        <v/>
      </c>
      <c r="L84" s="9">
        <f>INDEX(Countries!$AF$5:$AF$222,MATCH(24,Countries!$AG$5:$AG$222,0))</f>
        <v/>
      </c>
      <c r="M84" s="19">
        <f>INDEX(Countries!$AK$5:$AK$222,MATCH(24,Countries!$AG$5:$AG$222,0))</f>
        <v/>
      </c>
    </row>
    <row r="85">
      <c r="A85" s="10">
        <f>INDEX(Countries!$B$5:$B$222,MATCH(25,Countries!$AG$5:$AG$222,0))</f>
        <v/>
      </c>
      <c r="B85" s="10">
        <f>INDEX(Countries!$C$5:$C$222,MATCH(25,Countries!$AG$5:$AG$222,0))</f>
        <v/>
      </c>
      <c r="C85" s="10">
        <f>INDEX(Countries!$D$5:$D$222,MATCH(25,Countries!$AG$5:$AG$222,0))</f>
        <v/>
      </c>
      <c r="D85" s="7">
        <f>INDEX(Countries!$X$5:$X$222,MATCH(25,Countries!$AG$5:$AG$222,0))/1000000</f>
        <v/>
      </c>
      <c r="E85" s="7">
        <f>INDEX(Countries!$Y$5:$Y$222,MATCH(25,Countries!$AG$5:$AG$222,0))/1000000</f>
        <v/>
      </c>
      <c r="F85" s="7">
        <f>INDEX(Countries!$Z$5:$Z$222,MATCH(25,Countries!$AG$5:$AG$222,0))/1000000</f>
        <v/>
      </c>
      <c r="G85" s="7">
        <f>INDEX(Countries!$AA$5:$AA$222,MATCH(25,Countries!$AG$5:$AG$222,0))/1000000</f>
        <v/>
      </c>
      <c r="H85" s="7">
        <f>INDEX(Countries!$AB$5:$AB$222,MATCH(25,Countries!$AG$5:$AG$222,0))/1000000</f>
        <v/>
      </c>
      <c r="I85" s="7">
        <f>INDEX(Countries!$AC$5:$AC$222,MATCH(25,Countries!$AG$5:$AG$222,0))/1000000</f>
        <v/>
      </c>
      <c r="J85" s="7">
        <f>INDEX(Countries!$AD$5:$AD$222,MATCH(25,Countries!$AG$5:$AG$222,0))/1000000</f>
        <v/>
      </c>
      <c r="K85" s="8">
        <f>INDEX(Countries!$AE$5:$AE$222,MATCH(25,Countries!$AG$5:$AG$222,0))/1000000</f>
        <v/>
      </c>
      <c r="L85" s="9">
        <f>INDEX(Countries!$AF$5:$AF$222,MATCH(25,Countries!$AG$5:$AG$222,0))</f>
        <v/>
      </c>
      <c r="M85" s="19">
        <f>INDEX(Countries!$AK$5:$AK$222,MATCH(25,Countries!$AG$5:$AG$222,0))</f>
        <v/>
      </c>
    </row>
    <row r="86"/>
    <row r="87">
      <c r="A87" s="3" t="inlineStr">
        <is>
          <t>6. AI adoption — share of people aged 15-64 who used a generative AI product (Microsoft AI Diffusion Report, Q2 2026 = June 2026)</t>
        </is>
      </c>
    </row>
    <row r="88">
      <c r="A88" s="2" t="inlineStr">
        <is>
          <t>AI users = Microsoft AI user share x World Bank 2025 population aged 15-64. Economies Microsoft does not measure are left out (not imputed); "AI user share" is users / 15-64 population of the measured economies.</t>
        </is>
      </c>
    </row>
    <row r="89"/>
    <row r="90">
      <c r="A90" s="3" t="inlineStr">
        <is>
          <t>6a. By region</t>
        </is>
      </c>
    </row>
    <row r="91">
      <c r="A91" s="4" t="inlineStr"/>
      <c r="B91" s="5" t="inlineStr">
        <is>
          <t>Pop 15-64 (M)</t>
        </is>
      </c>
      <c r="C91" s="5" t="inlineStr">
        <is>
          <t>15-64 where measured (M)</t>
        </is>
      </c>
      <c r="D91" s="5" t="inlineStr">
        <is>
          <t>Coverage</t>
        </is>
      </c>
      <c r="E91" s="5" t="inlineStr">
        <is>
          <t>AI users (M)</t>
        </is>
      </c>
      <c r="F91" s="5" t="inlineStr">
        <is>
          <t>AI user share</t>
        </is>
      </c>
      <c r="G91" s="5" t="inlineStr">
        <is>
          <t>Economies measured</t>
        </is>
      </c>
      <c r="H91" s="5" t="inlineStr">
        <is>
          <t>Economies</t>
        </is>
      </c>
    </row>
    <row r="92">
      <c r="A92" s="6" t="inlineStr">
        <is>
          <t>East Asia &amp; Pacific</t>
        </is>
      </c>
      <c r="B92" s="7">
        <f>SUMIFS(Countries!$AL$5:$AL$222,Countries!$C$5:$C$222,"East Asia &amp; Pacific")/1000000</f>
        <v/>
      </c>
      <c r="C92" s="7">
        <f>SUMIFS(Countries!$AQ$5:$AQ$222,Countries!$C$5:$C$222,"East Asia &amp; Pacific")/1000000</f>
        <v/>
      </c>
      <c r="D92" s="9">
        <f>IF(B92&gt;0,C92/B92,0)</f>
        <v/>
      </c>
      <c r="E92" s="8">
        <f>SUMIFS(Countries!$AP$5:$AP$222,Countries!$C$5:$C$222,"East Asia &amp; Pacific")/1000000</f>
        <v/>
      </c>
      <c r="F92" s="20">
        <f>IF(C92&gt;0,E92/C92,0)</f>
        <v/>
      </c>
      <c r="G92" s="10">
        <f>COUNTIFS(Countries!$C$5:$C$222,"East Asia &amp; Pacific",Countries!$AN$5:$AN$222,"&gt;0")</f>
        <v/>
      </c>
      <c r="H92" s="10">
        <f>COUNTIFS(Countries!$C$5:$C$222,"East Asia &amp; Pacific")</f>
        <v/>
      </c>
    </row>
    <row r="93">
      <c r="A93" s="6" t="inlineStr">
        <is>
          <t>South Asia</t>
        </is>
      </c>
      <c r="B93" s="7">
        <f>SUMIFS(Countries!$AL$5:$AL$222,Countries!$C$5:$C$222,"South Asia")/1000000</f>
        <v/>
      </c>
      <c r="C93" s="7">
        <f>SUMIFS(Countries!$AQ$5:$AQ$222,Countries!$C$5:$C$222,"South Asia")/1000000</f>
        <v/>
      </c>
      <c r="D93" s="9">
        <f>IF(B93&gt;0,C93/B93,0)</f>
        <v/>
      </c>
      <c r="E93" s="8">
        <f>SUMIFS(Countries!$AP$5:$AP$222,Countries!$C$5:$C$222,"South Asia")/1000000</f>
        <v/>
      </c>
      <c r="F93" s="20">
        <f>IF(C93&gt;0,E93/C93,0)</f>
        <v/>
      </c>
      <c r="G93" s="10">
        <f>COUNTIFS(Countries!$C$5:$C$222,"South Asia",Countries!$AN$5:$AN$222,"&gt;0")</f>
        <v/>
      </c>
      <c r="H93" s="10">
        <f>COUNTIFS(Countries!$C$5:$C$222,"South Asia")</f>
        <v/>
      </c>
    </row>
    <row r="94">
      <c r="A94" s="6" t="inlineStr">
        <is>
          <t>Sub-Saharan Africa</t>
        </is>
      </c>
      <c r="B94" s="7">
        <f>SUMIFS(Countries!$AL$5:$AL$222,Countries!$C$5:$C$222,"Sub-Saharan Africa")/1000000</f>
        <v/>
      </c>
      <c r="C94" s="7">
        <f>SUMIFS(Countries!$AQ$5:$AQ$222,Countries!$C$5:$C$222,"Sub-Saharan Africa")/1000000</f>
        <v/>
      </c>
      <c r="D94" s="9">
        <f>IF(B94&gt;0,C94/B94,0)</f>
        <v/>
      </c>
      <c r="E94" s="8">
        <f>SUMIFS(Countries!$AP$5:$AP$222,Countries!$C$5:$C$222,"Sub-Saharan Africa")/1000000</f>
        <v/>
      </c>
      <c r="F94" s="20">
        <f>IF(C94&gt;0,E94/C94,0)</f>
        <v/>
      </c>
      <c r="G94" s="10">
        <f>COUNTIFS(Countries!$C$5:$C$222,"Sub-Saharan Africa",Countries!$AN$5:$AN$222,"&gt;0")</f>
        <v/>
      </c>
      <c r="H94" s="10">
        <f>COUNTIFS(Countries!$C$5:$C$222,"Sub-Saharan Africa")</f>
        <v/>
      </c>
    </row>
    <row r="95">
      <c r="A95" s="6" t="inlineStr">
        <is>
          <t>Europe &amp; Central Asia</t>
        </is>
      </c>
      <c r="B95" s="7">
        <f>SUMIFS(Countries!$AL$5:$AL$222,Countries!$C$5:$C$222,"Europe &amp; Central Asia")/1000000</f>
        <v/>
      </c>
      <c r="C95" s="7">
        <f>SUMIFS(Countries!$AQ$5:$AQ$222,Countries!$C$5:$C$222,"Europe &amp; Central Asia")/1000000</f>
        <v/>
      </c>
      <c r="D95" s="9">
        <f>IF(B95&gt;0,C95/B95,0)</f>
        <v/>
      </c>
      <c r="E95" s="8">
        <f>SUMIFS(Countries!$AP$5:$AP$222,Countries!$C$5:$C$222,"Europe &amp; Central Asia")/1000000</f>
        <v/>
      </c>
      <c r="F95" s="20">
        <f>IF(C95&gt;0,E95/C95,0)</f>
        <v/>
      </c>
      <c r="G95" s="10">
        <f>COUNTIFS(Countries!$C$5:$C$222,"Europe &amp; Central Asia",Countries!$AN$5:$AN$222,"&gt;0")</f>
        <v/>
      </c>
      <c r="H95" s="10">
        <f>COUNTIFS(Countries!$C$5:$C$222,"Europe &amp; Central Asia")</f>
        <v/>
      </c>
    </row>
    <row r="96">
      <c r="A96" s="6" t="inlineStr">
        <is>
          <t>Middle East, North Africa, Afghanistan &amp; Pakistan</t>
        </is>
      </c>
      <c r="B96" s="7">
        <f>SUMIFS(Countries!$AL$5:$AL$222,Countries!$C$5:$C$222,"Middle East, North Africa, Afghanistan &amp; Pakistan")/1000000</f>
        <v/>
      </c>
      <c r="C96" s="7">
        <f>SUMIFS(Countries!$AQ$5:$AQ$222,Countries!$C$5:$C$222,"Middle East, North Africa, Afghanistan &amp; Pakistan")/1000000</f>
        <v/>
      </c>
      <c r="D96" s="9">
        <f>IF(B96&gt;0,C96/B96,0)</f>
        <v/>
      </c>
      <c r="E96" s="8">
        <f>SUMIFS(Countries!$AP$5:$AP$222,Countries!$C$5:$C$222,"Middle East, North Africa, Afghanistan &amp; Pakistan")/1000000</f>
        <v/>
      </c>
      <c r="F96" s="20">
        <f>IF(C96&gt;0,E96/C96,0)</f>
        <v/>
      </c>
      <c r="G96" s="10">
        <f>COUNTIFS(Countries!$C$5:$C$222,"Middle East, North Africa, Afghanistan &amp; Pakistan",Countries!$AN$5:$AN$222,"&gt;0")</f>
        <v/>
      </c>
      <c r="H96" s="10">
        <f>COUNTIFS(Countries!$C$5:$C$222,"Middle East, North Africa, Afghanistan &amp; Pakistan")</f>
        <v/>
      </c>
    </row>
    <row r="97">
      <c r="A97" s="6" t="inlineStr">
        <is>
          <t>Latin America &amp; Caribbean</t>
        </is>
      </c>
      <c r="B97" s="7">
        <f>SUMIFS(Countries!$AL$5:$AL$222,Countries!$C$5:$C$222,"Latin America &amp; Caribbean")/1000000</f>
        <v/>
      </c>
      <c r="C97" s="7">
        <f>SUMIFS(Countries!$AQ$5:$AQ$222,Countries!$C$5:$C$222,"Latin America &amp; Caribbean")/1000000</f>
        <v/>
      </c>
      <c r="D97" s="9">
        <f>IF(B97&gt;0,C97/B97,0)</f>
        <v/>
      </c>
      <c r="E97" s="8">
        <f>SUMIFS(Countries!$AP$5:$AP$222,Countries!$C$5:$C$222,"Latin America &amp; Caribbean")/1000000</f>
        <v/>
      </c>
      <c r="F97" s="20">
        <f>IF(C97&gt;0,E97/C97,0)</f>
        <v/>
      </c>
      <c r="G97" s="10">
        <f>COUNTIFS(Countries!$C$5:$C$222,"Latin America &amp; Caribbean",Countries!$AN$5:$AN$222,"&gt;0")</f>
        <v/>
      </c>
      <c r="H97" s="10">
        <f>COUNTIFS(Countries!$C$5:$C$222,"Latin America &amp; Caribbean")</f>
        <v/>
      </c>
    </row>
    <row r="98">
      <c r="A98" s="6" t="inlineStr">
        <is>
          <t>North America</t>
        </is>
      </c>
      <c r="B98" s="7">
        <f>SUMIFS(Countries!$AL$5:$AL$222,Countries!$C$5:$C$222,"North America")/1000000</f>
        <v/>
      </c>
      <c r="C98" s="7">
        <f>SUMIFS(Countries!$AQ$5:$AQ$222,Countries!$C$5:$C$222,"North America")/1000000</f>
        <v/>
      </c>
      <c r="D98" s="9">
        <f>IF(B98&gt;0,C98/B98,0)</f>
        <v/>
      </c>
      <c r="E98" s="8">
        <f>SUMIFS(Countries!$AP$5:$AP$222,Countries!$C$5:$C$222,"North America")/1000000</f>
        <v/>
      </c>
      <c r="F98" s="20">
        <f>IF(C98&gt;0,E98/C98,0)</f>
        <v/>
      </c>
      <c r="G98" s="10">
        <f>COUNTIFS(Countries!$C$5:$C$222,"North America",Countries!$AN$5:$AN$222,"&gt;0")</f>
        <v/>
      </c>
      <c r="H98" s="10">
        <f>COUNTIFS(Countries!$C$5:$C$222,"North America")</f>
        <v/>
      </c>
    </row>
    <row r="99">
      <c r="A99" s="14" t="inlineStr">
        <is>
          <t>World</t>
        </is>
      </c>
      <c r="B99" s="15">
        <f>SUM(B92:B98)</f>
        <v/>
      </c>
      <c r="C99" s="15">
        <f>SUM(C92:C98)</f>
        <v/>
      </c>
      <c r="D99" s="16">
        <f>C99/B99</f>
        <v/>
      </c>
      <c r="E99" s="15">
        <f>SUM(E92:E98)</f>
        <v/>
      </c>
      <c r="F99" s="16">
        <f>E99/C99</f>
        <v/>
      </c>
      <c r="G99" s="18">
        <f>SUM(G92:G98)</f>
        <v/>
      </c>
      <c r="H99" s="18">
        <f>SUM(H92:H98)</f>
        <v/>
      </c>
    </row>
    <row r="100"/>
    <row r="101">
      <c r="A101" s="3" t="inlineStr">
        <is>
          <t>6b. By income level</t>
        </is>
      </c>
    </row>
    <row r="102">
      <c r="A102" s="4" t="inlineStr"/>
      <c r="B102" s="5" t="inlineStr">
        <is>
          <t>Pop 15-64 (M)</t>
        </is>
      </c>
      <c r="C102" s="5" t="inlineStr">
        <is>
          <t>15-64 where measured (M)</t>
        </is>
      </c>
      <c r="D102" s="5" t="inlineStr">
        <is>
          <t>Coverage</t>
        </is>
      </c>
      <c r="E102" s="5" t="inlineStr">
        <is>
          <t>AI users (M)</t>
        </is>
      </c>
      <c r="F102" s="5" t="inlineStr">
        <is>
          <t>AI user share</t>
        </is>
      </c>
      <c r="G102" s="5" t="inlineStr">
        <is>
          <t>Economies measured</t>
        </is>
      </c>
      <c r="H102" s="5" t="inlineStr">
        <is>
          <t>Economies</t>
        </is>
      </c>
    </row>
    <row r="103">
      <c r="A103" s="6" t="inlineStr">
        <is>
          <t>High income</t>
        </is>
      </c>
      <c r="B103" s="7">
        <f>SUMIFS(Countries!$AL$5:$AL$222,Countries!$D$5:$D$222,"High income")/1000000</f>
        <v/>
      </c>
      <c r="C103" s="7">
        <f>SUMIFS(Countries!$AQ$5:$AQ$222,Countries!$D$5:$D$222,"High income")/1000000</f>
        <v/>
      </c>
      <c r="D103" s="9">
        <f>IF(B103&gt;0,C103/B103,0)</f>
        <v/>
      </c>
      <c r="E103" s="8">
        <f>SUMIFS(Countries!$AP$5:$AP$222,Countries!$D$5:$D$222,"High income")/1000000</f>
        <v/>
      </c>
      <c r="F103" s="20">
        <f>IF(C103&gt;0,E103/C103,0)</f>
        <v/>
      </c>
      <c r="G103" s="10">
        <f>COUNTIFS(Countries!$D$5:$D$222,"High income",Countries!$AN$5:$AN$222,"&gt;0")</f>
        <v/>
      </c>
      <c r="H103" s="10">
        <f>COUNTIFS(Countries!$D$5:$D$222,"High income")</f>
        <v/>
      </c>
    </row>
    <row r="104">
      <c r="A104" s="6" t="inlineStr">
        <is>
          <t>Upper middle income</t>
        </is>
      </c>
      <c r="B104" s="7">
        <f>SUMIFS(Countries!$AL$5:$AL$222,Countries!$D$5:$D$222,"Upper middle income")/1000000</f>
        <v/>
      </c>
      <c r="C104" s="7">
        <f>SUMIFS(Countries!$AQ$5:$AQ$222,Countries!$D$5:$D$222,"Upper middle income")/1000000</f>
        <v/>
      </c>
      <c r="D104" s="9">
        <f>IF(B104&gt;0,C104/B104,0)</f>
        <v/>
      </c>
      <c r="E104" s="8">
        <f>SUMIFS(Countries!$AP$5:$AP$222,Countries!$D$5:$D$222,"Upper middle income")/1000000</f>
        <v/>
      </c>
      <c r="F104" s="20">
        <f>IF(C104&gt;0,E104/C104,0)</f>
        <v/>
      </c>
      <c r="G104" s="10">
        <f>COUNTIFS(Countries!$D$5:$D$222,"Upper middle income",Countries!$AN$5:$AN$222,"&gt;0")</f>
        <v/>
      </c>
      <c r="H104" s="10">
        <f>COUNTIFS(Countries!$D$5:$D$222,"Upper middle income")</f>
        <v/>
      </c>
    </row>
    <row r="105">
      <c r="A105" s="6" t="inlineStr">
        <is>
          <t>Lower middle income</t>
        </is>
      </c>
      <c r="B105" s="7">
        <f>SUMIFS(Countries!$AL$5:$AL$222,Countries!$D$5:$D$222,"Lower middle income")/1000000</f>
        <v/>
      </c>
      <c r="C105" s="7">
        <f>SUMIFS(Countries!$AQ$5:$AQ$222,Countries!$D$5:$D$222,"Lower middle income")/1000000</f>
        <v/>
      </c>
      <c r="D105" s="9">
        <f>IF(B105&gt;0,C105/B105,0)</f>
        <v/>
      </c>
      <c r="E105" s="8">
        <f>SUMIFS(Countries!$AP$5:$AP$222,Countries!$D$5:$D$222,"Lower middle income")/1000000</f>
        <v/>
      </c>
      <c r="F105" s="20">
        <f>IF(C105&gt;0,E105/C105,0)</f>
        <v/>
      </c>
      <c r="G105" s="10">
        <f>COUNTIFS(Countries!$D$5:$D$222,"Lower middle income",Countries!$AN$5:$AN$222,"&gt;0")</f>
        <v/>
      </c>
      <c r="H105" s="10">
        <f>COUNTIFS(Countries!$D$5:$D$222,"Lower middle income")</f>
        <v/>
      </c>
    </row>
    <row r="106">
      <c r="A106" s="6" t="inlineStr">
        <is>
          <t>Low income</t>
        </is>
      </c>
      <c r="B106" s="7">
        <f>SUMIFS(Countries!$AL$5:$AL$222,Countries!$D$5:$D$222,"Low income")/1000000</f>
        <v/>
      </c>
      <c r="C106" s="7">
        <f>SUMIFS(Countries!$AQ$5:$AQ$222,Countries!$D$5:$D$222,"Low income")/1000000</f>
        <v/>
      </c>
      <c r="D106" s="9">
        <f>IF(B106&gt;0,C106/B106,0)</f>
        <v/>
      </c>
      <c r="E106" s="8">
        <f>SUMIFS(Countries!$AP$5:$AP$222,Countries!$D$5:$D$222,"Low income")/1000000</f>
        <v/>
      </c>
      <c r="F106" s="20">
        <f>IF(C106&gt;0,E106/C106,0)</f>
        <v/>
      </c>
      <c r="G106" s="10">
        <f>COUNTIFS(Countries!$D$5:$D$222,"Low income",Countries!$AN$5:$AN$222,"&gt;0")</f>
        <v/>
      </c>
      <c r="H106" s="10">
        <f>COUNTIFS(Countries!$D$5:$D$222,"Low income")</f>
        <v/>
      </c>
    </row>
    <row r="107">
      <c r="A107" s="14" t="inlineStr">
        <is>
          <t>World</t>
        </is>
      </c>
      <c r="B107" s="15">
        <f>SUM(B103:B106)</f>
        <v/>
      </c>
      <c r="C107" s="15">
        <f>SUM(C103:C106)</f>
        <v/>
      </c>
      <c r="D107" s="16">
        <f>C107/B107</f>
        <v/>
      </c>
      <c r="E107" s="15">
        <f>SUM(E103:E106)</f>
        <v/>
      </c>
      <c r="F107" s="16">
        <f>E107/C107</f>
        <v/>
      </c>
      <c r="G107" s="18">
        <f>SUM(G103:G106)</f>
        <v/>
      </c>
      <c r="H107" s="18">
        <f>SUM(H103:H106)</f>
        <v/>
      </c>
    </row>
    <row r="108"/>
    <row r="109">
      <c r="A109" s="3" t="inlineStr">
        <is>
          <t>6c. China cross-check — official CNNIC figures (Microsoft notes its telemetry undercounts China)</t>
        </is>
      </c>
    </row>
    <row r="110">
      <c r="A110" s="6" t="inlineStr">
        <is>
          <t>China AI users per Microsoft, 15-64 (M)</t>
        </is>
      </c>
      <c r="B110" s="21">
        <f>INDEX(Countries!$AP$5:$AP$222,MATCH("CHN",Countries!$A$5:$A$222,0))/1000000</f>
        <v/>
      </c>
    </row>
    <row r="111">
      <c r="A111" s="6" t="inlineStr">
        <is>
          <t>China generative-AI users, H1 2026, CNNIC (M)</t>
        </is>
      </c>
      <c r="B111" s="22" t="n">
        <v>700</v>
      </c>
    </row>
    <row r="112">
      <c r="A112" s="6" t="inlineStr">
        <is>
          <t>China generative-AI users, Dec 2025, CNNIC (M)</t>
        </is>
      </c>
      <c r="B112" s="22" t="n">
        <v>602</v>
      </c>
    </row>
    <row r="113">
      <c r="A113" s="6" t="inlineStr">
        <is>
          <t>CNNIC H1 2026 / Microsoft (x)</t>
        </is>
      </c>
      <c r="B113" s="23">
        <f>B111/B110</f>
        <v/>
      </c>
    </row>
    <row r="114">
      <c r="A114" s="6" t="inlineStr">
        <is>
          <t>World AI users, Microsoft for every economy (M)</t>
        </is>
      </c>
      <c r="B114" s="21">
        <f>E99</f>
        <v/>
      </c>
    </row>
    <row r="115">
      <c r="A115" s="6" t="inlineStr">
        <is>
          <t>World AI users with China at CNNIC H1 2026 (M)</t>
        </is>
      </c>
      <c r="B115" s="21">
        <f>B114-B110+B111</f>
        <v/>
      </c>
    </row>
    <row r="116">
      <c r="A116" s="6" t="inlineStr">
        <is>
          <t>Microsoft global AI user share, June 2026 (report text)</t>
        </is>
      </c>
      <c r="B116" s="24" t="n">
        <v>0.188</v>
      </c>
    </row>
    <row r="117">
      <c r="A117" s="6" t="inlineStr">
        <is>
          <t>Microsoft global share x World Bank 15-64 pop (M) — check</t>
        </is>
      </c>
      <c r="B117" s="21">
        <f>B116*Countries!AL223/1000000</f>
        <v/>
      </c>
    </row>
    <row r="118"/>
    <row r="119">
      <c r="A119" s="3" t="inlineStr">
        <is>
          <t>7. National official sources (Eurostat, CNNIC, Ofcom, Federal Reserve, ...) compared with Microsoft</t>
        </is>
      </c>
    </row>
    <row r="120">
      <c r="A120" s="2" t="inlineStr">
        <is>
          <t>Each national figure is turned into users on the population that source measures (its own age range; internet-user shares x internet use rate). Only tier A (official statistics) and tier B (central bank / public research) count; tier C and loose measures are listed on Countries but excluded. Best available = national (A/B) where it exists, Microsoft otherwise.</t>
        </is>
      </c>
    </row>
    <row r="121"/>
    <row r="122">
      <c r="A122" s="3" t="inlineStr">
        <is>
          <t>7a. By region</t>
        </is>
      </c>
    </row>
    <row r="123">
      <c r="A123" s="4" t="inlineStr"/>
      <c r="B123" s="5" t="inlineStr">
        <is>
          <t>Economies with a national figure (A/B)</t>
        </is>
      </c>
      <c r="C123" s="5" t="inlineStr">
        <is>
          <t>National: AI users (M)</t>
        </is>
      </c>
      <c r="D123" s="5" t="inlineStr">
        <is>
          <t>Microsoft: AI users, same economies (M)</t>
        </is>
      </c>
      <c r="E123" s="5" t="inlineStr">
        <is>
          <t>National / Microsoft (x)</t>
        </is>
      </c>
      <c r="F123" s="5" t="inlineStr">
        <is>
          <t>Microsoft: AI users, all measured (M)</t>
        </is>
      </c>
      <c r="G123" s="5" t="inlineStr">
        <is>
          <t>Best available (M)</t>
        </is>
      </c>
      <c r="H123" s="5" t="inlineStr">
        <is>
          <t>Best vs Microsoft (x)</t>
        </is>
      </c>
    </row>
    <row r="124">
      <c r="A124" s="6" t="inlineStr">
        <is>
          <t>East Asia &amp; Pacific</t>
        </is>
      </c>
      <c r="B124" s="10">
        <f>COUNTIFS(Countries!$C$5:$C$222,"East Asia &amp; Pacific",Countries!$BA$5:$BA$222,"Yes")</f>
        <v/>
      </c>
      <c r="C124" s="8">
        <f>SUMIFS(Countries!$BB$5:$BB$222,Countries!$C$5:$C$222,"East Asia &amp; Pacific")/1000000</f>
        <v/>
      </c>
      <c r="D124" s="7">
        <f>SUMIFS(Countries!$BC$5:$BC$222,Countries!$C$5:$C$222,"East Asia &amp; Pacific")/1000000</f>
        <v/>
      </c>
      <c r="E124" s="25">
        <f>IF(D124&gt;0,C124/D124,"")</f>
        <v/>
      </c>
      <c r="F124" s="7">
        <f>SUMIFS(Countries!$AP$5:$AP$222,Countries!$C$5:$C$222,"East Asia &amp; Pacific")/1000000</f>
        <v/>
      </c>
      <c r="G124" s="8">
        <f>SUMIFS(Countries!$BD$5:$BD$222,Countries!$C$5:$C$222,"East Asia &amp; Pacific")/1000000</f>
        <v/>
      </c>
      <c r="H124" s="25">
        <f>IF(F124&gt;0,G124/F124,"")</f>
        <v/>
      </c>
    </row>
    <row r="125">
      <c r="A125" s="6" t="inlineStr">
        <is>
          <t>South Asia</t>
        </is>
      </c>
      <c r="B125" s="10">
        <f>COUNTIFS(Countries!$C$5:$C$222,"South Asia",Countries!$BA$5:$BA$222,"Yes")</f>
        <v/>
      </c>
      <c r="C125" s="8">
        <f>SUMIFS(Countries!$BB$5:$BB$222,Countries!$C$5:$C$222,"South Asia")/1000000</f>
        <v/>
      </c>
      <c r="D125" s="7">
        <f>SUMIFS(Countries!$BC$5:$BC$222,Countries!$C$5:$C$222,"South Asia")/1000000</f>
        <v/>
      </c>
      <c r="E125" s="25">
        <f>IF(D125&gt;0,C125/D125,"")</f>
        <v/>
      </c>
      <c r="F125" s="7">
        <f>SUMIFS(Countries!$AP$5:$AP$222,Countries!$C$5:$C$222,"South Asia")/1000000</f>
        <v/>
      </c>
      <c r="G125" s="8">
        <f>SUMIFS(Countries!$BD$5:$BD$222,Countries!$C$5:$C$222,"South Asia")/1000000</f>
        <v/>
      </c>
      <c r="H125" s="25">
        <f>IF(F125&gt;0,G125/F125,"")</f>
        <v/>
      </c>
    </row>
    <row r="126">
      <c r="A126" s="6" t="inlineStr">
        <is>
          <t>Sub-Saharan Africa</t>
        </is>
      </c>
      <c r="B126" s="10">
        <f>COUNTIFS(Countries!$C$5:$C$222,"Sub-Saharan Africa",Countries!$BA$5:$BA$222,"Yes")</f>
        <v/>
      </c>
      <c r="C126" s="8">
        <f>SUMIFS(Countries!$BB$5:$BB$222,Countries!$C$5:$C$222,"Sub-Saharan Africa")/1000000</f>
        <v/>
      </c>
      <c r="D126" s="7">
        <f>SUMIFS(Countries!$BC$5:$BC$222,Countries!$C$5:$C$222,"Sub-Saharan Africa")/1000000</f>
        <v/>
      </c>
      <c r="E126" s="25">
        <f>IF(D126&gt;0,C126/D126,"")</f>
        <v/>
      </c>
      <c r="F126" s="7">
        <f>SUMIFS(Countries!$AP$5:$AP$222,Countries!$C$5:$C$222,"Sub-Saharan Africa")/1000000</f>
        <v/>
      </c>
      <c r="G126" s="8">
        <f>SUMIFS(Countries!$BD$5:$BD$222,Countries!$C$5:$C$222,"Sub-Saharan Africa")/1000000</f>
        <v/>
      </c>
      <c r="H126" s="25">
        <f>IF(F126&gt;0,G126/F126,"")</f>
        <v/>
      </c>
    </row>
    <row r="127">
      <c r="A127" s="6" t="inlineStr">
        <is>
          <t>Europe &amp; Central Asia</t>
        </is>
      </c>
      <c r="B127" s="10">
        <f>COUNTIFS(Countries!$C$5:$C$222,"Europe &amp; Central Asia",Countries!$BA$5:$BA$222,"Yes")</f>
        <v/>
      </c>
      <c r="C127" s="8">
        <f>SUMIFS(Countries!$BB$5:$BB$222,Countries!$C$5:$C$222,"Europe &amp; Central Asia")/1000000</f>
        <v/>
      </c>
      <c r="D127" s="7">
        <f>SUMIFS(Countries!$BC$5:$BC$222,Countries!$C$5:$C$222,"Europe &amp; Central Asia")/1000000</f>
        <v/>
      </c>
      <c r="E127" s="25">
        <f>IF(D127&gt;0,C127/D127,"")</f>
        <v/>
      </c>
      <c r="F127" s="7">
        <f>SUMIFS(Countries!$AP$5:$AP$222,Countries!$C$5:$C$222,"Europe &amp; Central Asia")/1000000</f>
        <v/>
      </c>
      <c r="G127" s="8">
        <f>SUMIFS(Countries!$BD$5:$BD$222,Countries!$C$5:$C$222,"Europe &amp; Central Asia")/1000000</f>
        <v/>
      </c>
      <c r="H127" s="25">
        <f>IF(F127&gt;0,G127/F127,"")</f>
        <v/>
      </c>
    </row>
    <row r="128">
      <c r="A128" s="6" t="inlineStr">
        <is>
          <t>Middle East, North Africa, Afghanistan &amp; Pakistan</t>
        </is>
      </c>
      <c r="B128" s="10">
        <f>COUNTIFS(Countries!$C$5:$C$222,"Middle East, North Africa, Afghanistan &amp; Pakistan",Countries!$BA$5:$BA$222,"Yes")</f>
        <v/>
      </c>
      <c r="C128" s="8">
        <f>SUMIFS(Countries!$BB$5:$BB$222,Countries!$C$5:$C$222,"Middle East, North Africa, Afghanistan &amp; Pakistan")/1000000</f>
        <v/>
      </c>
      <c r="D128" s="7">
        <f>SUMIFS(Countries!$BC$5:$BC$222,Countries!$C$5:$C$222,"Middle East, North Africa, Afghanistan &amp; Pakistan")/1000000</f>
        <v/>
      </c>
      <c r="E128" s="25">
        <f>IF(D128&gt;0,C128/D128,"")</f>
        <v/>
      </c>
      <c r="F128" s="7">
        <f>SUMIFS(Countries!$AP$5:$AP$222,Countries!$C$5:$C$222,"Middle East, North Africa, Afghanistan &amp; Pakistan")/1000000</f>
        <v/>
      </c>
      <c r="G128" s="8">
        <f>SUMIFS(Countries!$BD$5:$BD$222,Countries!$C$5:$C$222,"Middle East, North Africa, Afghanistan &amp; Pakistan")/1000000</f>
        <v/>
      </c>
      <c r="H128" s="25">
        <f>IF(F128&gt;0,G128/F128,"")</f>
        <v/>
      </c>
    </row>
    <row r="129">
      <c r="A129" s="6" t="inlineStr">
        <is>
          <t>Latin America &amp; Caribbean</t>
        </is>
      </c>
      <c r="B129" s="10">
        <f>COUNTIFS(Countries!$C$5:$C$222,"Latin America &amp; Caribbean",Countries!$BA$5:$BA$222,"Yes")</f>
        <v/>
      </c>
      <c r="C129" s="8">
        <f>SUMIFS(Countries!$BB$5:$BB$222,Countries!$C$5:$C$222,"Latin America &amp; Caribbean")/1000000</f>
        <v/>
      </c>
      <c r="D129" s="7">
        <f>SUMIFS(Countries!$BC$5:$BC$222,Countries!$C$5:$C$222,"Latin America &amp; Caribbean")/1000000</f>
        <v/>
      </c>
      <c r="E129" s="25">
        <f>IF(D129&gt;0,C129/D129,"")</f>
        <v/>
      </c>
      <c r="F129" s="7">
        <f>SUMIFS(Countries!$AP$5:$AP$222,Countries!$C$5:$C$222,"Latin America &amp; Caribbean")/1000000</f>
        <v/>
      </c>
      <c r="G129" s="8">
        <f>SUMIFS(Countries!$BD$5:$BD$222,Countries!$C$5:$C$222,"Latin America &amp; Caribbean")/1000000</f>
        <v/>
      </c>
      <c r="H129" s="25">
        <f>IF(F129&gt;0,G129/F129,"")</f>
        <v/>
      </c>
    </row>
    <row r="130">
      <c r="A130" s="6" t="inlineStr">
        <is>
          <t>North America</t>
        </is>
      </c>
      <c r="B130" s="10">
        <f>COUNTIFS(Countries!$C$5:$C$222,"North America",Countries!$BA$5:$BA$222,"Yes")</f>
        <v/>
      </c>
      <c r="C130" s="8">
        <f>SUMIFS(Countries!$BB$5:$BB$222,Countries!$C$5:$C$222,"North America")/1000000</f>
        <v/>
      </c>
      <c r="D130" s="7">
        <f>SUMIFS(Countries!$BC$5:$BC$222,Countries!$C$5:$C$222,"North America")/1000000</f>
        <v/>
      </c>
      <c r="E130" s="25">
        <f>IF(D130&gt;0,C130/D130,"")</f>
        <v/>
      </c>
      <c r="F130" s="7">
        <f>SUMIFS(Countries!$AP$5:$AP$222,Countries!$C$5:$C$222,"North America")/1000000</f>
        <v/>
      </c>
      <c r="G130" s="8">
        <f>SUMIFS(Countries!$BD$5:$BD$222,Countries!$C$5:$C$222,"North America")/1000000</f>
        <v/>
      </c>
      <c r="H130" s="25">
        <f>IF(F130&gt;0,G130/F130,"")</f>
        <v/>
      </c>
    </row>
    <row r="131">
      <c r="A131" s="14" t="inlineStr">
        <is>
          <t>World</t>
        </is>
      </c>
      <c r="B131" s="18">
        <f>SUM(B124:B130)</f>
        <v/>
      </c>
      <c r="C131" s="15">
        <f>SUM(C124:C130)</f>
        <v/>
      </c>
      <c r="D131" s="15">
        <f>SUM(D124:D130)</f>
        <v/>
      </c>
      <c r="E131" s="26">
        <f>C131/D131</f>
        <v/>
      </c>
      <c r="F131" s="15">
        <f>SUM(F124:F130)</f>
        <v/>
      </c>
      <c r="G131" s="15">
        <f>SUM(G124:G130)</f>
        <v/>
      </c>
      <c r="H131" s="26">
        <f>G131/F131</f>
        <v/>
      </c>
    </row>
    <row r="132"/>
    <row r="133">
      <c r="A133" s="3" t="inlineStr">
        <is>
          <t>7b. By income level</t>
        </is>
      </c>
    </row>
    <row r="134">
      <c r="A134" s="4" t="inlineStr"/>
      <c r="B134" s="5" t="inlineStr">
        <is>
          <t>Economies with a national figure (A/B)</t>
        </is>
      </c>
      <c r="C134" s="5" t="inlineStr">
        <is>
          <t>National: AI users (M)</t>
        </is>
      </c>
      <c r="D134" s="5" t="inlineStr">
        <is>
          <t>Microsoft: AI users, same economies (M)</t>
        </is>
      </c>
      <c r="E134" s="5" t="inlineStr">
        <is>
          <t>National / Microsoft (x)</t>
        </is>
      </c>
      <c r="F134" s="5" t="inlineStr">
        <is>
          <t>Microsoft: AI users, all measured (M)</t>
        </is>
      </c>
      <c r="G134" s="5" t="inlineStr">
        <is>
          <t>Best available (M)</t>
        </is>
      </c>
      <c r="H134" s="5" t="inlineStr">
        <is>
          <t>Best vs Microsoft (x)</t>
        </is>
      </c>
    </row>
    <row r="135">
      <c r="A135" s="6" t="inlineStr">
        <is>
          <t>High income</t>
        </is>
      </c>
      <c r="B135" s="10">
        <f>COUNTIFS(Countries!$D$5:$D$222,"High income",Countries!$BA$5:$BA$222,"Yes")</f>
        <v/>
      </c>
      <c r="C135" s="8">
        <f>SUMIFS(Countries!$BB$5:$BB$222,Countries!$D$5:$D$222,"High income")/1000000</f>
        <v/>
      </c>
      <c r="D135" s="7">
        <f>SUMIFS(Countries!$BC$5:$BC$222,Countries!$D$5:$D$222,"High income")/1000000</f>
        <v/>
      </c>
      <c r="E135" s="25">
        <f>IF(D135&gt;0,C135/D135,"")</f>
        <v/>
      </c>
      <c r="F135" s="7">
        <f>SUMIFS(Countries!$AP$5:$AP$222,Countries!$D$5:$D$222,"High income")/1000000</f>
        <v/>
      </c>
      <c r="G135" s="8">
        <f>SUMIFS(Countries!$BD$5:$BD$222,Countries!$D$5:$D$222,"High income")/1000000</f>
        <v/>
      </c>
      <c r="H135" s="25">
        <f>IF(F135&gt;0,G135/F135,"")</f>
        <v/>
      </c>
    </row>
    <row r="136">
      <c r="A136" s="6" t="inlineStr">
        <is>
          <t>Upper middle income</t>
        </is>
      </c>
      <c r="B136" s="10">
        <f>COUNTIFS(Countries!$D$5:$D$222,"Upper middle income",Countries!$BA$5:$BA$222,"Yes")</f>
        <v/>
      </c>
      <c r="C136" s="8">
        <f>SUMIFS(Countries!$BB$5:$BB$222,Countries!$D$5:$D$222,"Upper middle income")/1000000</f>
        <v/>
      </c>
      <c r="D136" s="7">
        <f>SUMIFS(Countries!$BC$5:$BC$222,Countries!$D$5:$D$222,"Upper middle income")/1000000</f>
        <v/>
      </c>
      <c r="E136" s="25">
        <f>IF(D136&gt;0,C136/D136,"")</f>
        <v/>
      </c>
      <c r="F136" s="7">
        <f>SUMIFS(Countries!$AP$5:$AP$222,Countries!$D$5:$D$222,"Upper middle income")/1000000</f>
        <v/>
      </c>
      <c r="G136" s="8">
        <f>SUMIFS(Countries!$BD$5:$BD$222,Countries!$D$5:$D$222,"Upper middle income")/1000000</f>
        <v/>
      </c>
      <c r="H136" s="25">
        <f>IF(F136&gt;0,G136/F136,"")</f>
        <v/>
      </c>
    </row>
    <row r="137">
      <c r="A137" s="6" t="inlineStr">
        <is>
          <t>Lower middle income</t>
        </is>
      </c>
      <c r="B137" s="10">
        <f>COUNTIFS(Countries!$D$5:$D$222,"Lower middle income",Countries!$BA$5:$BA$222,"Yes")</f>
        <v/>
      </c>
      <c r="C137" s="8">
        <f>SUMIFS(Countries!$BB$5:$BB$222,Countries!$D$5:$D$222,"Lower middle income")/1000000</f>
        <v/>
      </c>
      <c r="D137" s="7">
        <f>SUMIFS(Countries!$BC$5:$BC$222,Countries!$D$5:$D$222,"Lower middle income")/1000000</f>
        <v/>
      </c>
      <c r="E137" s="25">
        <f>IF(D137&gt;0,C137/D137,"")</f>
        <v/>
      </c>
      <c r="F137" s="7">
        <f>SUMIFS(Countries!$AP$5:$AP$222,Countries!$D$5:$D$222,"Lower middle income")/1000000</f>
        <v/>
      </c>
      <c r="G137" s="8">
        <f>SUMIFS(Countries!$BD$5:$BD$222,Countries!$D$5:$D$222,"Lower middle income")/1000000</f>
        <v/>
      </c>
      <c r="H137" s="25">
        <f>IF(F137&gt;0,G137/F137,"")</f>
        <v/>
      </c>
    </row>
    <row r="138">
      <c r="A138" s="6" t="inlineStr">
        <is>
          <t>Low income</t>
        </is>
      </c>
      <c r="B138" s="10">
        <f>COUNTIFS(Countries!$D$5:$D$222,"Low income",Countries!$BA$5:$BA$222,"Yes")</f>
        <v/>
      </c>
      <c r="C138" s="8">
        <f>SUMIFS(Countries!$BB$5:$BB$222,Countries!$D$5:$D$222,"Low income")/1000000</f>
        <v/>
      </c>
      <c r="D138" s="7">
        <f>SUMIFS(Countries!$BC$5:$BC$222,Countries!$D$5:$D$222,"Low income")/1000000</f>
        <v/>
      </c>
      <c r="E138" s="25">
        <f>IF(D138&gt;0,C138/D138,"")</f>
        <v/>
      </c>
      <c r="F138" s="7">
        <f>SUMIFS(Countries!$AP$5:$AP$222,Countries!$D$5:$D$222,"Low income")/1000000</f>
        <v/>
      </c>
      <c r="G138" s="8">
        <f>SUMIFS(Countries!$BD$5:$BD$222,Countries!$D$5:$D$222,"Low income")/1000000</f>
        <v/>
      </c>
      <c r="H138" s="25">
        <f>IF(F138&gt;0,G138/F138,"")</f>
        <v/>
      </c>
    </row>
    <row r="139">
      <c r="A139" s="14" t="inlineStr">
        <is>
          <t>World</t>
        </is>
      </c>
      <c r="B139" s="18">
        <f>SUM(B135:B138)</f>
        <v/>
      </c>
      <c r="C139" s="15">
        <f>SUM(C135:C138)</f>
        <v/>
      </c>
      <c r="D139" s="15">
        <f>SUM(D135:D138)</f>
        <v/>
      </c>
      <c r="E139" s="26">
        <f>C139/D139</f>
        <v/>
      </c>
      <c r="F139" s="15">
        <f>SUM(F135:F138)</f>
        <v/>
      </c>
      <c r="G139" s="15">
        <f>SUM(G135:G138)</f>
        <v/>
      </c>
      <c r="H139" s="26">
        <f>G139/F139</f>
        <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10" customWidth="1" min="1" max="1"/>
    <col width="12" customWidth="1" min="2" max="2"/>
    <col width="12" customWidth="1" min="3" max="3"/>
    <col width="12" customWidth="1" min="4" max="4"/>
    <col width="11" customWidth="1" min="5" max="5"/>
    <col width="12" customWidth="1" min="6" max="6"/>
    <col width="14" customWidth="1" min="7" max="7"/>
    <col width="9" customWidth="1" min="8" max="8"/>
  </cols>
  <sheetData>
    <row r="1">
      <c r="A1" s="1" t="inlineStr">
        <is>
          <t>World population by 5-year age group and sex, 2025 (millions)</t>
        </is>
      </c>
    </row>
    <row r="2">
      <c r="A2" s="2" t="inlineStr">
        <is>
          <t>Inputs: World Bank SP.POP.&lt;bin&gt;.FE/.MA for WLD. Both-sexes column cross-checks to the Countries sheet.</t>
        </is>
      </c>
    </row>
    <row r="3"/>
    <row r="4">
      <c r="A4" s="4" t="inlineStr">
        <is>
          <t>Age</t>
        </is>
      </c>
      <c r="B4" s="5" t="inlineStr">
        <is>
          <t>Female</t>
        </is>
      </c>
      <c r="C4" s="5" t="inlineStr">
        <is>
          <t>Male</t>
        </is>
      </c>
      <c r="D4" s="5" t="inlineStr">
        <is>
          <t>Both sexes</t>
        </is>
      </c>
      <c r="E4" s="5" t="inlineStr">
        <is>
          <t>% of world</t>
        </is>
      </c>
      <c r="F4" s="5" t="inlineStr">
        <is>
          <t>Male per 100 female</t>
        </is>
      </c>
      <c r="G4" s="5" t="inlineStr">
        <is>
          <t>Countries sheet</t>
        </is>
      </c>
      <c r="H4" s="5" t="inlineStr">
        <is>
          <t>Diff</t>
        </is>
      </c>
    </row>
    <row r="5">
      <c r="A5" s="10" t="inlineStr">
        <is>
          <t>0-4</t>
        </is>
      </c>
      <c r="B5" s="22" t="n">
        <v>313.3979</v>
      </c>
      <c r="C5" s="22" t="n">
        <v>329.2907</v>
      </c>
      <c r="D5" s="7">
        <f>B5+C5</f>
        <v/>
      </c>
      <c r="E5" s="9">
        <f>D5/$D$22</f>
        <v/>
      </c>
      <c r="F5" s="19">
        <f>C5/B5*100</f>
        <v/>
      </c>
      <c r="G5" s="21">
        <f>Countries!E223/1000000</f>
        <v/>
      </c>
      <c r="H5" s="27">
        <f>G5-D5</f>
        <v/>
      </c>
    </row>
    <row r="6">
      <c r="A6" s="10" t="inlineStr">
        <is>
          <t>5-9</t>
        </is>
      </c>
      <c r="B6" s="22" t="n">
        <v>328.4388</v>
      </c>
      <c r="C6" s="22" t="n">
        <v>347.5716</v>
      </c>
      <c r="D6" s="7">
        <f>B6+C6</f>
        <v/>
      </c>
      <c r="E6" s="9">
        <f>D6/$D$22</f>
        <v/>
      </c>
      <c r="F6" s="19">
        <f>C6/B6*100</f>
        <v/>
      </c>
      <c r="G6" s="21">
        <f>Countries!F223/1000000</f>
        <v/>
      </c>
      <c r="H6" s="27">
        <f>G6-D6</f>
        <v/>
      </c>
    </row>
    <row r="7">
      <c r="A7" s="10" t="inlineStr">
        <is>
          <t>10-14</t>
        </is>
      </c>
      <c r="B7" s="22" t="n">
        <v>332.4786</v>
      </c>
      <c r="C7" s="22" t="n">
        <v>354.1303</v>
      </c>
      <c r="D7" s="7">
        <f>B7+C7</f>
        <v/>
      </c>
      <c r="E7" s="9">
        <f>D7/$D$22</f>
        <v/>
      </c>
      <c r="F7" s="19">
        <f>C7/B7*100</f>
        <v/>
      </c>
      <c r="G7" s="21">
        <f>Countries!G223/1000000</f>
        <v/>
      </c>
      <c r="H7" s="27">
        <f>G7-D7</f>
        <v/>
      </c>
    </row>
    <row r="8">
      <c r="A8" s="10" t="inlineStr">
        <is>
          <t>15-19</t>
        </is>
      </c>
      <c r="B8" s="22" t="n">
        <v>318.4854</v>
      </c>
      <c r="C8" s="22" t="n">
        <v>339.5049</v>
      </c>
      <c r="D8" s="7">
        <f>B8+C8</f>
        <v/>
      </c>
      <c r="E8" s="9">
        <f>D8/$D$22</f>
        <v/>
      </c>
      <c r="F8" s="19">
        <f>C8/B8*100</f>
        <v/>
      </c>
      <c r="G8" s="21">
        <f>Countries!H223/1000000</f>
        <v/>
      </c>
      <c r="H8" s="27">
        <f>G8-D8</f>
        <v/>
      </c>
    </row>
    <row r="9">
      <c r="A9" s="10" t="inlineStr">
        <is>
          <t>20-24</t>
        </is>
      </c>
      <c r="B9" s="22" t="n">
        <v>302.211</v>
      </c>
      <c r="C9" s="22" t="n">
        <v>320.8436</v>
      </c>
      <c r="D9" s="7">
        <f>B9+C9</f>
        <v/>
      </c>
      <c r="E9" s="9">
        <f>D9/$D$22</f>
        <v/>
      </c>
      <c r="F9" s="19">
        <f>C9/B9*100</f>
        <v/>
      </c>
      <c r="G9" s="21">
        <f>Countries!I223/1000000</f>
        <v/>
      </c>
      <c r="H9" s="27">
        <f>G9-D9</f>
        <v/>
      </c>
    </row>
    <row r="10">
      <c r="A10" s="10" t="inlineStr">
        <is>
          <t>25-29</t>
        </is>
      </c>
      <c r="B10" s="22" t="n">
        <v>291.891</v>
      </c>
      <c r="C10" s="22" t="n">
        <v>309.4862</v>
      </c>
      <c r="D10" s="7">
        <f>B10+C10</f>
        <v/>
      </c>
      <c r="E10" s="9">
        <f>D10/$D$22</f>
        <v/>
      </c>
      <c r="F10" s="19">
        <f>C10/B10*100</f>
        <v/>
      </c>
      <c r="G10" s="21">
        <f>Countries!J223/1000000</f>
        <v/>
      </c>
      <c r="H10" s="27">
        <f>G10-D10</f>
        <v/>
      </c>
    </row>
    <row r="11">
      <c r="A11" s="10" t="inlineStr">
        <is>
          <t>30-34</t>
        </is>
      </c>
      <c r="B11" s="22" t="n">
        <v>291.0482</v>
      </c>
      <c r="C11" s="22" t="n">
        <v>307.2469</v>
      </c>
      <c r="D11" s="7">
        <f>B11+C11</f>
        <v/>
      </c>
      <c r="E11" s="9">
        <f>D11/$D$22</f>
        <v/>
      </c>
      <c r="F11" s="19">
        <f>C11/B11*100</f>
        <v/>
      </c>
      <c r="G11" s="21">
        <f>Countries!K223/1000000</f>
        <v/>
      </c>
      <c r="H11" s="27">
        <f>G11-D11</f>
        <v/>
      </c>
    </row>
    <row r="12">
      <c r="A12" s="10" t="inlineStr">
        <is>
          <t>35-39</t>
        </is>
      </c>
      <c r="B12" s="22" t="n">
        <v>292.7822</v>
      </c>
      <c r="C12" s="22" t="n">
        <v>305.937</v>
      </c>
      <c r="D12" s="7">
        <f>B12+C12</f>
        <v/>
      </c>
      <c r="E12" s="9">
        <f>D12/$D$22</f>
        <v/>
      </c>
      <c r="F12" s="19">
        <f>C12/B12*100</f>
        <v/>
      </c>
      <c r="G12" s="21">
        <f>Countries!L223/1000000</f>
        <v/>
      </c>
      <c r="H12" s="27">
        <f>G12-D12</f>
        <v/>
      </c>
    </row>
    <row r="13">
      <c r="A13" s="10" t="inlineStr">
        <is>
          <t>40-44</t>
        </is>
      </c>
      <c r="B13" s="22" t="n">
        <v>267.3762</v>
      </c>
      <c r="C13" s="22" t="n">
        <v>275.4249</v>
      </c>
      <c r="D13" s="7">
        <f>B13+C13</f>
        <v/>
      </c>
      <c r="E13" s="9">
        <f>D13/$D$22</f>
        <v/>
      </c>
      <c r="F13" s="19">
        <f>C13/B13*100</f>
        <v/>
      </c>
      <c r="G13" s="21">
        <f>Countries!M223/1000000</f>
        <v/>
      </c>
      <c r="H13" s="27">
        <f>G13-D13</f>
        <v/>
      </c>
    </row>
    <row r="14">
      <c r="A14" s="10" t="inlineStr">
        <is>
          <t>45-49</t>
        </is>
      </c>
      <c r="B14" s="22" t="n">
        <v>238.9745</v>
      </c>
      <c r="C14" s="22" t="n">
        <v>242.7877</v>
      </c>
      <c r="D14" s="7">
        <f>B14+C14</f>
        <v/>
      </c>
      <c r="E14" s="9">
        <f>D14/$D$22</f>
        <v/>
      </c>
      <c r="F14" s="19">
        <f>C14/B14*100</f>
        <v/>
      </c>
      <c r="G14" s="21">
        <f>Countries!N223/1000000</f>
        <v/>
      </c>
      <c r="H14" s="27">
        <f>G14-D14</f>
        <v/>
      </c>
    </row>
    <row r="15">
      <c r="A15" s="10" t="inlineStr">
        <is>
          <t>50-54</t>
        </is>
      </c>
      <c r="B15" s="22" t="n">
        <v>231.5279</v>
      </c>
      <c r="C15" s="22" t="n">
        <v>230.8924</v>
      </c>
      <c r="D15" s="7">
        <f>B15+C15</f>
        <v/>
      </c>
      <c r="E15" s="9">
        <f>D15/$D$22</f>
        <v/>
      </c>
      <c r="F15" s="19">
        <f>C15/B15*100</f>
        <v/>
      </c>
      <c r="G15" s="21">
        <f>Countries!O223/1000000</f>
        <v/>
      </c>
      <c r="H15" s="27">
        <f>G15-D15</f>
        <v/>
      </c>
    </row>
    <row r="16">
      <c r="A16" s="10" t="inlineStr">
        <is>
          <t>55-59</t>
        </is>
      </c>
      <c r="B16" s="22" t="n">
        <v>214.9007</v>
      </c>
      <c r="C16" s="22" t="n">
        <v>209.4197</v>
      </c>
      <c r="D16" s="7">
        <f>B16+C16</f>
        <v/>
      </c>
      <c r="E16" s="9">
        <f>D16/$D$22</f>
        <v/>
      </c>
      <c r="F16" s="19">
        <f>C16/B16*100</f>
        <v/>
      </c>
      <c r="G16" s="21">
        <f>Countries!P223/1000000</f>
        <v/>
      </c>
      <c r="H16" s="27">
        <f>G16-D16</f>
        <v/>
      </c>
    </row>
    <row r="17">
      <c r="A17" s="10" t="inlineStr">
        <is>
          <t>60-64</t>
        </is>
      </c>
      <c r="B17" s="22" t="n">
        <v>187.6796</v>
      </c>
      <c r="C17" s="22" t="n">
        <v>177.0931</v>
      </c>
      <c r="D17" s="7">
        <f>B17+C17</f>
        <v/>
      </c>
      <c r="E17" s="9">
        <f>D17/$D$22</f>
        <v/>
      </c>
      <c r="F17" s="19">
        <f>C17/B17*100</f>
        <v/>
      </c>
      <c r="G17" s="21">
        <f>Countries!Q223/1000000</f>
        <v/>
      </c>
      <c r="H17" s="27">
        <f>G17-D17</f>
        <v/>
      </c>
    </row>
    <row r="18">
      <c r="A18" s="10" t="inlineStr">
        <is>
          <t>65-69</t>
        </is>
      </c>
      <c r="B18" s="22" t="n">
        <v>154.7269</v>
      </c>
      <c r="C18" s="22" t="n">
        <v>138.7109</v>
      </c>
      <c r="D18" s="7">
        <f>B18+C18</f>
        <v/>
      </c>
      <c r="E18" s="9">
        <f>D18/$D$22</f>
        <v/>
      </c>
      <c r="F18" s="19">
        <f>C18/B18*100</f>
        <v/>
      </c>
      <c r="G18" s="21">
        <f>Countries!R223/1000000</f>
        <v/>
      </c>
      <c r="H18" s="27">
        <f>G18-D18</f>
        <v/>
      </c>
    </row>
    <row r="19">
      <c r="A19" s="10" t="inlineStr">
        <is>
          <t>70-74</t>
        </is>
      </c>
      <c r="B19" s="22" t="n">
        <v>127.9945</v>
      </c>
      <c r="C19" s="22" t="n">
        <v>107.4061</v>
      </c>
      <c r="D19" s="7">
        <f>B19+C19</f>
        <v/>
      </c>
      <c r="E19" s="9">
        <f>D19/$D$22</f>
        <v/>
      </c>
      <c r="F19" s="19">
        <f>C19/B19*100</f>
        <v/>
      </c>
      <c r="G19" s="21">
        <f>Countries!S223/1000000</f>
        <v/>
      </c>
      <c r="H19" s="27">
        <f>G19-D19</f>
        <v/>
      </c>
    </row>
    <row r="20">
      <c r="A20" s="10" t="inlineStr">
        <is>
          <t>75-79</t>
        </is>
      </c>
      <c r="B20" s="22" t="n">
        <v>88.3747</v>
      </c>
      <c r="C20" s="22" t="n">
        <v>69.39149999999999</v>
      </c>
      <c r="D20" s="7">
        <f>B20+C20</f>
        <v/>
      </c>
      <c r="E20" s="9">
        <f>D20/$D$22</f>
        <v/>
      </c>
      <c r="F20" s="19">
        <f>C20/B20*100</f>
        <v/>
      </c>
      <c r="G20" s="21">
        <f>Countries!T223/1000000</f>
        <v/>
      </c>
      <c r="H20" s="27">
        <f>G20-D20</f>
        <v/>
      </c>
    </row>
    <row r="21">
      <c r="A21" s="10" t="inlineStr">
        <is>
          <t>80+</t>
        </is>
      </c>
      <c r="B21" s="22" t="n">
        <v>103.4603</v>
      </c>
      <c r="C21" s="22" t="n">
        <v>64.5391</v>
      </c>
      <c r="D21" s="7">
        <f>B21+C21</f>
        <v/>
      </c>
      <c r="E21" s="9">
        <f>D21/$D$22</f>
        <v/>
      </c>
      <c r="F21" s="19">
        <f>C21/B21*100</f>
        <v/>
      </c>
      <c r="G21" s="21">
        <f>Countries!U223/1000000</f>
        <v/>
      </c>
      <c r="H21" s="27">
        <f>G21-D21</f>
        <v/>
      </c>
    </row>
    <row r="22">
      <c r="A22" s="14" t="inlineStr">
        <is>
          <t>Total</t>
        </is>
      </c>
      <c r="B22" s="15">
        <f>SUM(B5:B21)</f>
        <v/>
      </c>
      <c r="C22" s="15">
        <f>SUM(C5:C21)</f>
        <v/>
      </c>
      <c r="D22" s="15">
        <f>SUM(D5:D21)</f>
        <v/>
      </c>
      <c r="E22" s="17" t="n"/>
      <c r="F22" s="28">
        <f>C22/B22*100</f>
        <v/>
      </c>
      <c r="G22" s="15">
        <f>SUM(G5:G21)</f>
        <v/>
      </c>
      <c r="H22" s="15">
        <f>SUM(H5:H21)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2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2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s>
  <sheetData>
    <row r="1">
      <c r="A1" s="1" t="inlineStr">
        <is>
          <t>Population by country, 2025 (people) — World Bank WDI</t>
        </is>
      </c>
    </row>
    <row r="2">
      <c r="A2" s="2" t="inlineStr">
        <is>
          <t>Blue = World Bank inputs (people). Black = formulas. Age bands/total/% on the right recalc from the 5-year bins.</t>
        </is>
      </c>
    </row>
    <row r="3"/>
    <row r="4" ht="32" customHeight="1">
      <c r="A4" s="4" t="inlineStr">
        <is>
          <t>ISO3</t>
        </is>
      </c>
      <c r="B4" s="5" t="inlineStr">
        <is>
          <t>Country</t>
        </is>
      </c>
      <c r="C4" s="5" t="inlineStr">
        <is>
          <t>Region (World Bank)</t>
        </is>
      </c>
      <c r="D4" s="5" t="inlineStr">
        <is>
          <t>Income level (World Bank FY27)</t>
        </is>
      </c>
      <c r="E4" s="5" t="inlineStr">
        <is>
          <t>0-4</t>
        </is>
      </c>
      <c r="F4" s="5" t="inlineStr">
        <is>
          <t>5-9</t>
        </is>
      </c>
      <c r="G4" s="5" t="inlineStr">
        <is>
          <t>10-14</t>
        </is>
      </c>
      <c r="H4" s="5" t="inlineStr">
        <is>
          <t>15-19</t>
        </is>
      </c>
      <c r="I4" s="5" t="inlineStr">
        <is>
          <t>20-24</t>
        </is>
      </c>
      <c r="J4" s="5" t="inlineStr">
        <is>
          <t>25-29</t>
        </is>
      </c>
      <c r="K4" s="5" t="inlineStr">
        <is>
          <t>30-34</t>
        </is>
      </c>
      <c r="L4" s="5" t="inlineStr">
        <is>
          <t>35-39</t>
        </is>
      </c>
      <c r="M4" s="5" t="inlineStr">
        <is>
          <t>40-44</t>
        </is>
      </c>
      <c r="N4" s="5" t="inlineStr">
        <is>
          <t>45-49</t>
        </is>
      </c>
      <c r="O4" s="5" t="inlineStr">
        <is>
          <t>50-54</t>
        </is>
      </c>
      <c r="P4" s="5" t="inlineStr">
        <is>
          <t>55-59</t>
        </is>
      </c>
      <c r="Q4" s="5" t="inlineStr">
        <is>
          <t>60-64</t>
        </is>
      </c>
      <c r="R4" s="5" t="inlineStr">
        <is>
          <t>65-69</t>
        </is>
      </c>
      <c r="S4" s="5" t="inlineStr">
        <is>
          <t>70-74</t>
        </is>
      </c>
      <c r="T4" s="5" t="inlineStr">
        <is>
          <t>75-79</t>
        </is>
      </c>
      <c r="U4" s="5" t="inlineStr">
        <is>
          <t>80+</t>
        </is>
      </c>
      <c r="V4" s="5" t="inlineStr">
        <is>
          <t>Female</t>
        </is>
      </c>
      <c r="W4" s="5" t="inlineStr">
        <is>
          <t>Male</t>
        </is>
      </c>
      <c r="X4" s="5" t="inlineStr">
        <is>
          <t>0-14</t>
        </is>
      </c>
      <c r="Y4" s="5" t="inlineStr">
        <is>
          <t>15-24</t>
        </is>
      </c>
      <c r="Z4" s="5" t="inlineStr">
        <is>
          <t>25-34</t>
        </is>
      </c>
      <c r="AA4" s="5" t="inlineStr">
        <is>
          <t>35-44</t>
        </is>
      </c>
      <c r="AB4" s="5" t="inlineStr">
        <is>
          <t>45-54</t>
        </is>
      </c>
      <c r="AC4" s="5" t="inlineStr">
        <is>
          <t>55-64</t>
        </is>
      </c>
      <c r="AD4" s="5" t="inlineStr">
        <is>
          <t>65+</t>
        </is>
      </c>
      <c r="AE4" s="5" t="inlineStr">
        <is>
          <t>Total</t>
        </is>
      </c>
      <c r="AF4" s="5" t="inlineStr">
        <is>
          <t>% of world</t>
        </is>
      </c>
      <c r="AG4" s="5" t="inlineStr">
        <is>
          <t>Rank</t>
        </is>
      </c>
      <c r="AH4" s="5" t="inlineStr">
        <is>
          <t>2024 total</t>
        </is>
      </c>
      <c r="AI4" s="5" t="inlineStr">
        <is>
          <t>y/y growth</t>
        </is>
      </c>
      <c r="AJ4" s="5" t="inlineStr">
        <is>
          <t>GDP/capita (US$)</t>
        </is>
      </c>
      <c r="AK4" s="5" t="inlineStr">
        <is>
          <t>Median age (est.)</t>
        </is>
      </c>
      <c r="AL4" s="5" t="inlineStr">
        <is>
          <t>Pop 15-64</t>
        </is>
      </c>
      <c r="AM4" s="5" t="inlineStr">
        <is>
          <t>AI user share H1 2025 (Microsoft)</t>
        </is>
      </c>
      <c r="AN4" s="5" t="inlineStr">
        <is>
          <t>AI user share Q2 2026 (Microsoft)</t>
        </is>
      </c>
      <c r="AO4" s="5" t="inlineStr">
        <is>
          <t>Change, pp</t>
        </is>
      </c>
      <c r="AP4" s="5" t="inlineStr">
        <is>
          <t>AI users 15-64, Q2 2026</t>
        </is>
      </c>
      <c r="AQ4" s="5" t="inlineStr">
        <is>
          <t>15-64 pop where measured</t>
        </is>
      </c>
      <c r="AR4" s="5" t="inlineStr">
        <is>
          <t>National source: share (as published)</t>
        </is>
      </c>
      <c r="AS4" s="5" t="inlineStr">
        <is>
          <t>Share of</t>
        </is>
      </c>
      <c r="AT4" s="5" t="inlineStr">
        <is>
          <t>Age range</t>
        </is>
      </c>
      <c r="AU4" s="5" t="inlineStr">
        <is>
          <t>Internet use rate applied</t>
        </is>
      </c>
      <c r="AV4" s="5" t="inlineStr">
        <is>
          <t>Pop in age range (WB 2025)</t>
        </is>
      </c>
      <c r="AW4" s="5" t="inlineStr">
        <is>
          <t>Users stated by source</t>
        </is>
      </c>
      <c r="AX4" s="5" t="inlineStr">
        <is>
          <t>National: AI users</t>
        </is>
      </c>
      <c r="AY4" s="5" t="inlineStr">
        <is>
          <t>National: users / pop in age range</t>
        </is>
      </c>
      <c r="AZ4" s="5" t="inlineStr">
        <is>
          <t>Tier</t>
        </is>
      </c>
      <c r="BA4" s="5" t="inlineStr">
        <is>
          <t>Counted in totals</t>
        </is>
      </c>
      <c r="BB4" s="5" t="inlineStr">
        <is>
          <t>National: users counted (A/B)</t>
        </is>
      </c>
      <c r="BC4" s="5" t="inlineStr">
        <is>
          <t>Microsoft users, same economies</t>
        </is>
      </c>
      <c r="BD4" s="5" t="inlineStr">
        <is>
          <t>Best available: national (A/B) else Microsoft</t>
        </is>
      </c>
      <c r="BE4" s="5" t="inlineStr">
        <is>
          <t>Measure</t>
        </is>
      </c>
      <c r="BF4" s="5" t="inlineStr">
        <is>
          <t>Period</t>
        </is>
      </c>
      <c r="BG4" s="5" t="inlineStr">
        <is>
          <t>Source</t>
        </is>
      </c>
      <c r="BH4" s="5" t="inlineStr">
        <is>
          <t>URL</t>
        </is>
      </c>
    </row>
    <row r="5">
      <c r="A5" s="6" t="inlineStr">
        <is>
          <t>IND</t>
        </is>
      </c>
      <c r="B5" s="6" t="inlineStr">
        <is>
          <t>India</t>
        </is>
      </c>
      <c r="C5" s="6" t="inlineStr">
        <is>
          <t>South Asia</t>
        </is>
      </c>
      <c r="D5" s="6" t="inlineStr">
        <is>
          <t>Lower middle income</t>
        </is>
      </c>
      <c r="E5" s="29" t="n">
        <v>113100739</v>
      </c>
      <c r="F5" s="29" t="n">
        <v>117849385</v>
      </c>
      <c r="G5" s="29" t="n">
        <v>123236045</v>
      </c>
      <c r="H5" s="29" t="n">
        <v>126709180</v>
      </c>
      <c r="I5" s="29" t="n">
        <v>129802301</v>
      </c>
      <c r="J5" s="29" t="n">
        <v>125442776</v>
      </c>
      <c r="K5" s="29" t="n">
        <v>119778229</v>
      </c>
      <c r="L5" s="29" t="n">
        <v>113171272</v>
      </c>
      <c r="M5" s="29" t="n">
        <v>102039924</v>
      </c>
      <c r="N5" s="29" t="n">
        <v>88399551</v>
      </c>
      <c r="O5" s="29" t="n">
        <v>76959688</v>
      </c>
      <c r="P5" s="29" t="n">
        <v>65130783</v>
      </c>
      <c r="Q5" s="29" t="n">
        <v>54262569</v>
      </c>
      <c r="R5" s="29" t="n">
        <v>42982194</v>
      </c>
      <c r="S5" s="29" t="n">
        <v>30844609</v>
      </c>
      <c r="T5" s="29" t="n">
        <v>17977753</v>
      </c>
      <c r="U5" s="29" t="n">
        <v>16178530</v>
      </c>
      <c r="V5" s="29" t="n">
        <v>709090081</v>
      </c>
      <c r="W5" s="29" t="n">
        <v>754775447</v>
      </c>
      <c r="X5" s="30">
        <f>SUM(E5:G5)</f>
        <v/>
      </c>
      <c r="Y5" s="30">
        <f>SUM(H5:I5)</f>
        <v/>
      </c>
      <c r="Z5" s="30">
        <f>SUM(J5:K5)</f>
        <v/>
      </c>
      <c r="AA5" s="30">
        <f>SUM(L5:M5)</f>
        <v/>
      </c>
      <c r="AB5" s="30">
        <f>SUM(N5:O5)</f>
        <v/>
      </c>
      <c r="AC5" s="30">
        <f>SUM(P5:Q5)</f>
        <v/>
      </c>
      <c r="AD5" s="30">
        <f>SUM(R5:U5)</f>
        <v/>
      </c>
      <c r="AE5" s="31">
        <f>SUM(X5:AD5)</f>
        <v/>
      </c>
      <c r="AF5" s="32">
        <f>AE5/SUM($AE$5:$AE$222)</f>
        <v/>
      </c>
      <c r="AG5" s="10">
        <f>RANK(AE5,$AE$5:$AE$222)</f>
        <v/>
      </c>
      <c r="AH5" s="29" t="n">
        <v>1450935791</v>
      </c>
      <c r="AI5" s="9">
        <f>IF(AH5&gt;0,AE5/AH5-1,"")</f>
        <v/>
      </c>
      <c r="AJ5" s="29" t="n">
        <v>2702</v>
      </c>
      <c r="AK5" s="19">
        <f>IF(SUM($E5:E5)&gt;=AE5/2,0+5*(AE5/2-0)/E5,IF(SUM($E5:F5)&gt;=AE5/2,5+5*(AE5/2-SUM($E5:E5))/F5,IF(SUM($E5:G5)&gt;=AE5/2,10+5*(AE5/2-SUM($E5:F5))/G5,IF(SUM($E5:H5)&gt;=AE5/2,15+5*(AE5/2-SUM($E5:G5))/H5,IF(SUM($E5:I5)&gt;=AE5/2,20+5*(AE5/2-SUM($E5:H5))/I5,IF(SUM($E5:J5)&gt;=AE5/2,25+5*(AE5/2-SUM($E5:I5))/J5,IF(SUM($E5:K5)&gt;=AE5/2,30+5*(AE5/2-SUM($E5:J5))/K5,IF(SUM($E5:L5)&gt;=AE5/2,35+5*(AE5/2-SUM($E5:K5))/L5,IF(SUM($E5:M5)&gt;=AE5/2,40+5*(AE5/2-SUM($E5:L5))/M5,IF(SUM($E5:N5)&gt;=AE5/2,45+5*(AE5/2-SUM($E5:M5))/N5,IF(SUM($E5:O5)&gt;=AE5/2,50+5*(AE5/2-SUM($E5:N5))/O5,IF(SUM($E5:P5)&gt;=AE5/2,55+5*(AE5/2-SUM($E5:O5))/P5,IF(SUM($E5:Q5)&gt;=AE5/2,60+5*(AE5/2-SUM($E5:P5))/Q5,IF(SUM($E5:R5)&gt;=AE5/2,65+5*(AE5/2-SUM($E5:Q5))/R5,IF(SUM($E5:S5)&gt;=AE5/2,70+5*(AE5/2-SUM($E5:R5))/S5,IF(SUM($E5:T5)&gt;=AE5/2,75+5*(AE5/2-SUM($E5:S5))/T5,""))))))))))))))))</f>
        <v/>
      </c>
      <c r="AL5" s="30">
        <f>SUM(H5:Q5)</f>
        <v/>
      </c>
      <c r="AM5" s="24" t="n">
        <v>0.142</v>
      </c>
      <c r="AN5" s="24" t="n">
        <v>0.185</v>
      </c>
      <c r="AO5" s="33">
        <f>IF(AND(ISNUMBER(AN5),ISNUMBER(AM5)),(AN5-AM5)*100,"")</f>
        <v/>
      </c>
      <c r="AP5" s="30">
        <f>IF(ISNUMBER(AN5),AN5*AL5,"")</f>
        <v/>
      </c>
      <c r="AQ5" s="30">
        <f>IF(ISNUMBER(AN5),AL5,0)</f>
        <v/>
      </c>
      <c r="AR5" s="24" t="n">
        <v>0.671</v>
      </c>
      <c r="AS5" s="6" t="inlineStr">
        <is>
          <t>population</t>
        </is>
      </c>
      <c r="AT5" s="6" t="inlineStr">
        <is>
          <t>18-64</t>
        </is>
      </c>
      <c r="AU5" s="24" t="n">
        <v>1</v>
      </c>
      <c r="AV5" s="30">
        <f>H5*0.4+I5+J5+K5+L5+M5+N5+O5+P5+Q5</f>
        <v/>
      </c>
      <c r="AX5" s="30">
        <f>IF(ISNUMBER(AW5),AW5,AR5*AU5*AV5)</f>
        <v/>
      </c>
      <c r="AY5" s="34">
        <f>AX5/AV5</f>
        <v/>
      </c>
      <c r="AZ5" s="6" t="inlineStr">
        <is>
          <t>C</t>
        </is>
      </c>
      <c r="BA5" s="6" t="inlineStr">
        <is>
          <t>No</t>
        </is>
      </c>
      <c r="BB5" s="30">
        <f>IF(BA5="Yes",AX5,0)</f>
        <v/>
      </c>
      <c r="BC5" s="30">
        <f>IF(AND(BA5="Yes",ISNUMBER(AP5)),AP5,0)</f>
        <v/>
      </c>
      <c r="BD5" s="30">
        <f>IF(BA5="Yes",AX5,IF(ISNUMBER(AP5),AP5,0))</f>
        <v/>
      </c>
      <c r="BE5" s="6" t="inlineStr">
        <is>
          <t>Use generative AI at work or outside work</t>
        </is>
      </c>
      <c r="BF5" s="6" t="inlineStr">
        <is>
          <t>January-February 2026 (online crowd-worker panel + rural Uttar Pradesh, n=1,795)</t>
        </is>
      </c>
      <c r="BG5" s="6" t="inlineStr">
        <is>
          <t>Rutgers University (K. Garimella): Generative AI Adoption in India (working paper)</t>
        </is>
      </c>
      <c r="BH5" s="6" t="inlineStr">
        <is>
          <t>http://gvrkiran.github.io/content/GenerativeAI_India_Survey.pdf</t>
        </is>
      </c>
    </row>
    <row r="6">
      <c r="A6" s="6" t="inlineStr">
        <is>
          <t>CHN</t>
        </is>
      </c>
      <c r="B6" s="6" t="inlineStr">
        <is>
          <t>China</t>
        </is>
      </c>
      <c r="C6" s="6" t="inlineStr">
        <is>
          <t>East Asia &amp; Pacific</t>
        </is>
      </c>
      <c r="D6" s="6" t="inlineStr">
        <is>
          <t>Upper middle income</t>
        </is>
      </c>
      <c r="E6" s="29" t="n">
        <v>47200976</v>
      </c>
      <c r="F6" s="29" t="n">
        <v>79780359</v>
      </c>
      <c r="G6" s="29" t="n">
        <v>89735308</v>
      </c>
      <c r="H6" s="29" t="n">
        <v>84092471</v>
      </c>
      <c r="I6" s="29" t="n">
        <v>78296304</v>
      </c>
      <c r="J6" s="29" t="n">
        <v>82248431</v>
      </c>
      <c r="K6" s="29" t="n">
        <v>97934186</v>
      </c>
      <c r="L6" s="29" t="n">
        <v>120712368</v>
      </c>
      <c r="M6" s="29" t="n">
        <v>101808351</v>
      </c>
      <c r="N6" s="29" t="n">
        <v>91740322</v>
      </c>
      <c r="O6" s="29" t="n">
        <v>114306611</v>
      </c>
      <c r="P6" s="29" t="n">
        <v>115880929</v>
      </c>
      <c r="Q6" s="29" t="n">
        <v>93106428</v>
      </c>
      <c r="R6" s="29" t="n">
        <v>69581264</v>
      </c>
      <c r="S6" s="29" t="n">
        <v>64697646</v>
      </c>
      <c r="T6" s="29" t="n">
        <v>38789301</v>
      </c>
      <c r="U6" s="29" t="n">
        <v>36673748</v>
      </c>
      <c r="V6" s="29" t="n">
        <v>690538987</v>
      </c>
      <c r="W6" s="29" t="n">
        <v>716046016</v>
      </c>
      <c r="X6" s="30">
        <f>SUM(E6:G6)</f>
        <v/>
      </c>
      <c r="Y6" s="30">
        <f>SUM(H6:I6)</f>
        <v/>
      </c>
      <c r="Z6" s="30">
        <f>SUM(J6:K6)</f>
        <v/>
      </c>
      <c r="AA6" s="30">
        <f>SUM(L6:M6)</f>
        <v/>
      </c>
      <c r="AB6" s="30">
        <f>SUM(N6:O6)</f>
        <v/>
      </c>
      <c r="AC6" s="30">
        <f>SUM(P6:Q6)</f>
        <v/>
      </c>
      <c r="AD6" s="30">
        <f>SUM(R6:U6)</f>
        <v/>
      </c>
      <c r="AE6" s="31">
        <f>SUM(X6:AD6)</f>
        <v/>
      </c>
      <c r="AF6" s="32">
        <f>AE6/SUM($AE$5:$AE$222)</f>
        <v/>
      </c>
      <c r="AG6" s="10">
        <f>RANK(AE6,$AE$5:$AE$222)</f>
        <v/>
      </c>
      <c r="AH6" s="29" t="n">
        <v>1408975000</v>
      </c>
      <c r="AI6" s="9">
        <f>IF(AH6&gt;0,AE6/AH6-1,"")</f>
        <v/>
      </c>
      <c r="AJ6" s="29" t="n">
        <v>13862</v>
      </c>
      <c r="AK6" s="19">
        <f>IF(SUM($E6:E6)&gt;=AE6/2,0+5*(AE6/2-0)/E6,IF(SUM($E6:F6)&gt;=AE6/2,5+5*(AE6/2-SUM($E6:E6))/F6,IF(SUM($E6:G6)&gt;=AE6/2,10+5*(AE6/2-SUM($E6:F6))/G6,IF(SUM($E6:H6)&gt;=AE6/2,15+5*(AE6/2-SUM($E6:G6))/H6,IF(SUM($E6:I6)&gt;=AE6/2,20+5*(AE6/2-SUM($E6:H6))/I6,IF(SUM($E6:J6)&gt;=AE6/2,25+5*(AE6/2-SUM($E6:I6))/J6,IF(SUM($E6:K6)&gt;=AE6/2,30+5*(AE6/2-SUM($E6:J6))/K6,IF(SUM($E6:L6)&gt;=AE6/2,35+5*(AE6/2-SUM($E6:K6))/L6,IF(SUM($E6:M6)&gt;=AE6/2,40+5*(AE6/2-SUM($E6:L6))/M6,IF(SUM($E6:N6)&gt;=AE6/2,45+5*(AE6/2-SUM($E6:M6))/N6,IF(SUM($E6:O6)&gt;=AE6/2,50+5*(AE6/2-SUM($E6:N6))/O6,IF(SUM($E6:P6)&gt;=AE6/2,55+5*(AE6/2-SUM($E6:O6))/P6,IF(SUM($E6:Q6)&gt;=AE6/2,60+5*(AE6/2-SUM($E6:P6))/Q6,IF(SUM($E6:R6)&gt;=AE6/2,65+5*(AE6/2-SUM($E6:Q6))/R6,IF(SUM($E6:S6)&gt;=AE6/2,70+5*(AE6/2-SUM($E6:R6))/S6,IF(SUM($E6:T6)&gt;=AE6/2,75+5*(AE6/2-SUM($E6:S6))/T6,""))))))))))))))))</f>
        <v/>
      </c>
      <c r="AL6" s="30">
        <f>SUM(H6:Q6)</f>
        <v/>
      </c>
      <c r="AM6" s="24" t="n">
        <v>0.154</v>
      </c>
      <c r="AN6" s="24" t="n">
        <v>0.175</v>
      </c>
      <c r="AO6" s="33">
        <f>IF(AND(ISNUMBER(AN6),ISNUMBER(AM6)),(AN6-AM6)*100,"")</f>
        <v/>
      </c>
      <c r="AP6" s="30">
        <f>IF(ISNUMBER(AN6),AN6*AL6,"")</f>
        <v/>
      </c>
      <c r="AQ6" s="30">
        <f>IF(ISNUMBER(AN6),AL6,0)</f>
        <v/>
      </c>
      <c r="AR6" s="24" t="n">
        <v>0.428</v>
      </c>
      <c r="AS6" s="6" t="inlineStr">
        <is>
          <t>population</t>
        </is>
      </c>
      <c r="AT6" s="6" t="inlineStr">
        <is>
          <t>0+</t>
        </is>
      </c>
      <c r="AU6" s="24" t="n">
        <v>1</v>
      </c>
      <c r="AV6" s="30">
        <f>E6+F6+G6+H6+I6+J6+K6+L6+M6+N6+O6+P6+Q6+R6+S6+T6+U6</f>
        <v/>
      </c>
      <c r="AW6" s="29" t="n">
        <v>602000000</v>
      </c>
      <c r="AX6" s="30">
        <f>IF(ISNUMBER(AW6),AW6,AR6*AU6*AV6)</f>
        <v/>
      </c>
      <c r="AY6" s="34">
        <f>AX6/AV6</f>
        <v/>
      </c>
      <c r="AZ6" s="6" t="inlineStr">
        <is>
          <t>A</t>
        </is>
      </c>
      <c r="BA6" s="6" t="inlineStr">
        <is>
          <t>Yes</t>
        </is>
      </c>
      <c r="BB6" s="30">
        <f>IF(BA6="Yes",AX6,0)</f>
        <v/>
      </c>
      <c r="BC6" s="30">
        <f>IF(AND(BA6="Yes",ISNUMBER(AP6)),AP6,0)</f>
        <v/>
      </c>
      <c r="BD6" s="30">
        <f>IF(BA6="Yes",AX6,IF(ISNUMBER(AP6),AP6,0))</f>
        <v/>
      </c>
      <c r="BE6" s="6" t="inlineStr">
        <is>
          <t>Used a generative AI product or service in the past six months (share of the whole population; respondents aged 6+)</t>
        </is>
      </c>
      <c r="BF6" s="6" t="inlineStr">
        <is>
          <t>December 2025 (half-yearly telephone survey)</t>
        </is>
      </c>
      <c r="BG6" s="6" t="inlineStr">
        <is>
          <t>CNNIC (China Internet Network Information Center): 57th Statistical Report on China's Internet Development, ch. 4</t>
        </is>
      </c>
      <c r="BH6" s="6" t="inlineStr">
        <is>
          <t>https://www.cnnic.cn/NMediaFile/2026/0304/MAIN1772588317069TUXN3827X8.pdf</t>
        </is>
      </c>
    </row>
    <row r="7">
      <c r="A7" s="6" t="inlineStr">
        <is>
          <t>USA</t>
        </is>
      </c>
      <c r="B7" s="6" t="inlineStr">
        <is>
          <t>United States</t>
        </is>
      </c>
      <c r="C7" s="6" t="inlineStr">
        <is>
          <t>North America</t>
        </is>
      </c>
      <c r="D7" s="6" t="inlineStr">
        <is>
          <t>High income</t>
        </is>
      </c>
      <c r="E7" s="29" t="n">
        <v>18280839</v>
      </c>
      <c r="F7" s="29" t="n">
        <v>19432529</v>
      </c>
      <c r="G7" s="29" t="n">
        <v>20728567</v>
      </c>
      <c r="H7" s="29" t="n">
        <v>22468037</v>
      </c>
      <c r="I7" s="29" t="n">
        <v>22697165</v>
      </c>
      <c r="J7" s="29" t="n">
        <v>22283311</v>
      </c>
      <c r="K7" s="29" t="n">
        <v>23589133</v>
      </c>
      <c r="L7" s="29" t="n">
        <v>23728496</v>
      </c>
      <c r="M7" s="29" t="n">
        <v>22846638</v>
      </c>
      <c r="N7" s="29" t="n">
        <v>21117033</v>
      </c>
      <c r="O7" s="29" t="n">
        <v>20181881</v>
      </c>
      <c r="P7" s="29" t="n">
        <v>20389477</v>
      </c>
      <c r="Q7" s="29" t="n">
        <v>21197000</v>
      </c>
      <c r="R7" s="29" t="n">
        <v>19742816</v>
      </c>
      <c r="S7" s="29" t="n">
        <v>16259262</v>
      </c>
      <c r="T7" s="29" t="n">
        <v>12495721</v>
      </c>
      <c r="U7" s="29" t="n">
        <v>14346951</v>
      </c>
      <c r="V7" s="29" t="n">
        <v>170047087</v>
      </c>
      <c r="W7" s="29" t="n">
        <v>171737769</v>
      </c>
      <c r="X7" s="30">
        <f>SUM(E7:G7)</f>
        <v/>
      </c>
      <c r="Y7" s="30">
        <f>SUM(H7:I7)</f>
        <v/>
      </c>
      <c r="Z7" s="30">
        <f>SUM(J7:K7)</f>
        <v/>
      </c>
      <c r="AA7" s="30">
        <f>SUM(L7:M7)</f>
        <v/>
      </c>
      <c r="AB7" s="30">
        <f>SUM(N7:O7)</f>
        <v/>
      </c>
      <c r="AC7" s="30">
        <f>SUM(P7:Q7)</f>
        <v/>
      </c>
      <c r="AD7" s="30">
        <f>SUM(R7:U7)</f>
        <v/>
      </c>
      <c r="AE7" s="31">
        <f>SUM(X7:AD7)</f>
        <v/>
      </c>
      <c r="AF7" s="32">
        <f>AE7/SUM($AE$5:$AE$222)</f>
        <v/>
      </c>
      <c r="AG7" s="10">
        <f>RANK(AE7,$AE$5:$AE$222)</f>
        <v/>
      </c>
      <c r="AH7" s="29" t="n">
        <v>340003797</v>
      </c>
      <c r="AI7" s="9">
        <f>IF(AH7&gt;0,AE7/AH7-1,"")</f>
        <v/>
      </c>
      <c r="AJ7" s="29" t="n">
        <v>90027</v>
      </c>
      <c r="AK7" s="19">
        <f>IF(SUM($E7:E7)&gt;=AE7/2,0+5*(AE7/2-0)/E7,IF(SUM($E7:F7)&gt;=AE7/2,5+5*(AE7/2-SUM($E7:E7))/F7,IF(SUM($E7:G7)&gt;=AE7/2,10+5*(AE7/2-SUM($E7:F7))/G7,IF(SUM($E7:H7)&gt;=AE7/2,15+5*(AE7/2-SUM($E7:G7))/H7,IF(SUM($E7:I7)&gt;=AE7/2,20+5*(AE7/2-SUM($E7:H7))/I7,IF(SUM($E7:J7)&gt;=AE7/2,25+5*(AE7/2-SUM($E7:I7))/J7,IF(SUM($E7:K7)&gt;=AE7/2,30+5*(AE7/2-SUM($E7:J7))/K7,IF(SUM($E7:L7)&gt;=AE7/2,35+5*(AE7/2-SUM($E7:K7))/L7,IF(SUM($E7:M7)&gt;=AE7/2,40+5*(AE7/2-SUM($E7:L7))/M7,IF(SUM($E7:N7)&gt;=AE7/2,45+5*(AE7/2-SUM($E7:M7))/N7,IF(SUM($E7:O7)&gt;=AE7/2,50+5*(AE7/2-SUM($E7:N7))/O7,IF(SUM($E7:P7)&gt;=AE7/2,55+5*(AE7/2-SUM($E7:O7))/P7,IF(SUM($E7:Q7)&gt;=AE7/2,60+5*(AE7/2-SUM($E7:P7))/Q7,IF(SUM($E7:R7)&gt;=AE7/2,65+5*(AE7/2-SUM($E7:Q7))/R7,IF(SUM($E7:S7)&gt;=AE7/2,70+5*(AE7/2-SUM($E7:R7))/S7,IF(SUM($E7:T7)&gt;=AE7/2,75+5*(AE7/2-SUM($E7:S7))/T7,""))))))))))))))))</f>
        <v/>
      </c>
      <c r="AL7" s="30">
        <f>SUM(H7:Q7)</f>
        <v/>
      </c>
      <c r="AM7" s="24" t="n">
        <v>0.263</v>
      </c>
      <c r="AN7" s="24" t="n">
        <v>0.33</v>
      </c>
      <c r="AO7" s="33">
        <f>IF(AND(ISNUMBER(AN7),ISNUMBER(AM7)),(AN7-AM7)*100,"")</f>
        <v/>
      </c>
      <c r="AP7" s="30">
        <f>IF(ISNUMBER(AN7),AN7*AL7,"")</f>
        <v/>
      </c>
      <c r="AQ7" s="30">
        <f>IF(ISNUMBER(AN7),AL7,0)</f>
        <v/>
      </c>
      <c r="AR7" s="24" t="n">
        <v>0.6178</v>
      </c>
      <c r="AS7" s="6" t="inlineStr">
        <is>
          <t>population</t>
        </is>
      </c>
      <c r="AT7" s="6" t="inlineStr">
        <is>
          <t>18-64</t>
        </is>
      </c>
      <c r="AU7" s="24" t="n">
        <v>1</v>
      </c>
      <c r="AV7" s="30">
        <f>H7*0.4+I7+J7+K7+L7+M7+N7+O7+P7+Q7</f>
        <v/>
      </c>
      <c r="AX7" s="30">
        <f>IF(ISNUMBER(AW7),AW7,AR7*AU7*AV7)</f>
        <v/>
      </c>
      <c r="AY7" s="34">
        <f>AX7/AV7</f>
        <v/>
      </c>
      <c r="AZ7" s="6" t="inlineStr">
        <is>
          <t>B</t>
        </is>
      </c>
      <c r="BA7" s="6" t="inlineStr">
        <is>
          <t>Yes</t>
        </is>
      </c>
      <c r="BB7" s="30">
        <f>IF(BA7="Yes",AX7,0)</f>
        <v/>
      </c>
      <c r="BC7" s="30">
        <f>IF(AND(BA7="Yes",ISNUMBER(AP7)),AP7,0)</f>
        <v/>
      </c>
      <c r="BD7" s="30">
        <f>IF(BA7="Yes",AX7,IF(ISNUMBER(AP7),AP7,0))</f>
        <v/>
      </c>
      <c r="BE7" s="6" t="inlineStr">
        <is>
          <t>Use generative AI for any purpose (for work or outside work)</t>
        </is>
      </c>
      <c r="BF7" s="6" t="inlineStr">
        <is>
          <t>Q2 2026</t>
        </is>
      </c>
      <c r="BG7" s="6" t="inlineStr">
        <is>
          <t>Federal Reserve Bank of St. Louis (Real-Time Population Survey; Bick, Blandin and Deming): FRED series RPSGENAIUSAGESHAREALL: Generative AI adoption rate overall, working-age adults</t>
        </is>
      </c>
      <c r="BH7" s="6" t="inlineStr">
        <is>
          <t>https://fred.stlouisfed.org/series/RPSGENAIUSAGESHAREALL</t>
        </is>
      </c>
    </row>
    <row r="8">
      <c r="A8" s="6" t="inlineStr">
        <is>
          <t>IDN</t>
        </is>
      </c>
      <c r="B8" s="6" t="inlineStr">
        <is>
          <t>Indonesia</t>
        </is>
      </c>
      <c r="C8" s="6" t="inlineStr">
        <is>
          <t>East Asia &amp; Pacific</t>
        </is>
      </c>
      <c r="D8" s="6" t="inlineStr">
        <is>
          <t>Upper middle income</t>
        </is>
      </c>
      <c r="E8" s="29" t="n">
        <v>22097071</v>
      </c>
      <c r="F8" s="29" t="n">
        <v>22828956</v>
      </c>
      <c r="G8" s="29" t="n">
        <v>24353517</v>
      </c>
      <c r="H8" s="29" t="n">
        <v>23553644</v>
      </c>
      <c r="I8" s="29" t="n">
        <v>22033791</v>
      </c>
      <c r="J8" s="29" t="n">
        <v>22039806</v>
      </c>
      <c r="K8" s="29" t="n">
        <v>21228255</v>
      </c>
      <c r="L8" s="29" t="n">
        <v>20713744</v>
      </c>
      <c r="M8" s="29" t="n">
        <v>20843679</v>
      </c>
      <c r="N8" s="29" t="n">
        <v>19394513</v>
      </c>
      <c r="O8" s="29" t="n">
        <v>17488359</v>
      </c>
      <c r="P8" s="29" t="n">
        <v>15280690</v>
      </c>
      <c r="Q8" s="29" t="n">
        <v>12313918</v>
      </c>
      <c r="R8" s="29" t="n">
        <v>9081522</v>
      </c>
      <c r="S8" s="29" t="n">
        <v>5882056</v>
      </c>
      <c r="T8" s="29" t="n">
        <v>3493972</v>
      </c>
      <c r="U8" s="29" t="n">
        <v>3093744</v>
      </c>
      <c r="V8" s="29" t="n">
        <v>142193716</v>
      </c>
      <c r="W8" s="29" t="n">
        <v>143527521</v>
      </c>
      <c r="X8" s="30">
        <f>SUM(E8:G8)</f>
        <v/>
      </c>
      <c r="Y8" s="30">
        <f>SUM(H8:I8)</f>
        <v/>
      </c>
      <c r="Z8" s="30">
        <f>SUM(J8:K8)</f>
        <v/>
      </c>
      <c r="AA8" s="30">
        <f>SUM(L8:M8)</f>
        <v/>
      </c>
      <c r="AB8" s="30">
        <f>SUM(N8:O8)</f>
        <v/>
      </c>
      <c r="AC8" s="30">
        <f>SUM(P8:Q8)</f>
        <v/>
      </c>
      <c r="AD8" s="30">
        <f>SUM(R8:U8)</f>
        <v/>
      </c>
      <c r="AE8" s="31">
        <f>SUM(X8:AD8)</f>
        <v/>
      </c>
      <c r="AF8" s="32">
        <f>AE8/SUM($AE$5:$AE$222)</f>
        <v/>
      </c>
      <c r="AG8" s="10">
        <f>RANK(AE8,$AE$5:$AE$222)</f>
        <v/>
      </c>
      <c r="AH8" s="29" t="n">
        <v>283487931</v>
      </c>
      <c r="AI8" s="9">
        <f>IF(AH8&gt;0,AE8/AH8-1,"")</f>
        <v/>
      </c>
      <c r="AJ8" s="29" t="n">
        <v>5060</v>
      </c>
      <c r="AK8" s="19">
        <f>IF(SUM($E8:E8)&gt;=AE8/2,0+5*(AE8/2-0)/E8,IF(SUM($E8:F8)&gt;=AE8/2,5+5*(AE8/2-SUM($E8:E8))/F8,IF(SUM($E8:G8)&gt;=AE8/2,10+5*(AE8/2-SUM($E8:F8))/G8,IF(SUM($E8:H8)&gt;=AE8/2,15+5*(AE8/2-SUM($E8:G8))/H8,IF(SUM($E8:I8)&gt;=AE8/2,20+5*(AE8/2-SUM($E8:H8))/I8,IF(SUM($E8:J8)&gt;=AE8/2,25+5*(AE8/2-SUM($E8:I8))/J8,IF(SUM($E8:K8)&gt;=AE8/2,30+5*(AE8/2-SUM($E8:J8))/K8,IF(SUM($E8:L8)&gt;=AE8/2,35+5*(AE8/2-SUM($E8:K8))/L8,IF(SUM($E8:M8)&gt;=AE8/2,40+5*(AE8/2-SUM($E8:L8))/M8,IF(SUM($E8:N8)&gt;=AE8/2,45+5*(AE8/2-SUM($E8:M8))/N8,IF(SUM($E8:O8)&gt;=AE8/2,50+5*(AE8/2-SUM($E8:N8))/O8,IF(SUM($E8:P8)&gt;=AE8/2,55+5*(AE8/2-SUM($E8:O8))/P8,IF(SUM($E8:Q8)&gt;=AE8/2,60+5*(AE8/2-SUM($E8:P8))/Q8,IF(SUM($E8:R8)&gt;=AE8/2,65+5*(AE8/2-SUM($E8:Q8))/R8,IF(SUM($E8:S8)&gt;=AE8/2,70+5*(AE8/2-SUM($E8:R8))/S8,IF(SUM($E8:T8)&gt;=AE8/2,75+5*(AE8/2-SUM($E8:S8))/T8,""))))))))))))))))</f>
        <v/>
      </c>
      <c r="AL8" s="30">
        <f>SUM(H8:Q8)</f>
        <v/>
      </c>
      <c r="AM8" s="24" t="n">
        <v>0.117</v>
      </c>
      <c r="AN8" s="24" t="n">
        <v>0.148</v>
      </c>
      <c r="AO8" s="33">
        <f>IF(AND(ISNUMBER(AN8),ISNUMBER(AM8)),(AN8-AM8)*100,"")</f>
        <v/>
      </c>
      <c r="AP8" s="30">
        <f>IF(ISNUMBER(AN8),AN8*AL8,"")</f>
        <v/>
      </c>
      <c r="AQ8" s="30">
        <f>IF(ISNUMBER(AN8),AL8,0)</f>
        <v/>
      </c>
      <c r="AR8" s="24" t="n">
        <v>0.182</v>
      </c>
      <c r="AS8" s="6" t="inlineStr">
        <is>
          <t>population</t>
        </is>
      </c>
      <c r="AT8" s="6" t="inlineStr">
        <is>
          <t>13+</t>
        </is>
      </c>
      <c r="AU8" s="24" t="n">
        <v>1</v>
      </c>
      <c r="AV8" s="30">
        <f>G8*0.4+H8+I8+J8+K8+L8+M8+N8+O8+P8+Q8+R8+S8+T8+U8</f>
        <v/>
      </c>
      <c r="AX8" s="30">
        <f>IF(ISNUMBER(AW8),AW8,AR8*AU8*AV8)</f>
        <v/>
      </c>
      <c r="AY8" s="34">
        <f>AX8/AV8</f>
        <v/>
      </c>
      <c r="AZ8" s="6" t="inlineStr">
        <is>
          <t>A</t>
        </is>
      </c>
      <c r="BA8" s="6" t="inlineStr">
        <is>
          <t>No</t>
        </is>
      </c>
      <c r="BB8" s="30">
        <f>IF(BA8="Yes",AX8,0)</f>
        <v/>
      </c>
      <c r="BC8" s="30">
        <f>IF(AND(BA8="Yes",ISNUMBER(AP8)),AP8,0)</f>
        <v/>
      </c>
      <c r="BD8" s="30">
        <f>IF(BA8="Yes",AX8,IF(ISNUMBER(AP8),AP8,0))</f>
        <v/>
      </c>
      <c r="BE8" s="6" t="inlineStr">
        <is>
          <t>Access to artificial intelligence (any AI, including chatbots, writing tools and voice assistants)</t>
        </is>
      </c>
      <c r="BF8" s="6" t="inlineStr">
        <is>
          <t>1 February - 15 March 2026 (face-to-face, n=8,700)</t>
        </is>
      </c>
      <c r="BG8" s="6" t="inlineStr">
        <is>
          <t>APJII (Indonesian Internet Service Providers Association): Indonesia Internet Penetration and Behaviour Survey 2026, p. 123</t>
        </is>
      </c>
      <c r="BH8" s="6" t="inlineStr">
        <is>
          <t>https://survei.apjii.or.id/uploads/1790827973204-Survei-Penetrasi-Internet-dan-Perilaku-Penggunaan-Internet-2026.pdf</t>
        </is>
      </c>
    </row>
    <row r="9">
      <c r="A9" s="6" t="inlineStr">
        <is>
          <t>PAK</t>
        </is>
      </c>
      <c r="B9" s="6" t="inlineStr">
        <is>
          <t>Pakistan</t>
        </is>
      </c>
      <c r="C9" s="6" t="inlineStr">
        <is>
          <t>Middle East, North Africa, Afghanistan &amp; Pakistan</t>
        </is>
      </c>
      <c r="D9" s="6" t="inlineStr">
        <is>
          <t>Lower middle income</t>
        </is>
      </c>
      <c r="E9" s="29" t="n">
        <v>32134104</v>
      </c>
      <c r="F9" s="29" t="n">
        <v>30419761</v>
      </c>
      <c r="G9" s="29" t="n">
        <v>29948170</v>
      </c>
      <c r="H9" s="29" t="n">
        <v>27329487</v>
      </c>
      <c r="I9" s="29" t="n">
        <v>23603539</v>
      </c>
      <c r="J9" s="29" t="n">
        <v>20687491</v>
      </c>
      <c r="K9" s="29" t="n">
        <v>18010398</v>
      </c>
      <c r="L9" s="29" t="n">
        <v>15645925</v>
      </c>
      <c r="M9" s="29" t="n">
        <v>13245154</v>
      </c>
      <c r="N9" s="29" t="n">
        <v>10615101</v>
      </c>
      <c r="O9" s="29" t="n">
        <v>8806085</v>
      </c>
      <c r="P9" s="29" t="n">
        <v>7423705</v>
      </c>
      <c r="Q9" s="29" t="n">
        <v>6218304</v>
      </c>
      <c r="R9" s="29" t="n">
        <v>4729639</v>
      </c>
      <c r="S9" s="29" t="n">
        <v>3086275</v>
      </c>
      <c r="T9" s="29" t="n">
        <v>1879843</v>
      </c>
      <c r="U9" s="29" t="n">
        <v>1436566</v>
      </c>
      <c r="V9" s="29" t="n">
        <v>125904871</v>
      </c>
      <c r="W9" s="29" t="n">
        <v>129314676</v>
      </c>
      <c r="X9" s="30">
        <f>SUM(E9:G9)</f>
        <v/>
      </c>
      <c r="Y9" s="30">
        <f>SUM(H9:I9)</f>
        <v/>
      </c>
      <c r="Z9" s="30">
        <f>SUM(J9:K9)</f>
        <v/>
      </c>
      <c r="AA9" s="30">
        <f>SUM(L9:M9)</f>
        <v/>
      </c>
      <c r="AB9" s="30">
        <f>SUM(N9:O9)</f>
        <v/>
      </c>
      <c r="AC9" s="30">
        <f>SUM(P9:Q9)</f>
        <v/>
      </c>
      <c r="AD9" s="30">
        <f>SUM(R9:U9)</f>
        <v/>
      </c>
      <c r="AE9" s="31">
        <f>SUM(X9:AD9)</f>
        <v/>
      </c>
      <c r="AF9" s="32">
        <f>AE9/SUM($AE$5:$AE$222)</f>
        <v/>
      </c>
      <c r="AG9" s="10">
        <f>RANK(AE9,$AE$5:$AE$222)</f>
        <v/>
      </c>
      <c r="AH9" s="29" t="n">
        <v>251269164</v>
      </c>
      <c r="AI9" s="9">
        <f>IF(AH9&gt;0,AE9/AH9-1,"")</f>
        <v/>
      </c>
      <c r="AJ9" s="29" t="n">
        <v>1596</v>
      </c>
      <c r="AK9" s="19">
        <f>IF(SUM($E9:E9)&gt;=AE9/2,0+5*(AE9/2-0)/E9,IF(SUM($E9:F9)&gt;=AE9/2,5+5*(AE9/2-SUM($E9:E9))/F9,IF(SUM($E9:G9)&gt;=AE9/2,10+5*(AE9/2-SUM($E9:F9))/G9,IF(SUM($E9:H9)&gt;=AE9/2,15+5*(AE9/2-SUM($E9:G9))/H9,IF(SUM($E9:I9)&gt;=AE9/2,20+5*(AE9/2-SUM($E9:H9))/I9,IF(SUM($E9:J9)&gt;=AE9/2,25+5*(AE9/2-SUM($E9:I9))/J9,IF(SUM($E9:K9)&gt;=AE9/2,30+5*(AE9/2-SUM($E9:J9))/K9,IF(SUM($E9:L9)&gt;=AE9/2,35+5*(AE9/2-SUM($E9:K9))/L9,IF(SUM($E9:M9)&gt;=AE9/2,40+5*(AE9/2-SUM($E9:L9))/M9,IF(SUM($E9:N9)&gt;=AE9/2,45+5*(AE9/2-SUM($E9:M9))/N9,IF(SUM($E9:O9)&gt;=AE9/2,50+5*(AE9/2-SUM($E9:N9))/O9,IF(SUM($E9:P9)&gt;=AE9/2,55+5*(AE9/2-SUM($E9:O9))/P9,IF(SUM($E9:Q9)&gt;=AE9/2,60+5*(AE9/2-SUM($E9:P9))/Q9,IF(SUM($E9:R9)&gt;=AE9/2,65+5*(AE9/2-SUM($E9:Q9))/R9,IF(SUM($E9:S9)&gt;=AE9/2,70+5*(AE9/2-SUM($E9:R9))/S9,IF(SUM($E9:T9)&gt;=AE9/2,75+5*(AE9/2-SUM($E9:S9))/T9,""))))))))))))))))</f>
        <v/>
      </c>
      <c r="AL9" s="30">
        <f>SUM(H9:Q9)</f>
        <v/>
      </c>
      <c r="AM9" s="24" t="n">
        <v>0.09699999999999999</v>
      </c>
      <c r="AN9" s="24" t="n">
        <v>0.119</v>
      </c>
      <c r="AO9" s="33">
        <f>IF(AND(ISNUMBER(AN9),ISNUMBER(AM9)),(AN9-AM9)*100,"")</f>
        <v/>
      </c>
      <c r="AP9" s="30">
        <f>IF(ISNUMBER(AN9),AN9*AL9,"")</f>
        <v/>
      </c>
      <c r="AQ9" s="30">
        <f>IF(ISNUMBER(AN9),AL9,0)</f>
        <v/>
      </c>
      <c r="AR9" s="24" t="n">
        <v>0.024</v>
      </c>
      <c r="AS9" s="6" t="inlineStr">
        <is>
          <t>population</t>
        </is>
      </c>
      <c r="AT9" s="6" t="inlineStr">
        <is>
          <t>0+</t>
        </is>
      </c>
      <c r="AU9" s="24" t="n">
        <v>1</v>
      </c>
      <c r="AV9" s="30">
        <f>E9+F9+G9+H9+I9+J9+K9+L9+M9+N9+O9+P9+Q9+R9+S9+T9+U9</f>
        <v/>
      </c>
      <c r="AW9" s="29" t="n">
        <v>6000000</v>
      </c>
      <c r="AX9" s="30">
        <f>IF(ISNUMBER(AW9),AW9,AR9*AU9*AV9)</f>
        <v/>
      </c>
      <c r="AY9" s="34">
        <f>AX9/AV9</f>
        <v/>
      </c>
      <c r="AZ9" s="6" t="inlineStr">
        <is>
          <t>C</t>
        </is>
      </c>
      <c r="BA9" s="6" t="inlineStr">
        <is>
          <t>No</t>
        </is>
      </c>
      <c r="BB9" s="30">
        <f>IF(BA9="Yes",AX9,0)</f>
        <v/>
      </c>
      <c r="BC9" s="30">
        <f>IF(AND(BA9="Yes",ISNUMBER(AP9)),AP9,0)</f>
        <v/>
      </c>
      <c r="BD9" s="30">
        <f>IF(BA9="Yes",AX9,IF(ISNUMBER(AP9),AP9,0))</f>
        <v/>
      </c>
      <c r="BE9" s="6" t="inlineStr">
        <is>
          <t>Use generative AI (about 6 million users)</t>
        </is>
      </c>
      <c r="BF9" s="6" t="inlineStr">
        <is>
          <t>March 2024 (phone survey of internet users)</t>
        </is>
      </c>
      <c r="BG9" s="6" t="inlineStr">
        <is>
          <t>Ipsos Pakistan: Gen. AI in Pakistan: Knowledge, Perceptions, and Usage</t>
        </is>
      </c>
      <c r="BH9" s="6" t="inlineStr">
        <is>
          <t>https://www.ipsos.com/sites/default/files/ct/news/documents/2024-07/Gen.%20AI%20in%20Pakistan_0.pdf</t>
        </is>
      </c>
    </row>
    <row r="10">
      <c r="A10" s="6" t="inlineStr">
        <is>
          <t>NGA</t>
        </is>
      </c>
      <c r="B10" s="6" t="inlineStr">
        <is>
          <t>Nigeria</t>
        </is>
      </c>
      <c r="C10" s="6" t="inlineStr">
        <is>
          <t>Sub-Saharan Africa</t>
        </is>
      </c>
      <c r="D10" s="6" t="inlineStr">
        <is>
          <t>Lower middle income</t>
        </is>
      </c>
      <c r="E10" s="29" t="n">
        <v>34221128</v>
      </c>
      <c r="F10" s="29" t="n">
        <v>31747790</v>
      </c>
      <c r="G10" s="29" t="n">
        <v>30276683</v>
      </c>
      <c r="H10" s="29" t="n">
        <v>26858427</v>
      </c>
      <c r="I10" s="29" t="n">
        <v>22798374</v>
      </c>
      <c r="J10" s="29" t="n">
        <v>18257168</v>
      </c>
      <c r="K10" s="29" t="n">
        <v>15162389</v>
      </c>
      <c r="L10" s="29" t="n">
        <v>12880664</v>
      </c>
      <c r="M10" s="29" t="n">
        <v>11276784</v>
      </c>
      <c r="N10" s="29" t="n">
        <v>9472830</v>
      </c>
      <c r="O10" s="29" t="n">
        <v>7339696</v>
      </c>
      <c r="P10" s="29" t="n">
        <v>5625634</v>
      </c>
      <c r="Q10" s="29" t="n">
        <v>4319218</v>
      </c>
      <c r="R10" s="29" t="n">
        <v>3163582</v>
      </c>
      <c r="S10" s="29" t="n">
        <v>2099863</v>
      </c>
      <c r="T10" s="29" t="n">
        <v>1215091</v>
      </c>
      <c r="U10" s="29" t="n">
        <v>812467</v>
      </c>
      <c r="V10" s="29" t="n">
        <v>117350047</v>
      </c>
      <c r="W10" s="29" t="n">
        <v>120177741</v>
      </c>
      <c r="X10" s="30">
        <f>SUM(E10:G10)</f>
        <v/>
      </c>
      <c r="Y10" s="30">
        <f>SUM(H10:I10)</f>
        <v/>
      </c>
      <c r="Z10" s="30">
        <f>SUM(J10:K10)</f>
        <v/>
      </c>
      <c r="AA10" s="30">
        <f>SUM(L10:M10)</f>
        <v/>
      </c>
      <c r="AB10" s="30">
        <f>SUM(N10:O10)</f>
        <v/>
      </c>
      <c r="AC10" s="30">
        <f>SUM(P10:Q10)</f>
        <v/>
      </c>
      <c r="AD10" s="30">
        <f>SUM(R10:U10)</f>
        <v/>
      </c>
      <c r="AE10" s="31">
        <f>SUM(X10:AD10)</f>
        <v/>
      </c>
      <c r="AF10" s="32">
        <f>AE10/SUM($AE$5:$AE$222)</f>
        <v/>
      </c>
      <c r="AG10" s="10">
        <f>RANK(AE10,$AE$5:$AE$222)</f>
        <v/>
      </c>
      <c r="AH10" s="29" t="n">
        <v>232679478</v>
      </c>
      <c r="AI10" s="9">
        <f>IF(AH10&gt;0,AE10/AH10-1,"")</f>
        <v/>
      </c>
      <c r="AJ10" s="29" t="n">
        <v>1224</v>
      </c>
      <c r="AK10" s="19">
        <f>IF(SUM($E10:E10)&gt;=AE10/2,0+5*(AE10/2-0)/E10,IF(SUM($E10:F10)&gt;=AE10/2,5+5*(AE10/2-SUM($E10:E10))/F10,IF(SUM($E10:G10)&gt;=AE10/2,10+5*(AE10/2-SUM($E10:F10))/G10,IF(SUM($E10:H10)&gt;=AE10/2,15+5*(AE10/2-SUM($E10:G10))/H10,IF(SUM($E10:I10)&gt;=AE10/2,20+5*(AE10/2-SUM($E10:H10))/I10,IF(SUM($E10:J10)&gt;=AE10/2,25+5*(AE10/2-SUM($E10:I10))/J10,IF(SUM($E10:K10)&gt;=AE10/2,30+5*(AE10/2-SUM($E10:J10))/K10,IF(SUM($E10:L10)&gt;=AE10/2,35+5*(AE10/2-SUM($E10:K10))/L10,IF(SUM($E10:M10)&gt;=AE10/2,40+5*(AE10/2-SUM($E10:L10))/M10,IF(SUM($E10:N10)&gt;=AE10/2,45+5*(AE10/2-SUM($E10:M10))/N10,IF(SUM($E10:O10)&gt;=AE10/2,50+5*(AE10/2-SUM($E10:N10))/O10,IF(SUM($E10:P10)&gt;=AE10/2,55+5*(AE10/2-SUM($E10:O10))/P10,IF(SUM($E10:Q10)&gt;=AE10/2,60+5*(AE10/2-SUM($E10:P10))/Q10,IF(SUM($E10:R10)&gt;=AE10/2,65+5*(AE10/2-SUM($E10:Q10))/R10,IF(SUM($E10:S10)&gt;=AE10/2,70+5*(AE10/2-SUM($E10:R10))/S10,IF(SUM($E10:T10)&gt;=AE10/2,75+5*(AE10/2-SUM($E10:S10))/T10,""))))))))))))))))</f>
        <v/>
      </c>
      <c r="AL10" s="30">
        <f>SUM(H10:Q10)</f>
        <v/>
      </c>
      <c r="AM10" s="24" t="n">
        <v>0.08699999999999999</v>
      </c>
      <c r="AN10" s="24" t="n">
        <v>0.104</v>
      </c>
      <c r="AO10" s="33">
        <f>IF(AND(ISNUMBER(AN10),ISNUMBER(AM10)),(AN10-AM10)*100,"")</f>
        <v/>
      </c>
      <c r="AP10" s="30">
        <f>IF(ISNUMBER(AN10),AN10*AL10,"")</f>
        <v/>
      </c>
      <c r="AQ10" s="30">
        <f>IF(ISNUMBER(AN10),AL10,0)</f>
        <v/>
      </c>
      <c r="AR10" s="24" t="n">
        <v>0.2</v>
      </c>
      <c r="AS10" s="6" t="inlineStr">
        <is>
          <t>population</t>
        </is>
      </c>
      <c r="AT10" s="6" t="inlineStr">
        <is>
          <t>15+</t>
        </is>
      </c>
      <c r="AU10" s="24" t="n">
        <v>1</v>
      </c>
      <c r="AV10" s="30">
        <f>H10+I10+J10+K10+L10+M10+N10+O10+P10+Q10+R10+S10+T10+U10</f>
        <v/>
      </c>
      <c r="AX10" s="30">
        <f>IF(ISNUMBER(AW10),AW10,AR10*AU10*AV10)</f>
        <v/>
      </c>
      <c r="AY10" s="34">
        <f>AX10/AV10</f>
        <v/>
      </c>
      <c r="AZ10" s="6" t="inlineStr">
        <is>
          <t>C</t>
        </is>
      </c>
      <c r="BA10" s="6" t="inlineStr">
        <is>
          <t>No</t>
        </is>
      </c>
      <c r="BB10" s="30">
        <f>IF(BA10="Yes",AX10,0)</f>
        <v/>
      </c>
      <c r="BC10" s="30">
        <f>IF(AND(BA10="Yes",ISNUMBER(AP10)),AP10,0)</f>
        <v/>
      </c>
      <c r="BD10" s="30">
        <f>IF(BA10="Yes",AX10,IF(ISNUMBER(AP10),AP10,0))</f>
        <v/>
      </c>
      <c r="BE10" s="6" t="inlineStr">
        <is>
          <t>Have ever used AI (daily, weekly or monthly or less)</t>
        </is>
      </c>
      <c r="BF10" s="6" t="inlineStr">
        <is>
          <t>April-July 2026 (Gallup World Poll, probability sample ~1,000)</t>
        </is>
      </c>
      <c r="BG10" s="6" t="inlineStr">
        <is>
          <t>Gallup (World Poll; research run with Microsoft): AI Optimism Globally Widespread Despite Uneven Use</t>
        </is>
      </c>
      <c r="BH10" s="6" t="inlineStr">
        <is>
          <t>https://news.gallup.com/poll/714593/optimism-globally-widespread-despite-uneven.aspx</t>
        </is>
      </c>
    </row>
    <row r="11">
      <c r="A11" s="6" t="inlineStr">
        <is>
          <t>BRA</t>
        </is>
      </c>
      <c r="B11" s="6" t="inlineStr">
        <is>
          <t>Brazil</t>
        </is>
      </c>
      <c r="C11" s="6" t="inlineStr">
        <is>
          <t>Latin America &amp; Caribbean</t>
        </is>
      </c>
      <c r="D11" s="6" t="inlineStr">
        <is>
          <t>Upper middle income</t>
        </is>
      </c>
      <c r="E11" s="29" t="n">
        <v>12879996</v>
      </c>
      <c r="F11" s="29" t="n">
        <v>13992561</v>
      </c>
      <c r="G11" s="29" t="n">
        <v>14384578</v>
      </c>
      <c r="H11" s="29" t="n">
        <v>14693839</v>
      </c>
      <c r="I11" s="29" t="n">
        <v>15466284</v>
      </c>
      <c r="J11" s="29" t="n">
        <v>16326070</v>
      </c>
      <c r="K11" s="29" t="n">
        <v>16012011</v>
      </c>
      <c r="L11" s="29" t="n">
        <v>16507612</v>
      </c>
      <c r="M11" s="29" t="n">
        <v>16634889</v>
      </c>
      <c r="N11" s="29" t="n">
        <v>15189013</v>
      </c>
      <c r="O11" s="29" t="n">
        <v>13356306</v>
      </c>
      <c r="P11" s="29" t="n">
        <v>11989336</v>
      </c>
      <c r="Q11" s="29" t="n">
        <v>10948325</v>
      </c>
      <c r="R11" s="29" t="n">
        <v>8928228</v>
      </c>
      <c r="S11" s="29" t="n">
        <v>6696597</v>
      </c>
      <c r="T11" s="29" t="n">
        <v>4438135</v>
      </c>
      <c r="U11" s="29" t="n">
        <v>4368627</v>
      </c>
      <c r="V11" s="29" t="n">
        <v>108154994</v>
      </c>
      <c r="W11" s="29" t="n">
        <v>104657413</v>
      </c>
      <c r="X11" s="30">
        <f>SUM(E11:G11)</f>
        <v/>
      </c>
      <c r="Y11" s="30">
        <f>SUM(H11:I11)</f>
        <v/>
      </c>
      <c r="Z11" s="30">
        <f>SUM(J11:K11)</f>
        <v/>
      </c>
      <c r="AA11" s="30">
        <f>SUM(L11:M11)</f>
        <v/>
      </c>
      <c r="AB11" s="30">
        <f>SUM(N11:O11)</f>
        <v/>
      </c>
      <c r="AC11" s="30">
        <f>SUM(P11:Q11)</f>
        <v/>
      </c>
      <c r="AD11" s="30">
        <f>SUM(R11:U11)</f>
        <v/>
      </c>
      <c r="AE11" s="31">
        <f>SUM(X11:AD11)</f>
        <v/>
      </c>
      <c r="AF11" s="32">
        <f>AE11/SUM($AE$5:$AE$222)</f>
        <v/>
      </c>
      <c r="AG11" s="10">
        <f>RANK(AE11,$AE$5:$AE$222)</f>
        <v/>
      </c>
      <c r="AH11" s="29" t="n">
        <v>211998573</v>
      </c>
      <c r="AI11" s="9">
        <f>IF(AH11&gt;0,AE11/AH11-1,"")</f>
        <v/>
      </c>
      <c r="AJ11" s="29" t="n">
        <v>10713</v>
      </c>
      <c r="AK11" s="19">
        <f>IF(SUM($E11:E11)&gt;=AE11/2,0+5*(AE11/2-0)/E11,IF(SUM($E11:F11)&gt;=AE11/2,5+5*(AE11/2-SUM($E11:E11))/F11,IF(SUM($E11:G11)&gt;=AE11/2,10+5*(AE11/2-SUM($E11:F11))/G11,IF(SUM($E11:H11)&gt;=AE11/2,15+5*(AE11/2-SUM($E11:G11))/H11,IF(SUM($E11:I11)&gt;=AE11/2,20+5*(AE11/2-SUM($E11:H11))/I11,IF(SUM($E11:J11)&gt;=AE11/2,25+5*(AE11/2-SUM($E11:I11))/J11,IF(SUM($E11:K11)&gt;=AE11/2,30+5*(AE11/2-SUM($E11:J11))/K11,IF(SUM($E11:L11)&gt;=AE11/2,35+5*(AE11/2-SUM($E11:K11))/L11,IF(SUM($E11:M11)&gt;=AE11/2,40+5*(AE11/2-SUM($E11:L11))/M11,IF(SUM($E11:N11)&gt;=AE11/2,45+5*(AE11/2-SUM($E11:M11))/N11,IF(SUM($E11:O11)&gt;=AE11/2,50+5*(AE11/2-SUM($E11:N11))/O11,IF(SUM($E11:P11)&gt;=AE11/2,55+5*(AE11/2-SUM($E11:O11))/P11,IF(SUM($E11:Q11)&gt;=AE11/2,60+5*(AE11/2-SUM($E11:P11))/Q11,IF(SUM($E11:R11)&gt;=AE11/2,65+5*(AE11/2-SUM($E11:Q11))/R11,IF(SUM($E11:S11)&gt;=AE11/2,70+5*(AE11/2-SUM($E11:R11))/S11,IF(SUM($E11:T11)&gt;=AE11/2,75+5*(AE11/2-SUM($E11:S11))/T11,""))))))))))))))))</f>
        <v/>
      </c>
      <c r="AL11" s="30">
        <f>SUM(H11:Q11)</f>
        <v/>
      </c>
      <c r="AM11" s="24" t="n">
        <v>0.156</v>
      </c>
      <c r="AN11" s="24" t="n">
        <v>0.202</v>
      </c>
      <c r="AO11" s="33">
        <f>IF(AND(ISNUMBER(AN11),ISNUMBER(AM11)),(AN11-AM11)*100,"")</f>
        <v/>
      </c>
      <c r="AP11" s="30">
        <f>IF(ISNUMBER(AN11),AN11*AL11,"")</f>
        <v/>
      </c>
      <c r="AQ11" s="30">
        <f>IF(ISNUMBER(AN11),AL11,0)</f>
        <v/>
      </c>
      <c r="AR11" s="24" t="n">
        <v>0.32</v>
      </c>
      <c r="AS11" s="6" t="inlineStr">
        <is>
          <t>internet users</t>
        </is>
      </c>
      <c r="AT11" s="6" t="inlineStr">
        <is>
          <t>10+</t>
        </is>
      </c>
      <c r="AU11" s="24" t="n">
        <v>1</v>
      </c>
      <c r="AV11" s="30">
        <f>G11+H11+I11+J11+K11+L11+M11+N11+O11+P11+Q11+R11+S11+T11+U11</f>
        <v/>
      </c>
      <c r="AW11" s="29" t="n">
        <v>50000000</v>
      </c>
      <c r="AX11" s="30">
        <f>IF(ISNUMBER(AW11),AW11,AR11*AU11*AV11)</f>
        <v/>
      </c>
      <c r="AY11" s="34">
        <f>AX11/AV11</f>
        <v/>
      </c>
      <c r="AZ11" s="6" t="inlineStr">
        <is>
          <t>A</t>
        </is>
      </c>
      <c r="BA11" s="6" t="inlineStr">
        <is>
          <t>Yes</t>
        </is>
      </c>
      <c r="BB11" s="30">
        <f>IF(BA11="Yes",AX11,0)</f>
        <v/>
      </c>
      <c r="BC11" s="30">
        <f>IF(AND(BA11="Yes",ISNUMBER(AP11)),AP11,0)</f>
        <v/>
      </c>
      <c r="BD11" s="30">
        <f>IF(BA11="Yes",AX11,IF(ISNUMBER(AP11),AP11,0))</f>
        <v/>
      </c>
      <c r="BE11" s="6" t="inlineStr">
        <is>
          <t>Used generative AI tools in the three months before the survey (share of internet users aged 10+)</t>
        </is>
      </c>
      <c r="BF11" s="6" t="inlineStr">
        <is>
          <t>March-September 2025 (face-to-face household survey)</t>
        </is>
      </c>
      <c r="BG11" s="6" t="inlineStr">
        <is>
          <t>CETIC.br / NIC.br (runs Brazil's official household ICT survey): TIC Domicilios 2025, executive summary</t>
        </is>
      </c>
      <c r="BH11" s="6" t="inlineStr">
        <is>
          <t>https://www.cetic.br/media/docs/publicacoes/2/pt-br/20260511173151/tic_domicilios_2025_resumoexecutivo%20pt.pdf</t>
        </is>
      </c>
    </row>
    <row r="12">
      <c r="A12" s="6" t="inlineStr">
        <is>
          <t>BGD</t>
        </is>
      </c>
      <c r="B12" s="6" t="inlineStr">
        <is>
          <t>Bangladesh</t>
        </is>
      </c>
      <c r="C12" s="6" t="inlineStr">
        <is>
          <t>South Asia</t>
        </is>
      </c>
      <c r="D12" s="6" t="inlineStr">
        <is>
          <t>Lower middle income</t>
        </is>
      </c>
      <c r="E12" s="29" t="n">
        <v>16831404</v>
      </c>
      <c r="F12" s="29" t="n">
        <v>15775080</v>
      </c>
      <c r="G12" s="29" t="n">
        <v>15963465</v>
      </c>
      <c r="H12" s="29" t="n">
        <v>16947603</v>
      </c>
      <c r="I12" s="29" t="n">
        <v>16305496</v>
      </c>
      <c r="J12" s="29" t="n">
        <v>15136342</v>
      </c>
      <c r="K12" s="29" t="n">
        <v>13612547</v>
      </c>
      <c r="L12" s="29" t="n">
        <v>12424100</v>
      </c>
      <c r="M12" s="29" t="n">
        <v>11963002</v>
      </c>
      <c r="N12" s="29" t="n">
        <v>9240182</v>
      </c>
      <c r="O12" s="29" t="n">
        <v>7834688</v>
      </c>
      <c r="P12" s="29" t="n">
        <v>6566376</v>
      </c>
      <c r="Q12" s="29" t="n">
        <v>5371067</v>
      </c>
      <c r="R12" s="29" t="n">
        <v>4301863</v>
      </c>
      <c r="S12" s="29" t="n">
        <v>3283502</v>
      </c>
      <c r="T12" s="29" t="n">
        <v>2115696</v>
      </c>
      <c r="U12" s="29" t="n">
        <v>2014483</v>
      </c>
      <c r="V12" s="29" t="n">
        <v>89320167</v>
      </c>
      <c r="W12" s="29" t="n">
        <v>86366729</v>
      </c>
      <c r="X12" s="30">
        <f>SUM(E12:G12)</f>
        <v/>
      </c>
      <c r="Y12" s="30">
        <f>SUM(H12:I12)</f>
        <v/>
      </c>
      <c r="Z12" s="30">
        <f>SUM(J12:K12)</f>
        <v/>
      </c>
      <c r="AA12" s="30">
        <f>SUM(L12:M12)</f>
        <v/>
      </c>
      <c r="AB12" s="30">
        <f>SUM(N12:O12)</f>
        <v/>
      </c>
      <c r="AC12" s="30">
        <f>SUM(P12:Q12)</f>
        <v/>
      </c>
      <c r="AD12" s="30">
        <f>SUM(R12:U12)</f>
        <v/>
      </c>
      <c r="AE12" s="31">
        <f>SUM(X12:AD12)</f>
        <v/>
      </c>
      <c r="AF12" s="32">
        <f>AE12/SUM($AE$5:$AE$222)</f>
        <v/>
      </c>
      <c r="AG12" s="10">
        <f>RANK(AE12,$AE$5:$AE$222)</f>
        <v/>
      </c>
      <c r="AH12" s="29" t="n">
        <v>173562364</v>
      </c>
      <c r="AI12" s="9">
        <f>IF(AH12&gt;0,AE12/AH12-1,"")</f>
        <v/>
      </c>
      <c r="AJ12" s="29" t="n">
        <v>2597</v>
      </c>
      <c r="AK12" s="19">
        <f>IF(SUM($E12:E12)&gt;=AE12/2,0+5*(AE12/2-0)/E12,IF(SUM($E12:F12)&gt;=AE12/2,5+5*(AE12/2-SUM($E12:E12))/F12,IF(SUM($E12:G12)&gt;=AE12/2,10+5*(AE12/2-SUM($E12:F12))/G12,IF(SUM($E12:H12)&gt;=AE12/2,15+5*(AE12/2-SUM($E12:G12))/H12,IF(SUM($E12:I12)&gt;=AE12/2,20+5*(AE12/2-SUM($E12:H12))/I12,IF(SUM($E12:J12)&gt;=AE12/2,25+5*(AE12/2-SUM($E12:I12))/J12,IF(SUM($E12:K12)&gt;=AE12/2,30+5*(AE12/2-SUM($E12:J12))/K12,IF(SUM($E12:L12)&gt;=AE12/2,35+5*(AE12/2-SUM($E12:K12))/L12,IF(SUM($E12:M12)&gt;=AE12/2,40+5*(AE12/2-SUM($E12:L12))/M12,IF(SUM($E12:N12)&gt;=AE12/2,45+5*(AE12/2-SUM($E12:M12))/N12,IF(SUM($E12:O12)&gt;=AE12/2,50+5*(AE12/2-SUM($E12:N12))/O12,IF(SUM($E12:P12)&gt;=AE12/2,55+5*(AE12/2-SUM($E12:O12))/P12,IF(SUM($E12:Q12)&gt;=AE12/2,60+5*(AE12/2-SUM($E12:P12))/Q12,IF(SUM($E12:R12)&gt;=AE12/2,65+5*(AE12/2-SUM($E12:Q12))/R12,IF(SUM($E12:S12)&gt;=AE12/2,70+5*(AE12/2-SUM($E12:R12))/S12,IF(SUM($E12:T12)&gt;=AE12/2,75+5*(AE12/2-SUM($E12:S12))/T12,""))))))))))))))))</f>
        <v/>
      </c>
      <c r="AL12" s="30">
        <f>SUM(H12:Q12)</f>
        <v/>
      </c>
      <c r="AM12" s="24" t="n">
        <v>0.065</v>
      </c>
      <c r="AN12" s="24" t="n">
        <v>0.08</v>
      </c>
      <c r="AO12" s="33">
        <f>IF(AND(ISNUMBER(AN12),ISNUMBER(AM12)),(AN12-AM12)*100,"")</f>
        <v/>
      </c>
      <c r="AP12" s="30">
        <f>IF(ISNUMBER(AN12),AN12*AL12,"")</f>
        <v/>
      </c>
      <c r="AQ12" s="30">
        <f>IF(ISNUMBER(AN12),AL12,0)</f>
        <v/>
      </c>
      <c r="AR12" s="24" t="n">
        <v>0.101</v>
      </c>
      <c r="AS12" s="6" t="inlineStr">
        <is>
          <t>population</t>
        </is>
      </c>
      <c r="AT12" s="6" t="inlineStr">
        <is>
          <t>15+</t>
        </is>
      </c>
      <c r="AU12" s="24" t="n">
        <v>1</v>
      </c>
      <c r="AV12" s="30">
        <f>H12+I12+J12+K12+L12+M12+N12+O12+P12+Q12+R12+S12+T12+U12</f>
        <v/>
      </c>
      <c r="AX12" s="30">
        <f>IF(ISNUMBER(AW12),AW12,AR12*AU12*AV12)</f>
        <v/>
      </c>
      <c r="AY12" s="34">
        <f>AX12/AV12</f>
        <v/>
      </c>
      <c r="AZ12" s="6" t="inlineStr">
        <is>
          <t>C</t>
        </is>
      </c>
      <c r="BA12" s="6" t="inlineStr">
        <is>
          <t>No</t>
        </is>
      </c>
      <c r="BB12" s="30">
        <f>IF(BA12="Yes",AX12,0)</f>
        <v/>
      </c>
      <c r="BC12" s="30">
        <f>IF(AND(BA12="Yes",ISNUMBER(AP12)),AP12,0)</f>
        <v/>
      </c>
      <c r="BD12" s="30">
        <f>IF(BA12="Yes",AX12,IF(ISNUMBER(AP12),AP12,0))</f>
        <v/>
      </c>
      <c r="BE12" s="6" t="inlineStr">
        <is>
          <t>Have ever used AI (daily, weekly or monthly or less)</t>
        </is>
      </c>
      <c r="BF12" s="6" t="inlineStr">
        <is>
          <t>April-July 2026 (Gallup World Poll, probability sample ~1,000)</t>
        </is>
      </c>
      <c r="BG12" s="6" t="inlineStr">
        <is>
          <t>Gallup (World Poll; research run with Microsoft): AI Optimism Globally Widespread Despite Uneven Use</t>
        </is>
      </c>
      <c r="BH12" s="6" t="inlineStr">
        <is>
          <t>https://news.gallup.com/poll/714593/optimism-globally-widespread-despite-uneven.aspx</t>
        </is>
      </c>
    </row>
    <row r="13">
      <c r="A13" s="6" t="inlineStr">
        <is>
          <t>RUS</t>
        </is>
      </c>
      <c r="B13" s="6" t="inlineStr">
        <is>
          <t>Russian Federation</t>
        </is>
      </c>
      <c r="C13" s="6" t="inlineStr">
        <is>
          <t>Europe &amp; Central Asia</t>
        </is>
      </c>
      <c r="D13" s="6" t="inlineStr">
        <is>
          <t>High income</t>
        </is>
      </c>
      <c r="E13" s="29" t="n">
        <v>6621862</v>
      </c>
      <c r="F13" s="29" t="n">
        <v>8422666</v>
      </c>
      <c r="G13" s="29" t="n">
        <v>9392182</v>
      </c>
      <c r="H13" s="29" t="n">
        <v>8144016</v>
      </c>
      <c r="I13" s="29" t="n">
        <v>7432843</v>
      </c>
      <c r="J13" s="29" t="n">
        <v>6994540</v>
      </c>
      <c r="K13" s="29" t="n">
        <v>9046859</v>
      </c>
      <c r="L13" s="29" t="n">
        <v>12481388</v>
      </c>
      <c r="M13" s="29" t="n">
        <v>11662998</v>
      </c>
      <c r="N13" s="29" t="n">
        <v>10560530</v>
      </c>
      <c r="O13" s="29" t="n">
        <v>9530700</v>
      </c>
      <c r="P13" s="29" t="n">
        <v>8299594</v>
      </c>
      <c r="Q13" s="29" t="n">
        <v>9389564</v>
      </c>
      <c r="R13" s="29" t="n">
        <v>9054365</v>
      </c>
      <c r="S13" s="29" t="n">
        <v>7079660</v>
      </c>
      <c r="T13" s="29" t="n">
        <v>4609330</v>
      </c>
      <c r="U13" s="29" t="n">
        <v>4790231</v>
      </c>
      <c r="V13" s="29" t="n">
        <v>76960071</v>
      </c>
      <c r="W13" s="29" t="n">
        <v>66553257</v>
      </c>
      <c r="X13" s="30">
        <f>SUM(E13:G13)</f>
        <v/>
      </c>
      <c r="Y13" s="30">
        <f>SUM(H13:I13)</f>
        <v/>
      </c>
      <c r="Z13" s="30">
        <f>SUM(J13:K13)</f>
        <v/>
      </c>
      <c r="AA13" s="30">
        <f>SUM(L13:M13)</f>
        <v/>
      </c>
      <c r="AB13" s="30">
        <f>SUM(N13:O13)</f>
        <v/>
      </c>
      <c r="AC13" s="30">
        <f>SUM(P13:Q13)</f>
        <v/>
      </c>
      <c r="AD13" s="30">
        <f>SUM(R13:U13)</f>
        <v/>
      </c>
      <c r="AE13" s="31">
        <f>SUM(X13:AD13)</f>
        <v/>
      </c>
      <c r="AF13" s="32">
        <f>AE13/SUM($AE$5:$AE$222)</f>
        <v/>
      </c>
      <c r="AG13" s="10">
        <f>RANK(AE13,$AE$5:$AE$222)</f>
        <v/>
      </c>
      <c r="AH13" s="29" t="n">
        <v>143669648</v>
      </c>
      <c r="AI13" s="9">
        <f>IF(AH13&gt;0,AE13/AH13-1,"")</f>
        <v/>
      </c>
      <c r="AJ13" s="29" t="n">
        <v>17547</v>
      </c>
      <c r="AK13" s="19">
        <f>IF(SUM($E13:E13)&gt;=AE13/2,0+5*(AE13/2-0)/E13,IF(SUM($E13:F13)&gt;=AE13/2,5+5*(AE13/2-SUM($E13:E13))/F13,IF(SUM($E13:G13)&gt;=AE13/2,10+5*(AE13/2-SUM($E13:F13))/G13,IF(SUM($E13:H13)&gt;=AE13/2,15+5*(AE13/2-SUM($E13:G13))/H13,IF(SUM($E13:I13)&gt;=AE13/2,20+5*(AE13/2-SUM($E13:H13))/I13,IF(SUM($E13:J13)&gt;=AE13/2,25+5*(AE13/2-SUM($E13:I13))/J13,IF(SUM($E13:K13)&gt;=AE13/2,30+5*(AE13/2-SUM($E13:J13))/K13,IF(SUM($E13:L13)&gt;=AE13/2,35+5*(AE13/2-SUM($E13:K13))/L13,IF(SUM($E13:M13)&gt;=AE13/2,40+5*(AE13/2-SUM($E13:L13))/M13,IF(SUM($E13:N13)&gt;=AE13/2,45+5*(AE13/2-SUM($E13:M13))/N13,IF(SUM($E13:O13)&gt;=AE13/2,50+5*(AE13/2-SUM($E13:N13))/O13,IF(SUM($E13:P13)&gt;=AE13/2,55+5*(AE13/2-SUM($E13:O13))/P13,IF(SUM($E13:Q13)&gt;=AE13/2,60+5*(AE13/2-SUM($E13:P13))/Q13,IF(SUM($E13:R13)&gt;=AE13/2,65+5*(AE13/2-SUM($E13:Q13))/R13,IF(SUM($E13:S13)&gt;=AE13/2,70+5*(AE13/2-SUM($E13:R13))/S13,IF(SUM($E13:T13)&gt;=AE13/2,75+5*(AE13/2-SUM($E13:S13))/T13,""))))))))))))))))</f>
        <v/>
      </c>
      <c r="AL13" s="30">
        <f>SUM(H13:Q13)</f>
        <v/>
      </c>
      <c r="AM13" s="24" t="n">
        <v>0.076</v>
      </c>
      <c r="AN13" s="24" t="n">
        <v>0.099</v>
      </c>
      <c r="AO13" s="33">
        <f>IF(AND(ISNUMBER(AN13),ISNUMBER(AM13)),(AN13-AM13)*100,"")</f>
        <v/>
      </c>
      <c r="AP13" s="30">
        <f>IF(ISNUMBER(AN13),AN13*AL13,"")</f>
        <v/>
      </c>
      <c r="AQ13" s="30">
        <f>IF(ISNUMBER(AN13),AL13,0)</f>
        <v/>
      </c>
      <c r="AR13" s="24" t="n">
        <v>0.78</v>
      </c>
      <c r="AS13" s="6" t="inlineStr">
        <is>
          <t>internet users</t>
        </is>
      </c>
      <c r="AT13" s="6" t="inlineStr">
        <is>
          <t>18+</t>
        </is>
      </c>
      <c r="AU13" s="24" t="n">
        <v>0.88</v>
      </c>
      <c r="AV13" s="30">
        <f>H13*0.4+I13+J13+K13+L13+M13+N13+O13+P13+Q13+R13+S13+T13+U13</f>
        <v/>
      </c>
      <c r="AX13" s="30">
        <f>IF(ISNUMBER(AW13),AW13,AR13*AU13*AV13)</f>
        <v/>
      </c>
      <c r="AY13" s="34">
        <f>AX13/AV13</f>
        <v/>
      </c>
      <c r="AZ13" s="6" t="inlineStr">
        <is>
          <t>B</t>
        </is>
      </c>
      <c r="BA13" s="6" t="inlineStr">
        <is>
          <t>Yes</t>
        </is>
      </c>
      <c r="BB13" s="30">
        <f>IF(BA13="Yes",AX13,0)</f>
        <v/>
      </c>
      <c r="BC13" s="30">
        <f>IF(AND(BA13="Yes",ISNUMBER(AP13)),AP13,0)</f>
        <v/>
      </c>
      <c r="BD13" s="30">
        <f>IF(BA13="Yes",AX13,IF(ISNUMBER(AP13),AP13,0))</f>
        <v/>
      </c>
      <c r="BE13" s="6" t="inlineStr">
        <is>
          <t>Used neural networks (generative AI) at least once in the past year (share of internet users 18+)</t>
        </is>
      </c>
      <c r="BF13" s="6" t="inlineStr">
        <is>
          <t>25-27 June 2026 (VTsIOM-Online, n=3,209)</t>
        </is>
      </c>
      <c r="BG13" s="6" t="inlineStr">
        <is>
          <t>VTsIOM (Russian Public Opinion Research Center, state-owned): Neural networks in our lives (analytical review)</t>
        </is>
      </c>
      <c r="BH13" s="6" t="inlineStr">
        <is>
          <t>https://wciom.ru/analytical-reviews/analiticheskii-obzor/neiroseti-v-nashei-zhizni</t>
        </is>
      </c>
    </row>
    <row r="14">
      <c r="A14" s="6" t="inlineStr">
        <is>
          <t>ETH</t>
        </is>
      </c>
      <c r="B14" s="6" t="inlineStr">
        <is>
          <t>Ethiopia</t>
        </is>
      </c>
      <c r="C14" s="6" t="inlineStr">
        <is>
          <t>Sub-Saharan Africa</t>
        </is>
      </c>
      <c r="D14" s="6" t="inlineStr">
        <is>
          <t>Low income</t>
        </is>
      </c>
      <c r="E14" s="29" t="n">
        <v>19653558</v>
      </c>
      <c r="F14" s="29" t="n">
        <v>17491797</v>
      </c>
      <c r="G14" s="29" t="n">
        <v>15390336</v>
      </c>
      <c r="H14" s="29" t="n">
        <v>14814861</v>
      </c>
      <c r="I14" s="29" t="n">
        <v>13612857</v>
      </c>
      <c r="J14" s="29" t="n">
        <v>11656924</v>
      </c>
      <c r="K14" s="29" t="n">
        <v>9753096</v>
      </c>
      <c r="L14" s="29" t="n">
        <v>7718009</v>
      </c>
      <c r="M14" s="29" t="n">
        <v>5887608</v>
      </c>
      <c r="N14" s="29" t="n">
        <v>4976670</v>
      </c>
      <c r="O14" s="29" t="n">
        <v>4039200</v>
      </c>
      <c r="P14" s="29" t="n">
        <v>3374179</v>
      </c>
      <c r="Q14" s="29" t="n">
        <v>2638163</v>
      </c>
      <c r="R14" s="29" t="n">
        <v>1845988</v>
      </c>
      <c r="S14" s="29" t="n">
        <v>1223123</v>
      </c>
      <c r="T14" s="29" t="n">
        <v>801748</v>
      </c>
      <c r="U14" s="29" t="n">
        <v>593938</v>
      </c>
      <c r="V14" s="29" t="n">
        <v>67595952</v>
      </c>
      <c r="W14" s="29" t="n">
        <v>67876103</v>
      </c>
      <c r="X14" s="30">
        <f>SUM(E14:G14)</f>
        <v/>
      </c>
      <c r="Y14" s="30">
        <f>SUM(H14:I14)</f>
        <v/>
      </c>
      <c r="Z14" s="30">
        <f>SUM(J14:K14)</f>
        <v/>
      </c>
      <c r="AA14" s="30">
        <f>SUM(L14:M14)</f>
        <v/>
      </c>
      <c r="AB14" s="30">
        <f>SUM(N14:O14)</f>
        <v/>
      </c>
      <c r="AC14" s="30">
        <f>SUM(P14:Q14)</f>
        <v/>
      </c>
      <c r="AD14" s="30">
        <f>SUM(R14:U14)</f>
        <v/>
      </c>
      <c r="AE14" s="31">
        <f>SUM(X14:AD14)</f>
        <v/>
      </c>
      <c r="AF14" s="32">
        <f>AE14/SUM($AE$5:$AE$222)</f>
        <v/>
      </c>
      <c r="AG14" s="10">
        <f>RANK(AE14,$AE$5:$AE$222)</f>
        <v/>
      </c>
      <c r="AH14" s="29" t="n">
        <v>132059767</v>
      </c>
      <c r="AI14" s="9">
        <f>IF(AH14&gt;0,AE14/AH14-1,"")</f>
        <v/>
      </c>
      <c r="AJ14" s="29" t="n">
        <v>933</v>
      </c>
      <c r="AK14" s="19">
        <f>IF(SUM($E14:E14)&gt;=AE14/2,0+5*(AE14/2-0)/E14,IF(SUM($E14:F14)&gt;=AE14/2,5+5*(AE14/2-SUM($E14:E14))/F14,IF(SUM($E14:G14)&gt;=AE14/2,10+5*(AE14/2-SUM($E14:F14))/G14,IF(SUM($E14:H14)&gt;=AE14/2,15+5*(AE14/2-SUM($E14:G14))/H14,IF(SUM($E14:I14)&gt;=AE14/2,20+5*(AE14/2-SUM($E14:H14))/I14,IF(SUM($E14:J14)&gt;=AE14/2,25+5*(AE14/2-SUM($E14:I14))/J14,IF(SUM($E14:K14)&gt;=AE14/2,30+5*(AE14/2-SUM($E14:J14))/K14,IF(SUM($E14:L14)&gt;=AE14/2,35+5*(AE14/2-SUM($E14:K14))/L14,IF(SUM($E14:M14)&gt;=AE14/2,40+5*(AE14/2-SUM($E14:L14))/M14,IF(SUM($E14:N14)&gt;=AE14/2,45+5*(AE14/2-SUM($E14:M14))/N14,IF(SUM($E14:O14)&gt;=AE14/2,50+5*(AE14/2-SUM($E14:N14))/O14,IF(SUM($E14:P14)&gt;=AE14/2,55+5*(AE14/2-SUM($E14:O14))/P14,IF(SUM($E14:Q14)&gt;=AE14/2,60+5*(AE14/2-SUM($E14:P14))/Q14,IF(SUM($E14:R14)&gt;=AE14/2,65+5*(AE14/2-SUM($E14:Q14))/R14,IF(SUM($E14:S14)&gt;=AE14/2,70+5*(AE14/2-SUM($E14:R14))/S14,IF(SUM($E14:T14)&gt;=AE14/2,75+5*(AE14/2-SUM($E14:S14))/T14,""))))))))))))))))</f>
        <v/>
      </c>
      <c r="AL14" s="30">
        <f>SUM(H14:Q14)</f>
        <v/>
      </c>
      <c r="AM14" s="24" t="n">
        <v>0.064</v>
      </c>
      <c r="AN14" s="24" t="n">
        <v>0.08</v>
      </c>
      <c r="AO14" s="33">
        <f>IF(AND(ISNUMBER(AN14),ISNUMBER(AM14)),(AN14-AM14)*100,"")</f>
        <v/>
      </c>
      <c r="AP14" s="30">
        <f>IF(ISNUMBER(AN14),AN14*AL14,"")</f>
        <v/>
      </c>
      <c r="AQ14" s="30">
        <f>IF(ISNUMBER(AN14),AL14,0)</f>
        <v/>
      </c>
      <c r="BB14" s="30">
        <f>IF(BA14="Yes",AX14,0)</f>
        <v/>
      </c>
      <c r="BC14" s="30">
        <f>IF(AND(BA14="Yes",ISNUMBER(AP14)),AP14,0)</f>
        <v/>
      </c>
      <c r="BD14" s="30">
        <f>IF(BA14="Yes",AX14,IF(ISNUMBER(AP14),AP14,0))</f>
        <v/>
      </c>
    </row>
    <row r="15">
      <c r="A15" s="6" t="inlineStr">
        <is>
          <t>MEX</t>
        </is>
      </c>
      <c r="B15" s="6" t="inlineStr">
        <is>
          <t>Mexico</t>
        </is>
      </c>
      <c r="C15" s="6" t="inlineStr">
        <is>
          <t>Latin America &amp; Caribbean</t>
        </is>
      </c>
      <c r="D15" s="6" t="inlineStr">
        <is>
          <t>Upper middle income</t>
        </is>
      </c>
      <c r="E15" s="29" t="n">
        <v>10122411</v>
      </c>
      <c r="F15" s="29" t="n">
        <v>10471455</v>
      </c>
      <c r="G15" s="29" t="n">
        <v>11193541</v>
      </c>
      <c r="H15" s="29" t="n">
        <v>11146497</v>
      </c>
      <c r="I15" s="29" t="n">
        <v>11100687</v>
      </c>
      <c r="J15" s="29" t="n">
        <v>10623243</v>
      </c>
      <c r="K15" s="29" t="n">
        <v>10396952</v>
      </c>
      <c r="L15" s="29" t="n">
        <v>9651333</v>
      </c>
      <c r="M15" s="29" t="n">
        <v>8773930</v>
      </c>
      <c r="N15" s="29" t="n">
        <v>8029534</v>
      </c>
      <c r="O15" s="29" t="n">
        <v>7425198</v>
      </c>
      <c r="P15" s="29" t="n">
        <v>6442687</v>
      </c>
      <c r="Q15" s="29" t="n">
        <v>5325664</v>
      </c>
      <c r="R15" s="29" t="n">
        <v>4116364</v>
      </c>
      <c r="S15" s="29" t="n">
        <v>2973258</v>
      </c>
      <c r="T15" s="29" t="n">
        <v>2018834</v>
      </c>
      <c r="U15" s="29" t="n">
        <v>2135313</v>
      </c>
      <c r="V15" s="29" t="n">
        <v>67964085</v>
      </c>
      <c r="W15" s="29" t="n">
        <v>63982816</v>
      </c>
      <c r="X15" s="30">
        <f>SUM(E15:G15)</f>
        <v/>
      </c>
      <c r="Y15" s="30">
        <f>SUM(H15:I15)</f>
        <v/>
      </c>
      <c r="Z15" s="30">
        <f>SUM(J15:K15)</f>
        <v/>
      </c>
      <c r="AA15" s="30">
        <f>SUM(L15:M15)</f>
        <v/>
      </c>
      <c r="AB15" s="30">
        <f>SUM(N15:O15)</f>
        <v/>
      </c>
      <c r="AC15" s="30">
        <f>SUM(P15:Q15)</f>
        <v/>
      </c>
      <c r="AD15" s="30">
        <f>SUM(R15:U15)</f>
        <v/>
      </c>
      <c r="AE15" s="31">
        <f>SUM(X15:AD15)</f>
        <v/>
      </c>
      <c r="AF15" s="32">
        <f>AE15/SUM($AE$5:$AE$222)</f>
        <v/>
      </c>
      <c r="AG15" s="10">
        <f>RANK(AE15,$AE$5:$AE$222)</f>
        <v/>
      </c>
      <c r="AH15" s="29" t="n">
        <v>130861007</v>
      </c>
      <c r="AI15" s="9">
        <f>IF(AH15&gt;0,AE15/AH15-1,"")</f>
        <v/>
      </c>
      <c r="AJ15" s="29" t="n">
        <v>13889</v>
      </c>
      <c r="AK15" s="19">
        <f>IF(SUM($E15:E15)&gt;=AE15/2,0+5*(AE15/2-0)/E15,IF(SUM($E15:F15)&gt;=AE15/2,5+5*(AE15/2-SUM($E15:E15))/F15,IF(SUM($E15:G15)&gt;=AE15/2,10+5*(AE15/2-SUM($E15:F15))/G15,IF(SUM($E15:H15)&gt;=AE15/2,15+5*(AE15/2-SUM($E15:G15))/H15,IF(SUM($E15:I15)&gt;=AE15/2,20+5*(AE15/2-SUM($E15:H15))/I15,IF(SUM($E15:J15)&gt;=AE15/2,25+5*(AE15/2-SUM($E15:I15))/J15,IF(SUM($E15:K15)&gt;=AE15/2,30+5*(AE15/2-SUM($E15:J15))/K15,IF(SUM($E15:L15)&gt;=AE15/2,35+5*(AE15/2-SUM($E15:K15))/L15,IF(SUM($E15:M15)&gt;=AE15/2,40+5*(AE15/2-SUM($E15:L15))/M15,IF(SUM($E15:N15)&gt;=AE15/2,45+5*(AE15/2-SUM($E15:M15))/N15,IF(SUM($E15:O15)&gt;=AE15/2,50+5*(AE15/2-SUM($E15:N15))/O15,IF(SUM($E15:P15)&gt;=AE15/2,55+5*(AE15/2-SUM($E15:O15))/P15,IF(SUM($E15:Q15)&gt;=AE15/2,60+5*(AE15/2-SUM($E15:P15))/Q15,IF(SUM($E15:R15)&gt;=AE15/2,65+5*(AE15/2-SUM($E15:Q15))/R15,IF(SUM($E15:S15)&gt;=AE15/2,70+5*(AE15/2-SUM($E15:R15))/S15,IF(SUM($E15:T15)&gt;=AE15/2,75+5*(AE15/2-SUM($E15:S15))/T15,""))))))))))))))))</f>
        <v/>
      </c>
      <c r="AL15" s="30">
        <f>SUM(H15:Q15)</f>
        <v/>
      </c>
      <c r="AM15" s="24" t="n">
        <v>0.167</v>
      </c>
      <c r="AN15" s="24" t="n">
        <v>0.214</v>
      </c>
      <c r="AO15" s="33">
        <f>IF(AND(ISNUMBER(AN15),ISNUMBER(AM15)),(AN15-AM15)*100,"")</f>
        <v/>
      </c>
      <c r="AP15" s="30">
        <f>IF(ISNUMBER(AN15),AN15*AL15,"")</f>
        <v/>
      </c>
      <c r="AQ15" s="30">
        <f>IF(ISNUMBER(AN15),AL15,0)</f>
        <v/>
      </c>
      <c r="BB15" s="30">
        <f>IF(BA15="Yes",AX15,0)</f>
        <v/>
      </c>
      <c r="BC15" s="30">
        <f>IF(AND(BA15="Yes",ISNUMBER(AP15)),AP15,0)</f>
        <v/>
      </c>
      <c r="BD15" s="30">
        <f>IF(BA15="Yes",AX15,IF(ISNUMBER(AP15),AP15,0))</f>
        <v/>
      </c>
    </row>
    <row r="16">
      <c r="A16" s="6" t="inlineStr">
        <is>
          <t>JPN</t>
        </is>
      </c>
      <c r="B16" s="6" t="inlineStr">
        <is>
          <t>Japan</t>
        </is>
      </c>
      <c r="C16" s="6" t="inlineStr">
        <is>
          <t>East Asia &amp; Pacific</t>
        </is>
      </c>
      <c r="D16" s="6" t="inlineStr">
        <is>
          <t>High income</t>
        </is>
      </c>
      <c r="E16" s="29" t="n">
        <v>3928343</v>
      </c>
      <c r="F16" s="29" t="n">
        <v>4664779</v>
      </c>
      <c r="G16" s="29" t="n">
        <v>5271322</v>
      </c>
      <c r="H16" s="29" t="n">
        <v>5670299</v>
      </c>
      <c r="I16" s="29" t="n">
        <v>6141006</v>
      </c>
      <c r="J16" s="29" t="n">
        <v>6123015</v>
      </c>
      <c r="K16" s="29" t="n">
        <v>6060315</v>
      </c>
      <c r="L16" s="29" t="n">
        <v>6502393</v>
      </c>
      <c r="M16" s="29" t="n">
        <v>7306149</v>
      </c>
      <c r="N16" s="29" t="n">
        <v>8484888</v>
      </c>
      <c r="O16" s="29" t="n">
        <v>9944050</v>
      </c>
      <c r="P16" s="29" t="n">
        <v>8543519</v>
      </c>
      <c r="Q16" s="29" t="n">
        <v>7723916</v>
      </c>
      <c r="R16" s="29" t="n">
        <v>7276966</v>
      </c>
      <c r="S16" s="29" t="n">
        <v>7850400</v>
      </c>
      <c r="T16" s="29" t="n">
        <v>8711591</v>
      </c>
      <c r="U16" s="29" t="n">
        <v>13163780</v>
      </c>
      <c r="V16" s="29" t="n">
        <v>63215258</v>
      </c>
      <c r="W16" s="29" t="n">
        <v>60151473</v>
      </c>
      <c r="X16" s="30">
        <f>SUM(E16:G16)</f>
        <v/>
      </c>
      <c r="Y16" s="30">
        <f>SUM(H16:I16)</f>
        <v/>
      </c>
      <c r="Z16" s="30">
        <f>SUM(J16:K16)</f>
        <v/>
      </c>
      <c r="AA16" s="30">
        <f>SUM(L16:M16)</f>
        <v/>
      </c>
      <c r="AB16" s="30">
        <f>SUM(N16:O16)</f>
        <v/>
      </c>
      <c r="AC16" s="30">
        <f>SUM(P16:Q16)</f>
        <v/>
      </c>
      <c r="AD16" s="30">
        <f>SUM(R16:U16)</f>
        <v/>
      </c>
      <c r="AE16" s="31">
        <f>SUM(X16:AD16)</f>
        <v/>
      </c>
      <c r="AF16" s="32">
        <f>AE16/SUM($AE$5:$AE$222)</f>
        <v/>
      </c>
      <c r="AG16" s="10">
        <f>RANK(AE16,$AE$5:$AE$222)</f>
        <v/>
      </c>
      <c r="AH16" s="29" t="n">
        <v>123975371</v>
      </c>
      <c r="AI16" s="9">
        <f>IF(AH16&gt;0,AE16/AH16-1,"")</f>
        <v/>
      </c>
      <c r="AJ16" s="29" t="n">
        <v>35951</v>
      </c>
      <c r="AK16" s="19">
        <f>IF(SUM($E16:E16)&gt;=AE16/2,0+5*(AE16/2-0)/E16,IF(SUM($E16:F16)&gt;=AE16/2,5+5*(AE16/2-SUM($E16:E16))/F16,IF(SUM($E16:G16)&gt;=AE16/2,10+5*(AE16/2-SUM($E16:F16))/G16,IF(SUM($E16:H16)&gt;=AE16/2,15+5*(AE16/2-SUM($E16:G16))/H16,IF(SUM($E16:I16)&gt;=AE16/2,20+5*(AE16/2-SUM($E16:H16))/I16,IF(SUM($E16:J16)&gt;=AE16/2,25+5*(AE16/2-SUM($E16:I16))/J16,IF(SUM($E16:K16)&gt;=AE16/2,30+5*(AE16/2-SUM($E16:J16))/K16,IF(SUM($E16:L16)&gt;=AE16/2,35+5*(AE16/2-SUM($E16:K16))/L16,IF(SUM($E16:M16)&gt;=AE16/2,40+5*(AE16/2-SUM($E16:L16))/M16,IF(SUM($E16:N16)&gt;=AE16/2,45+5*(AE16/2-SUM($E16:M16))/N16,IF(SUM($E16:O16)&gt;=AE16/2,50+5*(AE16/2-SUM($E16:N16))/O16,IF(SUM($E16:P16)&gt;=AE16/2,55+5*(AE16/2-SUM($E16:O16))/P16,IF(SUM($E16:Q16)&gt;=AE16/2,60+5*(AE16/2-SUM($E16:P16))/Q16,IF(SUM($E16:R16)&gt;=AE16/2,65+5*(AE16/2-SUM($E16:Q16))/R16,IF(SUM($E16:S16)&gt;=AE16/2,70+5*(AE16/2-SUM($E16:R16))/S16,IF(SUM($E16:T16)&gt;=AE16/2,75+5*(AE16/2-SUM($E16:S16))/T16,""))))))))))))))))</f>
        <v/>
      </c>
      <c r="AL16" s="30">
        <f>SUM(H16:Q16)</f>
        <v/>
      </c>
      <c r="AM16" s="24" t="n">
        <v>0.167</v>
      </c>
      <c r="AN16" s="24" t="n">
        <v>0.247</v>
      </c>
      <c r="AO16" s="33">
        <f>IF(AND(ISNUMBER(AN16),ISNUMBER(AM16)),(AN16-AM16)*100,"")</f>
        <v/>
      </c>
      <c r="AP16" s="30">
        <f>IF(ISNUMBER(AN16),AN16*AL16,"")</f>
        <v/>
      </c>
      <c r="AQ16" s="30">
        <f>IF(ISNUMBER(AN16),AL16,0)</f>
        <v/>
      </c>
      <c r="AR16" s="24" t="n">
        <v>0.588</v>
      </c>
      <c r="AS16" s="6" t="inlineStr">
        <is>
          <t>population</t>
        </is>
      </c>
      <c r="AT16" s="6" t="inlineStr">
        <is>
          <t>15-69</t>
        </is>
      </c>
      <c r="AU16" s="24" t="n">
        <v>1</v>
      </c>
      <c r="AV16" s="30">
        <f>H16+I16+J16+K16+L16+M16+N16+O16+P16+Q16+R16</f>
        <v/>
      </c>
      <c r="AX16" s="30">
        <f>IF(ISNUMBER(AW16),AW16,AR16*AU16*AV16)</f>
        <v/>
      </c>
      <c r="AY16" s="34">
        <f>AX16/AV16</f>
        <v/>
      </c>
      <c r="AZ16" s="6" t="inlineStr">
        <is>
          <t>A</t>
        </is>
      </c>
      <c r="BA16" s="6" t="inlineStr">
        <is>
          <t>Yes</t>
        </is>
      </c>
      <c r="BB16" s="30">
        <f>IF(BA16="Yes",AX16,0)</f>
        <v/>
      </c>
      <c r="BC16" s="30">
        <f>IF(AND(BA16="Yes",ISNUMBER(AP16)),AP16,0)</f>
        <v/>
      </c>
      <c r="BD16" s="30">
        <f>IF(BA16="Yes",AX16,IF(ISNUMBER(AP16),AP16,0))</f>
        <v/>
      </c>
      <c r="BE16" s="6" t="inlineStr">
        <is>
          <t>Have ever used at least one generative AI service, for work or daily life</t>
        </is>
      </c>
      <c r="BF16" s="6" t="inlineStr">
        <is>
          <t>January-February 2026 (online panel, n=1,236)</t>
        </is>
      </c>
      <c r="BG16" s="6" t="inlineStr">
        <is>
          <t>Ministry of Internal Affairs and Communications (MIC): White Paper on Information and Communications 2026 (Reiwa 8), Part I ch. 1</t>
        </is>
      </c>
      <c r="BH16" s="6" t="inlineStr">
        <is>
          <t>https://www.soumu.go.jp/johotsusintokei/whitepaper/ja/r08/text/nd111110.txt</t>
        </is>
      </c>
    </row>
    <row r="17">
      <c r="A17" s="6" t="inlineStr">
        <is>
          <t>EGY</t>
        </is>
      </c>
      <c r="B17" s="6" t="inlineStr">
        <is>
          <t>Egypt, Arab Rep.</t>
        </is>
      </c>
      <c r="C17" s="6" t="inlineStr">
        <is>
          <t>Middle East, North Africa, Afghanistan &amp; Pakistan</t>
        </is>
      </c>
      <c r="D17" s="6" t="inlineStr">
        <is>
          <t>Lower middle income</t>
        </is>
      </c>
      <c r="E17" s="29" t="n">
        <v>11831577</v>
      </c>
      <c r="F17" s="29" t="n">
        <v>12641664</v>
      </c>
      <c r="G17" s="29" t="n">
        <v>12878643</v>
      </c>
      <c r="H17" s="29" t="n">
        <v>11034606</v>
      </c>
      <c r="I17" s="29" t="n">
        <v>9891210</v>
      </c>
      <c r="J17" s="29" t="n">
        <v>9126338</v>
      </c>
      <c r="K17" s="29" t="n">
        <v>8649533</v>
      </c>
      <c r="L17" s="29" t="n">
        <v>8520794</v>
      </c>
      <c r="M17" s="29" t="n">
        <v>7564396</v>
      </c>
      <c r="N17" s="29" t="n">
        <v>6416761</v>
      </c>
      <c r="O17" s="29" t="n">
        <v>5356884</v>
      </c>
      <c r="P17" s="29" t="n">
        <v>4511931</v>
      </c>
      <c r="Q17" s="29" t="n">
        <v>3702360</v>
      </c>
      <c r="R17" s="29" t="n">
        <v>2783685</v>
      </c>
      <c r="S17" s="29" t="n">
        <v>1853651</v>
      </c>
      <c r="T17" s="29" t="n">
        <v>1029979</v>
      </c>
      <c r="U17" s="29" t="n">
        <v>571989</v>
      </c>
      <c r="V17" s="29" t="n">
        <v>58605500</v>
      </c>
      <c r="W17" s="29" t="n">
        <v>59760501</v>
      </c>
      <c r="X17" s="30">
        <f>SUM(E17:G17)</f>
        <v/>
      </c>
      <c r="Y17" s="30">
        <f>SUM(H17:I17)</f>
        <v/>
      </c>
      <c r="Z17" s="30">
        <f>SUM(J17:K17)</f>
        <v/>
      </c>
      <c r="AA17" s="30">
        <f>SUM(L17:M17)</f>
        <v/>
      </c>
      <c r="AB17" s="30">
        <f>SUM(N17:O17)</f>
        <v/>
      </c>
      <c r="AC17" s="30">
        <f>SUM(P17:Q17)</f>
        <v/>
      </c>
      <c r="AD17" s="30">
        <f>SUM(R17:U17)</f>
        <v/>
      </c>
      <c r="AE17" s="31">
        <f>SUM(X17:AD17)</f>
        <v/>
      </c>
      <c r="AF17" s="32">
        <f>AE17/SUM($AE$5:$AE$222)</f>
        <v/>
      </c>
      <c r="AG17" s="10">
        <f>RANK(AE17,$AE$5:$AE$222)</f>
        <v/>
      </c>
      <c r="AH17" s="29" t="n">
        <v>116538258</v>
      </c>
      <c r="AI17" s="9">
        <f>IF(AH17&gt;0,AE17/AH17-1,"")</f>
        <v/>
      </c>
      <c r="AJ17" s="29" t="n">
        <v>3086</v>
      </c>
      <c r="AK17" s="19">
        <f>IF(SUM($E17:E17)&gt;=AE17/2,0+5*(AE17/2-0)/E17,IF(SUM($E17:F17)&gt;=AE17/2,5+5*(AE17/2-SUM($E17:E17))/F17,IF(SUM($E17:G17)&gt;=AE17/2,10+5*(AE17/2-SUM($E17:F17))/G17,IF(SUM($E17:H17)&gt;=AE17/2,15+5*(AE17/2-SUM($E17:G17))/H17,IF(SUM($E17:I17)&gt;=AE17/2,20+5*(AE17/2-SUM($E17:H17))/I17,IF(SUM($E17:J17)&gt;=AE17/2,25+5*(AE17/2-SUM($E17:I17))/J17,IF(SUM($E17:K17)&gt;=AE17/2,30+5*(AE17/2-SUM($E17:J17))/K17,IF(SUM($E17:L17)&gt;=AE17/2,35+5*(AE17/2-SUM($E17:K17))/L17,IF(SUM($E17:M17)&gt;=AE17/2,40+5*(AE17/2-SUM($E17:L17))/M17,IF(SUM($E17:N17)&gt;=AE17/2,45+5*(AE17/2-SUM($E17:M17))/N17,IF(SUM($E17:O17)&gt;=AE17/2,50+5*(AE17/2-SUM($E17:N17))/O17,IF(SUM($E17:P17)&gt;=AE17/2,55+5*(AE17/2-SUM($E17:O17))/P17,IF(SUM($E17:Q17)&gt;=AE17/2,60+5*(AE17/2-SUM($E17:P17))/Q17,IF(SUM($E17:R17)&gt;=AE17/2,65+5*(AE17/2-SUM($E17:Q17))/R17,IF(SUM($E17:S17)&gt;=AE17/2,70+5*(AE17/2-SUM($E17:R17))/S17,IF(SUM($E17:T17)&gt;=AE17/2,75+5*(AE17/2-SUM($E17:S17))/T17,""))))))))))))))))</f>
        <v/>
      </c>
      <c r="AL17" s="30">
        <f>SUM(H17:Q17)</f>
        <v/>
      </c>
      <c r="AM17" s="24" t="n">
        <v>0.125</v>
      </c>
      <c r="AN17" s="24" t="n">
        <v>0.155</v>
      </c>
      <c r="AO17" s="33">
        <f>IF(AND(ISNUMBER(AN17),ISNUMBER(AM17)),(AN17-AM17)*100,"")</f>
        <v/>
      </c>
      <c r="AP17" s="30">
        <f>IF(ISNUMBER(AN17),AN17*AL17,"")</f>
        <v/>
      </c>
      <c r="AQ17" s="30">
        <f>IF(ISNUMBER(AN17),AL17,0)</f>
        <v/>
      </c>
      <c r="AR17" s="24" t="n">
        <v>0.216</v>
      </c>
      <c r="AS17" s="6" t="inlineStr">
        <is>
          <t>population</t>
        </is>
      </c>
      <c r="AT17" s="6" t="inlineStr">
        <is>
          <t>15+</t>
        </is>
      </c>
      <c r="AU17" s="24" t="n">
        <v>1</v>
      </c>
      <c r="AV17" s="30">
        <f>H17+I17+J17+K17+L17+M17+N17+O17+P17+Q17+R17+S17+T17+U17</f>
        <v/>
      </c>
      <c r="AX17" s="30">
        <f>IF(ISNUMBER(AW17),AW17,AR17*AU17*AV17)</f>
        <v/>
      </c>
      <c r="AY17" s="34">
        <f>AX17/AV17</f>
        <v/>
      </c>
      <c r="AZ17" s="6" t="inlineStr">
        <is>
          <t>C</t>
        </is>
      </c>
      <c r="BA17" s="6" t="inlineStr">
        <is>
          <t>No</t>
        </is>
      </c>
      <c r="BB17" s="30">
        <f>IF(BA17="Yes",AX17,0)</f>
        <v/>
      </c>
      <c r="BC17" s="30">
        <f>IF(AND(BA17="Yes",ISNUMBER(AP17)),AP17,0)</f>
        <v/>
      </c>
      <c r="BD17" s="30">
        <f>IF(BA17="Yes",AX17,IF(ISNUMBER(AP17),AP17,0))</f>
        <v/>
      </c>
      <c r="BE17" s="6" t="inlineStr">
        <is>
          <t>Have ever used AI (daily, weekly or monthly or less)</t>
        </is>
      </c>
      <c r="BF17" s="6" t="inlineStr">
        <is>
          <t>April-July 2026 (Gallup World Poll, probability sample ~1,000)</t>
        </is>
      </c>
      <c r="BG17" s="6" t="inlineStr">
        <is>
          <t>Gallup (World Poll; research run with Microsoft): AI Optimism Globally Widespread Despite Uneven Use</t>
        </is>
      </c>
      <c r="BH17" s="6" t="inlineStr">
        <is>
          <t>https://news.gallup.com/poll/714593/optimism-globally-widespread-despite-uneven.aspx</t>
        </is>
      </c>
    </row>
    <row r="18">
      <c r="A18" s="6" t="inlineStr">
        <is>
          <t>PHL</t>
        </is>
      </c>
      <c r="B18" s="6" t="inlineStr">
        <is>
          <t>Philippines</t>
        </is>
      </c>
      <c r="C18" s="6" t="inlineStr">
        <is>
          <t>East Asia &amp; Pacific</t>
        </is>
      </c>
      <c r="D18" s="6" t="inlineStr">
        <is>
          <t>Upper middle income</t>
        </is>
      </c>
      <c r="E18" s="29" t="n">
        <v>8953366</v>
      </c>
      <c r="F18" s="29" t="n">
        <v>11051405</v>
      </c>
      <c r="G18" s="29" t="n">
        <v>11689881</v>
      </c>
      <c r="H18" s="29" t="n">
        <v>11421224</v>
      </c>
      <c r="I18" s="29" t="n">
        <v>10744324</v>
      </c>
      <c r="J18" s="29" t="n">
        <v>10360712</v>
      </c>
      <c r="K18" s="29" t="n">
        <v>9591225</v>
      </c>
      <c r="L18" s="29" t="n">
        <v>8417145</v>
      </c>
      <c r="M18" s="29" t="n">
        <v>7340725</v>
      </c>
      <c r="N18" s="29" t="n">
        <v>6403353</v>
      </c>
      <c r="O18" s="29" t="n">
        <v>5471561</v>
      </c>
      <c r="P18" s="29" t="n">
        <v>4748407</v>
      </c>
      <c r="Q18" s="29" t="n">
        <v>3908739</v>
      </c>
      <c r="R18" s="29" t="n">
        <v>2976817</v>
      </c>
      <c r="S18" s="29" t="n">
        <v>1957776</v>
      </c>
      <c r="T18" s="29" t="n">
        <v>1072396</v>
      </c>
      <c r="U18" s="29" t="n">
        <v>677904</v>
      </c>
      <c r="V18" s="29" t="n">
        <v>58535633</v>
      </c>
      <c r="W18" s="29" t="n">
        <v>58251327</v>
      </c>
      <c r="X18" s="30">
        <f>SUM(E18:G18)</f>
        <v/>
      </c>
      <c r="Y18" s="30">
        <f>SUM(H18:I18)</f>
        <v/>
      </c>
      <c r="Z18" s="30">
        <f>SUM(J18:K18)</f>
        <v/>
      </c>
      <c r="AA18" s="30">
        <f>SUM(L18:M18)</f>
        <v/>
      </c>
      <c r="AB18" s="30">
        <f>SUM(N18:O18)</f>
        <v/>
      </c>
      <c r="AC18" s="30">
        <f>SUM(P18:Q18)</f>
        <v/>
      </c>
      <c r="AD18" s="30">
        <f>SUM(R18:U18)</f>
        <v/>
      </c>
      <c r="AE18" s="31">
        <f>SUM(X18:AD18)</f>
        <v/>
      </c>
      <c r="AF18" s="32">
        <f>AE18/SUM($AE$5:$AE$222)</f>
        <v/>
      </c>
      <c r="AG18" s="10">
        <f>RANK(AE18,$AE$5:$AE$222)</f>
        <v/>
      </c>
      <c r="AH18" s="29" t="n">
        <v>115843670</v>
      </c>
      <c r="AI18" s="9">
        <f>IF(AH18&gt;0,AE18/AH18-1,"")</f>
        <v/>
      </c>
      <c r="AJ18" s="29" t="n">
        <v>4171</v>
      </c>
      <c r="AK18" s="19">
        <f>IF(SUM($E18:E18)&gt;=AE18/2,0+5*(AE18/2-0)/E18,IF(SUM($E18:F18)&gt;=AE18/2,5+5*(AE18/2-SUM($E18:E18))/F18,IF(SUM($E18:G18)&gt;=AE18/2,10+5*(AE18/2-SUM($E18:F18))/G18,IF(SUM($E18:H18)&gt;=AE18/2,15+5*(AE18/2-SUM($E18:G18))/H18,IF(SUM($E18:I18)&gt;=AE18/2,20+5*(AE18/2-SUM($E18:H18))/I18,IF(SUM($E18:J18)&gt;=AE18/2,25+5*(AE18/2-SUM($E18:I18))/J18,IF(SUM($E18:K18)&gt;=AE18/2,30+5*(AE18/2-SUM($E18:J18))/K18,IF(SUM($E18:L18)&gt;=AE18/2,35+5*(AE18/2-SUM($E18:K18))/L18,IF(SUM($E18:M18)&gt;=AE18/2,40+5*(AE18/2-SUM($E18:L18))/M18,IF(SUM($E18:N18)&gt;=AE18/2,45+5*(AE18/2-SUM($E18:M18))/N18,IF(SUM($E18:O18)&gt;=AE18/2,50+5*(AE18/2-SUM($E18:N18))/O18,IF(SUM($E18:P18)&gt;=AE18/2,55+5*(AE18/2-SUM($E18:O18))/P18,IF(SUM($E18:Q18)&gt;=AE18/2,60+5*(AE18/2-SUM($E18:P18))/Q18,IF(SUM($E18:R18)&gt;=AE18/2,65+5*(AE18/2-SUM($E18:Q18))/R18,IF(SUM($E18:S18)&gt;=AE18/2,70+5*(AE18/2-SUM($E18:R18))/S18,IF(SUM($E18:T18)&gt;=AE18/2,75+5*(AE18/2-SUM($E18:S18))/T18,""))))))))))))))))</f>
        <v/>
      </c>
      <c r="AL18" s="30">
        <f>SUM(H18:Q18)</f>
        <v/>
      </c>
      <c r="AM18" s="24" t="n">
        <v>0.171</v>
      </c>
      <c r="AN18" s="24" t="n">
        <v>0.207</v>
      </c>
      <c r="AO18" s="33">
        <f>IF(AND(ISNUMBER(AN18),ISNUMBER(AM18)),(AN18-AM18)*100,"")</f>
        <v/>
      </c>
      <c r="AP18" s="30">
        <f>IF(ISNUMBER(AN18),AN18*AL18,"")</f>
        <v/>
      </c>
      <c r="AQ18" s="30">
        <f>IF(ISNUMBER(AN18),AL18,0)</f>
        <v/>
      </c>
      <c r="BB18" s="30">
        <f>IF(BA18="Yes",AX18,0)</f>
        <v/>
      </c>
      <c r="BC18" s="30">
        <f>IF(AND(BA18="Yes",ISNUMBER(AP18)),AP18,0)</f>
        <v/>
      </c>
      <c r="BD18" s="30">
        <f>IF(BA18="Yes",AX18,IF(ISNUMBER(AP18),AP18,0))</f>
        <v/>
      </c>
    </row>
    <row r="19">
      <c r="A19" s="6" t="inlineStr">
        <is>
          <t>COD</t>
        </is>
      </c>
      <c r="B19" s="6" t="inlineStr">
        <is>
          <t>Congo, Dem. Rep.</t>
        </is>
      </c>
      <c r="C19" s="6" t="inlineStr">
        <is>
          <t>Sub-Saharan Africa</t>
        </is>
      </c>
      <c r="D19" s="6" t="inlineStr">
        <is>
          <t>Low income</t>
        </is>
      </c>
      <c r="E19" s="29" t="n">
        <v>20302046</v>
      </c>
      <c r="F19" s="29" t="n">
        <v>17176888</v>
      </c>
      <c r="G19" s="29" t="n">
        <v>14367350</v>
      </c>
      <c r="H19" s="29" t="n">
        <v>11823436</v>
      </c>
      <c r="I19" s="29" t="n">
        <v>9735421</v>
      </c>
      <c r="J19" s="29" t="n">
        <v>8262208</v>
      </c>
      <c r="K19" s="29" t="n">
        <v>6829649</v>
      </c>
      <c r="L19" s="29" t="n">
        <v>5555835</v>
      </c>
      <c r="M19" s="29" t="n">
        <v>4407274</v>
      </c>
      <c r="N19" s="29" t="n">
        <v>3490953</v>
      </c>
      <c r="O19" s="29" t="n">
        <v>2959369</v>
      </c>
      <c r="P19" s="29" t="n">
        <v>2482718</v>
      </c>
      <c r="Q19" s="29" t="n">
        <v>1959702</v>
      </c>
      <c r="R19" s="29" t="n">
        <v>1448158</v>
      </c>
      <c r="S19" s="29" t="n">
        <v>980390</v>
      </c>
      <c r="T19" s="29" t="n">
        <v>610850</v>
      </c>
      <c r="U19" s="29" t="n">
        <v>440225</v>
      </c>
      <c r="V19" s="29" t="n">
        <v>56847958</v>
      </c>
      <c r="W19" s="29" t="n">
        <v>55984514</v>
      </c>
      <c r="X19" s="30">
        <f>SUM(E19:G19)</f>
        <v/>
      </c>
      <c r="Y19" s="30">
        <f>SUM(H19:I19)</f>
        <v/>
      </c>
      <c r="Z19" s="30">
        <f>SUM(J19:K19)</f>
        <v/>
      </c>
      <c r="AA19" s="30">
        <f>SUM(L19:M19)</f>
        <v/>
      </c>
      <c r="AB19" s="30">
        <f>SUM(N19:O19)</f>
        <v/>
      </c>
      <c r="AC19" s="30">
        <f>SUM(P19:Q19)</f>
        <v/>
      </c>
      <c r="AD19" s="30">
        <f>SUM(R19:U19)</f>
        <v/>
      </c>
      <c r="AE19" s="31">
        <f>SUM(X19:AD19)</f>
        <v/>
      </c>
      <c r="AF19" s="32">
        <f>AE19/SUM($AE$5:$AE$222)</f>
        <v/>
      </c>
      <c r="AG19" s="10">
        <f>RANK(AE19,$AE$5:$AE$222)</f>
        <v/>
      </c>
      <c r="AH19" s="29" t="n">
        <v>109276265</v>
      </c>
      <c r="AI19" s="9">
        <f>IF(AH19&gt;0,AE19/AH19-1,"")</f>
        <v/>
      </c>
      <c r="AJ19" s="29" t="n">
        <v>807</v>
      </c>
      <c r="AK19" s="19">
        <f>IF(SUM($E19:E19)&gt;=AE19/2,0+5*(AE19/2-0)/E19,IF(SUM($E19:F19)&gt;=AE19/2,5+5*(AE19/2-SUM($E19:E19))/F19,IF(SUM($E19:G19)&gt;=AE19/2,10+5*(AE19/2-SUM($E19:F19))/G19,IF(SUM($E19:H19)&gt;=AE19/2,15+5*(AE19/2-SUM($E19:G19))/H19,IF(SUM($E19:I19)&gt;=AE19/2,20+5*(AE19/2-SUM($E19:H19))/I19,IF(SUM($E19:J19)&gt;=AE19/2,25+5*(AE19/2-SUM($E19:I19))/J19,IF(SUM($E19:K19)&gt;=AE19/2,30+5*(AE19/2-SUM($E19:J19))/K19,IF(SUM($E19:L19)&gt;=AE19/2,35+5*(AE19/2-SUM($E19:K19))/L19,IF(SUM($E19:M19)&gt;=AE19/2,40+5*(AE19/2-SUM($E19:L19))/M19,IF(SUM($E19:N19)&gt;=AE19/2,45+5*(AE19/2-SUM($E19:M19))/N19,IF(SUM($E19:O19)&gt;=AE19/2,50+5*(AE19/2-SUM($E19:N19))/O19,IF(SUM($E19:P19)&gt;=AE19/2,55+5*(AE19/2-SUM($E19:O19))/P19,IF(SUM($E19:Q19)&gt;=AE19/2,60+5*(AE19/2-SUM($E19:P19))/Q19,IF(SUM($E19:R19)&gt;=AE19/2,65+5*(AE19/2-SUM($E19:Q19))/R19,IF(SUM($E19:S19)&gt;=AE19/2,70+5*(AE19/2-SUM($E19:R19))/S19,IF(SUM($E19:T19)&gt;=AE19/2,75+5*(AE19/2-SUM($E19:S19))/T19,""))))))))))))))))</f>
        <v/>
      </c>
      <c r="AL19" s="30">
        <f>SUM(H19:Q19)</f>
        <v/>
      </c>
      <c r="AM19" s="24" t="n">
        <v>0.07000000000000001</v>
      </c>
      <c r="AN19" s="24" t="n">
        <v>0.091</v>
      </c>
      <c r="AO19" s="33">
        <f>IF(AND(ISNUMBER(AN19),ISNUMBER(AM19)),(AN19-AM19)*100,"")</f>
        <v/>
      </c>
      <c r="AP19" s="30">
        <f>IF(ISNUMBER(AN19),AN19*AL19,"")</f>
        <v/>
      </c>
      <c r="AQ19" s="30">
        <f>IF(ISNUMBER(AN19),AL19,0)</f>
        <v/>
      </c>
      <c r="BB19" s="30">
        <f>IF(BA19="Yes",AX19,0)</f>
        <v/>
      </c>
      <c r="BC19" s="30">
        <f>IF(AND(BA19="Yes",ISNUMBER(AP19)),AP19,0)</f>
        <v/>
      </c>
      <c r="BD19" s="30">
        <f>IF(BA19="Yes",AX19,IF(ISNUMBER(AP19),AP19,0))</f>
        <v/>
      </c>
    </row>
    <row r="20">
      <c r="A20" s="6" t="inlineStr">
        <is>
          <t>VNM</t>
        </is>
      </c>
      <c r="B20" s="6" t="inlineStr">
        <is>
          <t>Viet Nam</t>
        </is>
      </c>
      <c r="C20" s="6" t="inlineStr">
        <is>
          <t>East Asia &amp; Pacific</t>
        </is>
      </c>
      <c r="D20" s="6" t="inlineStr">
        <is>
          <t>Upper middle income</t>
        </is>
      </c>
      <c r="E20" s="29" t="n">
        <v>6900236</v>
      </c>
      <c r="F20" s="29" t="n">
        <v>7635509</v>
      </c>
      <c r="G20" s="29" t="n">
        <v>8685633</v>
      </c>
      <c r="H20" s="29" t="n">
        <v>7453323</v>
      </c>
      <c r="I20" s="29" t="n">
        <v>6534806</v>
      </c>
      <c r="J20" s="29" t="n">
        <v>6472385</v>
      </c>
      <c r="K20" s="29" t="n">
        <v>8160233</v>
      </c>
      <c r="L20" s="29" t="n">
        <v>8594552</v>
      </c>
      <c r="M20" s="29" t="n">
        <v>8008928</v>
      </c>
      <c r="N20" s="29" t="n">
        <v>6745758</v>
      </c>
      <c r="O20" s="29" t="n">
        <v>6148993</v>
      </c>
      <c r="P20" s="29" t="n">
        <v>5558724</v>
      </c>
      <c r="Q20" s="29" t="n">
        <v>5053140</v>
      </c>
      <c r="R20" s="29" t="n">
        <v>3953862</v>
      </c>
      <c r="S20" s="29" t="n">
        <v>2612667</v>
      </c>
      <c r="T20" s="29" t="n">
        <v>1530440</v>
      </c>
      <c r="U20" s="29" t="n">
        <v>1549340</v>
      </c>
      <c r="V20" s="29" t="n">
        <v>51840189</v>
      </c>
      <c r="W20" s="29" t="n">
        <v>49758340</v>
      </c>
      <c r="X20" s="30">
        <f>SUM(E20:G20)</f>
        <v/>
      </c>
      <c r="Y20" s="30">
        <f>SUM(H20:I20)</f>
        <v/>
      </c>
      <c r="Z20" s="30">
        <f>SUM(J20:K20)</f>
        <v/>
      </c>
      <c r="AA20" s="30">
        <f>SUM(L20:M20)</f>
        <v/>
      </c>
      <c r="AB20" s="30">
        <f>SUM(N20:O20)</f>
        <v/>
      </c>
      <c r="AC20" s="30">
        <f>SUM(P20:Q20)</f>
        <v/>
      </c>
      <c r="AD20" s="30">
        <f>SUM(R20:U20)</f>
        <v/>
      </c>
      <c r="AE20" s="31">
        <f>SUM(X20:AD20)</f>
        <v/>
      </c>
      <c r="AF20" s="32">
        <f>AE20/SUM($AE$5:$AE$222)</f>
        <v/>
      </c>
      <c r="AG20" s="10">
        <f>RANK(AE20,$AE$5:$AE$222)</f>
        <v/>
      </c>
      <c r="AH20" s="29" t="n">
        <v>100987686</v>
      </c>
      <c r="AI20" s="9">
        <f>IF(AH20&gt;0,AE20/AH20-1,"")</f>
        <v/>
      </c>
      <c r="AJ20" s="29" t="n">
        <v>5066</v>
      </c>
      <c r="AK20" s="19">
        <f>IF(SUM($E20:E20)&gt;=AE20/2,0+5*(AE20/2-0)/E20,IF(SUM($E20:F20)&gt;=AE20/2,5+5*(AE20/2-SUM($E20:E20))/F20,IF(SUM($E20:G20)&gt;=AE20/2,10+5*(AE20/2-SUM($E20:F20))/G20,IF(SUM($E20:H20)&gt;=AE20/2,15+5*(AE20/2-SUM($E20:G20))/H20,IF(SUM($E20:I20)&gt;=AE20/2,20+5*(AE20/2-SUM($E20:H20))/I20,IF(SUM($E20:J20)&gt;=AE20/2,25+5*(AE20/2-SUM($E20:I20))/J20,IF(SUM($E20:K20)&gt;=AE20/2,30+5*(AE20/2-SUM($E20:J20))/K20,IF(SUM($E20:L20)&gt;=AE20/2,35+5*(AE20/2-SUM($E20:K20))/L20,IF(SUM($E20:M20)&gt;=AE20/2,40+5*(AE20/2-SUM($E20:L20))/M20,IF(SUM($E20:N20)&gt;=AE20/2,45+5*(AE20/2-SUM($E20:M20))/N20,IF(SUM($E20:O20)&gt;=AE20/2,50+5*(AE20/2-SUM($E20:N20))/O20,IF(SUM($E20:P20)&gt;=AE20/2,55+5*(AE20/2-SUM($E20:O20))/P20,IF(SUM($E20:Q20)&gt;=AE20/2,60+5*(AE20/2-SUM($E20:P20))/Q20,IF(SUM($E20:R20)&gt;=AE20/2,65+5*(AE20/2-SUM($E20:Q20))/R20,IF(SUM($E20:S20)&gt;=AE20/2,70+5*(AE20/2-SUM($E20:R20))/S20,IF(SUM($E20:T20)&gt;=AE20/2,75+5*(AE20/2-SUM($E20:S20))/T20,""))))))))))))))))</f>
        <v/>
      </c>
      <c r="AL20" s="30">
        <f>SUM(H20:Q20)</f>
        <v/>
      </c>
      <c r="AM20" s="24" t="n">
        <v>0.212</v>
      </c>
      <c r="AN20" s="24" t="n">
        <v>0.279</v>
      </c>
      <c r="AO20" s="33">
        <f>IF(AND(ISNUMBER(AN20),ISNUMBER(AM20)),(AN20-AM20)*100,"")</f>
        <v/>
      </c>
      <c r="AP20" s="30">
        <f>IF(ISNUMBER(AN20),AN20*AL20,"")</f>
        <v/>
      </c>
      <c r="AQ20" s="30">
        <f>IF(ISNUMBER(AN20),AL20,0)</f>
        <v/>
      </c>
      <c r="BB20" s="30">
        <f>IF(BA20="Yes",AX20,0)</f>
        <v/>
      </c>
      <c r="BC20" s="30">
        <f>IF(AND(BA20="Yes",ISNUMBER(AP20)),AP20,0)</f>
        <v/>
      </c>
      <c r="BD20" s="30">
        <f>IF(BA20="Yes",AX20,IF(ISNUMBER(AP20),AP20,0))</f>
        <v/>
      </c>
    </row>
    <row r="21">
      <c r="A21" s="6" t="inlineStr">
        <is>
          <t>IRN</t>
        </is>
      </c>
      <c r="B21" s="6" t="inlineStr">
        <is>
          <t>Iran, Islamic Rep.</t>
        </is>
      </c>
      <c r="C21" s="6" t="inlineStr">
        <is>
          <t>Middle East, North Africa, Afghanistan &amp; Pakistan</t>
        </is>
      </c>
      <c r="D21" s="6" t="inlineStr">
        <is>
          <t>Upper middle income</t>
        </is>
      </c>
      <c r="E21" s="29" t="n">
        <v>5899200</v>
      </c>
      <c r="F21" s="29" t="n">
        <v>7181332</v>
      </c>
      <c r="G21" s="29" t="n">
        <v>7271447</v>
      </c>
      <c r="H21" s="29" t="n">
        <v>6498538</v>
      </c>
      <c r="I21" s="29" t="n">
        <v>5867087</v>
      </c>
      <c r="J21" s="29" t="n">
        <v>6033691</v>
      </c>
      <c r="K21" s="29" t="n">
        <v>7527233</v>
      </c>
      <c r="L21" s="29" t="n">
        <v>9016811</v>
      </c>
      <c r="M21" s="29" t="n">
        <v>8672143</v>
      </c>
      <c r="N21" s="29" t="n">
        <v>6730025</v>
      </c>
      <c r="O21" s="29" t="n">
        <v>5476379</v>
      </c>
      <c r="P21" s="29" t="n">
        <v>4577484</v>
      </c>
      <c r="Q21" s="29" t="n">
        <v>3735817</v>
      </c>
      <c r="R21" s="29" t="n">
        <v>3005172</v>
      </c>
      <c r="S21" s="29" t="n">
        <v>2326061</v>
      </c>
      <c r="T21" s="29" t="n">
        <v>1459496</v>
      </c>
      <c r="U21" s="29" t="n">
        <v>1139765</v>
      </c>
      <c r="V21" s="29" t="n">
        <v>45470197</v>
      </c>
      <c r="W21" s="29" t="n">
        <v>46947484</v>
      </c>
      <c r="X21" s="30">
        <f>SUM(E21:G21)</f>
        <v/>
      </c>
      <c r="Y21" s="30">
        <f>SUM(H21:I21)</f>
        <v/>
      </c>
      <c r="Z21" s="30">
        <f>SUM(J21:K21)</f>
        <v/>
      </c>
      <c r="AA21" s="30">
        <f>SUM(L21:M21)</f>
        <v/>
      </c>
      <c r="AB21" s="30">
        <f>SUM(N21:O21)</f>
        <v/>
      </c>
      <c r="AC21" s="30">
        <f>SUM(P21:Q21)</f>
        <v/>
      </c>
      <c r="AD21" s="30">
        <f>SUM(R21:U21)</f>
        <v/>
      </c>
      <c r="AE21" s="31">
        <f>SUM(X21:AD21)</f>
        <v/>
      </c>
      <c r="AF21" s="32">
        <f>AE21/SUM($AE$5:$AE$222)</f>
        <v/>
      </c>
      <c r="AG21" s="10">
        <f>RANK(AE21,$AE$5:$AE$222)</f>
        <v/>
      </c>
      <c r="AH21" s="29" t="n">
        <v>91567738</v>
      </c>
      <c r="AI21" s="9">
        <f>IF(AH21&gt;0,AE21/AH21-1,"")</f>
        <v/>
      </c>
      <c r="AJ21" s="29" t="n">
        <v>3924</v>
      </c>
      <c r="AK21" s="19">
        <f>IF(SUM($E21:E21)&gt;=AE21/2,0+5*(AE21/2-0)/E21,IF(SUM($E21:F21)&gt;=AE21/2,5+5*(AE21/2-SUM($E21:E21))/F21,IF(SUM($E21:G21)&gt;=AE21/2,10+5*(AE21/2-SUM($E21:F21))/G21,IF(SUM($E21:H21)&gt;=AE21/2,15+5*(AE21/2-SUM($E21:G21))/H21,IF(SUM($E21:I21)&gt;=AE21/2,20+5*(AE21/2-SUM($E21:H21))/I21,IF(SUM($E21:J21)&gt;=AE21/2,25+5*(AE21/2-SUM($E21:I21))/J21,IF(SUM($E21:K21)&gt;=AE21/2,30+5*(AE21/2-SUM($E21:J21))/K21,IF(SUM($E21:L21)&gt;=AE21/2,35+5*(AE21/2-SUM($E21:K21))/L21,IF(SUM($E21:M21)&gt;=AE21/2,40+5*(AE21/2-SUM($E21:L21))/M21,IF(SUM($E21:N21)&gt;=AE21/2,45+5*(AE21/2-SUM($E21:M21))/N21,IF(SUM($E21:O21)&gt;=AE21/2,50+5*(AE21/2-SUM($E21:N21))/O21,IF(SUM($E21:P21)&gt;=AE21/2,55+5*(AE21/2-SUM($E21:O21))/P21,IF(SUM($E21:Q21)&gt;=AE21/2,60+5*(AE21/2-SUM($E21:P21))/Q21,IF(SUM($E21:R21)&gt;=AE21/2,65+5*(AE21/2-SUM($E21:Q21))/R21,IF(SUM($E21:S21)&gt;=AE21/2,70+5*(AE21/2-SUM($E21:R21))/S21,IF(SUM($E21:T21)&gt;=AE21/2,75+5*(AE21/2-SUM($E21:S21))/T21,""))))))))))))))))</f>
        <v/>
      </c>
      <c r="AL21" s="30">
        <f>SUM(H21:Q21)</f>
        <v/>
      </c>
      <c r="AM21" s="24" t="n">
        <v>0.096</v>
      </c>
      <c r="AN21" s="24" t="n">
        <v>0.128</v>
      </c>
      <c r="AO21" s="33">
        <f>IF(AND(ISNUMBER(AN21),ISNUMBER(AM21)),(AN21-AM21)*100,"")</f>
        <v/>
      </c>
      <c r="AP21" s="30">
        <f>IF(ISNUMBER(AN21),AN21*AL21,"")</f>
        <v/>
      </c>
      <c r="AQ21" s="30">
        <f>IF(ISNUMBER(AN21),AL21,0)</f>
        <v/>
      </c>
      <c r="AR21" s="24" t="n">
        <v>0.323</v>
      </c>
      <c r="AS21" s="6" t="inlineStr">
        <is>
          <t>population</t>
        </is>
      </c>
      <c r="AT21" s="6" t="inlineStr">
        <is>
          <t>15+</t>
        </is>
      </c>
      <c r="AU21" s="24" t="n">
        <v>1</v>
      </c>
      <c r="AV21" s="30">
        <f>H21+I21+J21+K21+L21+M21+N21+O21+P21+Q21+R21+S21+T21+U21</f>
        <v/>
      </c>
      <c r="AX21" s="30">
        <f>IF(ISNUMBER(AW21),AW21,AR21*AU21*AV21)</f>
        <v/>
      </c>
      <c r="AY21" s="34">
        <f>AX21/AV21</f>
        <v/>
      </c>
      <c r="AZ21" s="6" t="inlineStr">
        <is>
          <t>B</t>
        </is>
      </c>
      <c r="BA21" s="6" t="inlineStr">
        <is>
          <t>Yes</t>
        </is>
      </c>
      <c r="BB21" s="30">
        <f>IF(BA21="Yes",AX21,0)</f>
        <v/>
      </c>
      <c r="BC21" s="30">
        <f>IF(AND(BA21="Yes",ISNUMBER(AP21)),AP21,0)</f>
        <v/>
      </c>
      <c r="BD21" s="30">
        <f>IF(BA21="Yes",AX21,IF(ISNUMBER(AP21),AP21,0))</f>
        <v/>
      </c>
      <c r="BE21" s="6" t="inlineStr">
        <is>
          <t>Use AI tools such as ChatGPT or Gemini, professionally or non-professionally (share of all people 15+)</t>
        </is>
      </c>
      <c r="BF21" s="6" t="inlineStr">
        <is>
          <t>August-September 2025 (telephone, n=1,502)</t>
        </is>
      </c>
      <c r="BG21" s="6" t="inlineStr">
        <is>
          <t>ISPA (Iranian Students Polling Agency, state-affiliated): Survey on social media use and AI tools</t>
        </is>
      </c>
      <c r="BH21" s="6" t="inlineStr">
        <is>
          <t>https://ispa.ir/Default/Details/fa/3487</t>
        </is>
      </c>
    </row>
    <row r="22">
      <c r="A22" s="6" t="inlineStr">
        <is>
          <t>TUR</t>
        </is>
      </c>
      <c r="B22" s="6" t="inlineStr">
        <is>
          <t>Turkiye</t>
        </is>
      </c>
      <c r="C22" s="6" t="inlineStr">
        <is>
          <t>Europe &amp; Central Asia</t>
        </is>
      </c>
      <c r="D22" s="6" t="inlineStr">
        <is>
          <t>Upper middle income</t>
        </is>
      </c>
      <c r="E22" s="29" t="n">
        <v>5241506</v>
      </c>
      <c r="F22" s="29" t="n">
        <v>6218752</v>
      </c>
      <c r="G22" s="29" t="n">
        <v>6593908</v>
      </c>
      <c r="H22" s="29" t="n">
        <v>6183681</v>
      </c>
      <c r="I22" s="29" t="n">
        <v>6168883</v>
      </c>
      <c r="J22" s="29" t="n">
        <v>6763256</v>
      </c>
      <c r="K22" s="29" t="n">
        <v>6454989</v>
      </c>
      <c r="L22" s="29" t="n">
        <v>6334713</v>
      </c>
      <c r="M22" s="29" t="n">
        <v>6442416</v>
      </c>
      <c r="N22" s="29" t="n">
        <v>6333297</v>
      </c>
      <c r="O22" s="29" t="n">
        <v>5209000</v>
      </c>
      <c r="P22" s="29" t="n">
        <v>4614948</v>
      </c>
      <c r="Q22" s="29" t="n">
        <v>4241035</v>
      </c>
      <c r="R22" s="29" t="n">
        <v>3198991</v>
      </c>
      <c r="S22" s="29" t="n">
        <v>2640568</v>
      </c>
      <c r="T22" s="29" t="n">
        <v>1630082</v>
      </c>
      <c r="U22" s="29" t="n">
        <v>1608530</v>
      </c>
      <c r="V22" s="29" t="n">
        <v>43031594</v>
      </c>
      <c r="W22" s="29" t="n">
        <v>42846961</v>
      </c>
      <c r="X22" s="30">
        <f>SUM(E22:G22)</f>
        <v/>
      </c>
      <c r="Y22" s="30">
        <f>SUM(H22:I22)</f>
        <v/>
      </c>
      <c r="Z22" s="30">
        <f>SUM(J22:K22)</f>
        <v/>
      </c>
      <c r="AA22" s="30">
        <f>SUM(L22:M22)</f>
        <v/>
      </c>
      <c r="AB22" s="30">
        <f>SUM(N22:O22)</f>
        <v/>
      </c>
      <c r="AC22" s="30">
        <f>SUM(P22:Q22)</f>
        <v/>
      </c>
      <c r="AD22" s="30">
        <f>SUM(R22:U22)</f>
        <v/>
      </c>
      <c r="AE22" s="31">
        <f>SUM(X22:AD22)</f>
        <v/>
      </c>
      <c r="AF22" s="32">
        <f>AE22/SUM($AE$5:$AE$222)</f>
        <v/>
      </c>
      <c r="AG22" s="10">
        <f>RANK(AE22,$AE$5:$AE$222)</f>
        <v/>
      </c>
      <c r="AH22" s="29" t="n">
        <v>85518661</v>
      </c>
      <c r="AI22" s="9">
        <f>IF(AH22&gt;0,AE22/AH22-1,"")</f>
        <v/>
      </c>
      <c r="AJ22" s="29" t="n">
        <v>18599</v>
      </c>
      <c r="AK22" s="19">
        <f>IF(SUM($E22:E22)&gt;=AE22/2,0+5*(AE22/2-0)/E22,IF(SUM($E22:F22)&gt;=AE22/2,5+5*(AE22/2-SUM($E22:E22))/F22,IF(SUM($E22:G22)&gt;=AE22/2,10+5*(AE22/2-SUM($E22:F22))/G22,IF(SUM($E22:H22)&gt;=AE22/2,15+5*(AE22/2-SUM($E22:G22))/H22,IF(SUM($E22:I22)&gt;=AE22/2,20+5*(AE22/2-SUM($E22:H22))/I22,IF(SUM($E22:J22)&gt;=AE22/2,25+5*(AE22/2-SUM($E22:I22))/J22,IF(SUM($E22:K22)&gt;=AE22/2,30+5*(AE22/2-SUM($E22:J22))/K22,IF(SUM($E22:L22)&gt;=AE22/2,35+5*(AE22/2-SUM($E22:K22))/L22,IF(SUM($E22:M22)&gt;=AE22/2,40+5*(AE22/2-SUM($E22:L22))/M22,IF(SUM($E22:N22)&gt;=AE22/2,45+5*(AE22/2-SUM($E22:M22))/N22,IF(SUM($E22:O22)&gt;=AE22/2,50+5*(AE22/2-SUM($E22:N22))/O22,IF(SUM($E22:P22)&gt;=AE22/2,55+5*(AE22/2-SUM($E22:O22))/P22,IF(SUM($E22:Q22)&gt;=AE22/2,60+5*(AE22/2-SUM($E22:P22))/Q22,IF(SUM($E22:R22)&gt;=AE22/2,65+5*(AE22/2-SUM($E22:Q22))/R22,IF(SUM($E22:S22)&gt;=AE22/2,70+5*(AE22/2-SUM($E22:R22))/S22,IF(SUM($E22:T22)&gt;=AE22/2,75+5*(AE22/2-SUM($E22:S22))/T22,""))))))))))))))))</f>
        <v/>
      </c>
      <c r="AL22" s="30">
        <f>SUM(H22:Q22)</f>
        <v/>
      </c>
      <c r="AM22" s="24" t="n">
        <v>0.134</v>
      </c>
      <c r="AN22" s="24" t="n">
        <v>0.189</v>
      </c>
      <c r="AO22" s="33">
        <f>IF(AND(ISNUMBER(AN22),ISNUMBER(AM22)),(AN22-AM22)*100,"")</f>
        <v/>
      </c>
      <c r="AP22" s="30">
        <f>IF(ISNUMBER(AN22),AN22*AL22,"")</f>
        <v/>
      </c>
      <c r="AQ22" s="30">
        <f>IF(ISNUMBER(AN22),AL22,0)</f>
        <v/>
      </c>
      <c r="AR22" s="24" t="n">
        <v>0.1719</v>
      </c>
      <c r="AS22" s="6" t="inlineStr">
        <is>
          <t>population</t>
        </is>
      </c>
      <c r="AT22" s="6" t="inlineStr">
        <is>
          <t>16-74</t>
        </is>
      </c>
      <c r="AU22" s="24" t="n">
        <v>1</v>
      </c>
      <c r="AV22" s="30">
        <f>H22*0.8+I22+J22+K22+L22+M22+N22+O22+P22+Q22+R22+S22</f>
        <v/>
      </c>
      <c r="AX22" s="30">
        <f>IF(ISNUMBER(AW22),AW22,AR22*AU22*AV22)</f>
        <v/>
      </c>
      <c r="AY22" s="34">
        <f>AX22/AV22</f>
        <v/>
      </c>
      <c r="AZ22" s="6" t="inlineStr">
        <is>
          <t>A</t>
        </is>
      </c>
      <c r="BA22" s="6" t="inlineStr">
        <is>
          <t>Yes</t>
        </is>
      </c>
      <c r="BB22" s="30">
        <f>IF(BA22="Yes",AX22,0)</f>
        <v/>
      </c>
      <c r="BC22" s="30">
        <f>IF(AND(BA22="Yes",ISNUMBER(AP22)),AP22,0)</f>
        <v/>
      </c>
      <c r="BD22" s="30">
        <f>IF(BA22="Yes",AX22,IF(ISNUMBER(AP22),AP22,0))</f>
        <v/>
      </c>
      <c r="BE22" s="6" t="inlineStr">
        <is>
          <t>Used generative AI tools in the last 3 months</t>
        </is>
      </c>
      <c r="BF22" s="6" t="inlineStr">
        <is>
          <t>2025 survey (Q2, most countries)</t>
        </is>
      </c>
      <c r="BG22" s="6" t="inlineStr">
        <is>
          <t>Eurostat: ICT usage in households and by individuals 2025, dataset isoc_ai_iaiu</t>
        </is>
      </c>
      <c r="BH22" s="6" t="inlineStr">
        <is>
          <t>https://ec.europa.eu/eurostat/databrowser/view/isoc_ai_iaiu/default/table</t>
        </is>
      </c>
    </row>
    <row r="23">
      <c r="A23" s="6" t="inlineStr">
        <is>
          <t>DEU</t>
        </is>
      </c>
      <c r="B23" s="6" t="inlineStr">
        <is>
          <t>Germany</t>
        </is>
      </c>
      <c r="C23" s="6" t="inlineStr">
        <is>
          <t>Europe &amp; Central Asia</t>
        </is>
      </c>
      <c r="D23" s="6" t="inlineStr">
        <is>
          <t>High income</t>
        </is>
      </c>
      <c r="E23" s="29" t="n">
        <v>3700209</v>
      </c>
      <c r="F23" s="29" t="n">
        <v>4052125</v>
      </c>
      <c r="G23" s="29" t="n">
        <v>3841178</v>
      </c>
      <c r="H23" s="29" t="n">
        <v>3842082</v>
      </c>
      <c r="I23" s="29" t="n">
        <v>4094362</v>
      </c>
      <c r="J23" s="29" t="n">
        <v>4661255</v>
      </c>
      <c r="K23" s="29" t="n">
        <v>5044116</v>
      </c>
      <c r="L23" s="29" t="n">
        <v>5601300</v>
      </c>
      <c r="M23" s="29" t="n">
        <v>5354929</v>
      </c>
      <c r="N23" s="29" t="n">
        <v>5042272</v>
      </c>
      <c r="O23" s="29" t="n">
        <v>5208789</v>
      </c>
      <c r="P23" s="29" t="n">
        <v>6599101</v>
      </c>
      <c r="Q23" s="29" t="n">
        <v>6659434</v>
      </c>
      <c r="R23" s="29" t="n">
        <v>5523496</v>
      </c>
      <c r="S23" s="29" t="n">
        <v>4564608</v>
      </c>
      <c r="T23" s="29" t="n">
        <v>3447413</v>
      </c>
      <c r="U23" s="29" t="n">
        <v>6254579</v>
      </c>
      <c r="V23" s="29" t="n">
        <v>42261808</v>
      </c>
      <c r="W23" s="29" t="n">
        <v>41229440</v>
      </c>
      <c r="X23" s="30">
        <f>SUM(E23:G23)</f>
        <v/>
      </c>
      <c r="Y23" s="30">
        <f>SUM(H23:I23)</f>
        <v/>
      </c>
      <c r="Z23" s="30">
        <f>SUM(J23:K23)</f>
        <v/>
      </c>
      <c r="AA23" s="30">
        <f>SUM(L23:M23)</f>
        <v/>
      </c>
      <c r="AB23" s="30">
        <f>SUM(N23:O23)</f>
        <v/>
      </c>
      <c r="AC23" s="30">
        <f>SUM(P23:Q23)</f>
        <v/>
      </c>
      <c r="AD23" s="30">
        <f>SUM(R23:U23)</f>
        <v/>
      </c>
      <c r="AE23" s="31">
        <f>SUM(X23:AD23)</f>
        <v/>
      </c>
      <c r="AF23" s="32">
        <f>AE23/SUM($AE$5:$AE$222)</f>
        <v/>
      </c>
      <c r="AG23" s="10">
        <f>RANK(AE23,$AE$5:$AE$222)</f>
        <v/>
      </c>
      <c r="AH23" s="29" t="n">
        <v>83516593</v>
      </c>
      <c r="AI23" s="9">
        <f>IF(AH23&gt;0,AE23/AH23-1,"")</f>
        <v/>
      </c>
      <c r="AJ23" s="29" t="n">
        <v>60496</v>
      </c>
      <c r="AK23" s="19">
        <f>IF(SUM($E23:E23)&gt;=AE23/2,0+5*(AE23/2-0)/E23,IF(SUM($E23:F23)&gt;=AE23/2,5+5*(AE23/2-SUM($E23:E23))/F23,IF(SUM($E23:G23)&gt;=AE23/2,10+5*(AE23/2-SUM($E23:F23))/G23,IF(SUM($E23:H23)&gt;=AE23/2,15+5*(AE23/2-SUM($E23:G23))/H23,IF(SUM($E23:I23)&gt;=AE23/2,20+5*(AE23/2-SUM($E23:H23))/I23,IF(SUM($E23:J23)&gt;=AE23/2,25+5*(AE23/2-SUM($E23:I23))/J23,IF(SUM($E23:K23)&gt;=AE23/2,30+5*(AE23/2-SUM($E23:J23))/K23,IF(SUM($E23:L23)&gt;=AE23/2,35+5*(AE23/2-SUM($E23:K23))/L23,IF(SUM($E23:M23)&gt;=AE23/2,40+5*(AE23/2-SUM($E23:L23))/M23,IF(SUM($E23:N23)&gt;=AE23/2,45+5*(AE23/2-SUM($E23:M23))/N23,IF(SUM($E23:O23)&gt;=AE23/2,50+5*(AE23/2-SUM($E23:N23))/O23,IF(SUM($E23:P23)&gt;=AE23/2,55+5*(AE23/2-SUM($E23:O23))/P23,IF(SUM($E23:Q23)&gt;=AE23/2,60+5*(AE23/2-SUM($E23:P23))/Q23,IF(SUM($E23:R23)&gt;=AE23/2,65+5*(AE23/2-SUM($E23:Q23))/R23,IF(SUM($E23:S23)&gt;=AE23/2,70+5*(AE23/2-SUM($E23:R23))/S23,IF(SUM($E23:T23)&gt;=AE23/2,75+5*(AE23/2-SUM($E23:S23))/T23,""))))))))))))))))</f>
        <v/>
      </c>
      <c r="AL23" s="30">
        <f>SUM(H23:Q23)</f>
        <v/>
      </c>
      <c r="AM23" s="24" t="n">
        <v>0.265</v>
      </c>
      <c r="AN23" s="24" t="n">
        <v>0.323</v>
      </c>
      <c r="AO23" s="33">
        <f>IF(AND(ISNUMBER(AN23),ISNUMBER(AM23)),(AN23-AM23)*100,"")</f>
        <v/>
      </c>
      <c r="AP23" s="30">
        <f>IF(ISNUMBER(AN23),AN23*AL23,"")</f>
        <v/>
      </c>
      <c r="AQ23" s="30">
        <f>IF(ISNUMBER(AN23),AL23,0)</f>
        <v/>
      </c>
      <c r="AR23" s="24" t="n">
        <v>0.3225</v>
      </c>
      <c r="AS23" s="6" t="inlineStr">
        <is>
          <t>population</t>
        </is>
      </c>
      <c r="AT23" s="6" t="inlineStr">
        <is>
          <t>16-74</t>
        </is>
      </c>
      <c r="AU23" s="24" t="n">
        <v>1</v>
      </c>
      <c r="AV23" s="30">
        <f>H23*0.8+I23+J23+K23+L23+M23+N23+O23+P23+Q23+R23+S23</f>
        <v/>
      </c>
      <c r="AX23" s="30">
        <f>IF(ISNUMBER(AW23),AW23,AR23*AU23*AV23)</f>
        <v/>
      </c>
      <c r="AY23" s="34">
        <f>AX23/AV23</f>
        <v/>
      </c>
      <c r="AZ23" s="6" t="inlineStr">
        <is>
          <t>A</t>
        </is>
      </c>
      <c r="BA23" s="6" t="inlineStr">
        <is>
          <t>Yes</t>
        </is>
      </c>
      <c r="BB23" s="30">
        <f>IF(BA23="Yes",AX23,0)</f>
        <v/>
      </c>
      <c r="BC23" s="30">
        <f>IF(AND(BA23="Yes",ISNUMBER(AP23)),AP23,0)</f>
        <v/>
      </c>
      <c r="BD23" s="30">
        <f>IF(BA23="Yes",AX23,IF(ISNUMBER(AP23),AP23,0))</f>
        <v/>
      </c>
      <c r="BE23" s="6" t="inlineStr">
        <is>
          <t>Used generative AI tools in the last 3 months</t>
        </is>
      </c>
      <c r="BF23" s="6" t="inlineStr">
        <is>
          <t>2025 survey (Q2, most countries)</t>
        </is>
      </c>
      <c r="BG23" s="6" t="inlineStr">
        <is>
          <t>Eurostat: ICT usage in households and by individuals 2025, dataset isoc_ai_iaiu</t>
        </is>
      </c>
      <c r="BH23" s="6" t="inlineStr">
        <is>
          <t>https://ec.europa.eu/eurostat/databrowser/view/isoc_ai_iaiu/default/table</t>
        </is>
      </c>
    </row>
    <row r="24">
      <c r="A24" s="6" t="inlineStr">
        <is>
          <t>THA</t>
        </is>
      </c>
      <c r="B24" s="6" t="inlineStr">
        <is>
          <t>Thailand</t>
        </is>
      </c>
      <c r="C24" s="6" t="inlineStr">
        <is>
          <t>East Asia &amp; Pacific</t>
        </is>
      </c>
      <c r="D24" s="6" t="inlineStr">
        <is>
          <t>Upper middle income</t>
        </is>
      </c>
      <c r="E24" s="29" t="n">
        <v>2970697</v>
      </c>
      <c r="F24" s="29" t="n">
        <v>3394997</v>
      </c>
      <c r="G24" s="29" t="n">
        <v>3957728</v>
      </c>
      <c r="H24" s="29" t="n">
        <v>4247838</v>
      </c>
      <c r="I24" s="29" t="n">
        <v>4658820</v>
      </c>
      <c r="J24" s="29" t="n">
        <v>4963916</v>
      </c>
      <c r="K24" s="29" t="n">
        <v>5065649</v>
      </c>
      <c r="L24" s="29" t="n">
        <v>4977636</v>
      </c>
      <c r="M24" s="29" t="n">
        <v>5222247</v>
      </c>
      <c r="N24" s="29" t="n">
        <v>5261773</v>
      </c>
      <c r="O24" s="29" t="n">
        <v>5334430</v>
      </c>
      <c r="P24" s="29" t="n">
        <v>5289400</v>
      </c>
      <c r="Q24" s="29" t="n">
        <v>4803077</v>
      </c>
      <c r="R24" s="29" t="n">
        <v>4013081</v>
      </c>
      <c r="S24" s="29" t="n">
        <v>3003292</v>
      </c>
      <c r="T24" s="29" t="n">
        <v>2036069</v>
      </c>
      <c r="U24" s="29" t="n">
        <v>2419213</v>
      </c>
      <c r="V24" s="29" t="n">
        <v>36783265</v>
      </c>
      <c r="W24" s="29" t="n">
        <v>34836598</v>
      </c>
      <c r="X24" s="30">
        <f>SUM(E24:G24)</f>
        <v/>
      </c>
      <c r="Y24" s="30">
        <f>SUM(H24:I24)</f>
        <v/>
      </c>
      <c r="Z24" s="30">
        <f>SUM(J24:K24)</f>
        <v/>
      </c>
      <c r="AA24" s="30">
        <f>SUM(L24:M24)</f>
        <v/>
      </c>
      <c r="AB24" s="30">
        <f>SUM(N24:O24)</f>
        <v/>
      </c>
      <c r="AC24" s="30">
        <f>SUM(P24:Q24)</f>
        <v/>
      </c>
      <c r="AD24" s="30">
        <f>SUM(R24:U24)</f>
        <v/>
      </c>
      <c r="AE24" s="31">
        <f>SUM(X24:AD24)</f>
        <v/>
      </c>
      <c r="AF24" s="32">
        <f>AE24/SUM($AE$5:$AE$222)</f>
        <v/>
      </c>
      <c r="AG24" s="10">
        <f>RANK(AE24,$AE$5:$AE$222)</f>
        <v/>
      </c>
      <c r="AH24" s="29" t="n">
        <v>71668011</v>
      </c>
      <c r="AI24" s="9">
        <f>IF(AH24&gt;0,AE24/AH24-1,"")</f>
        <v/>
      </c>
      <c r="AJ24" s="29" t="n">
        <v>8057</v>
      </c>
      <c r="AK24" s="19">
        <f>IF(SUM($E24:E24)&gt;=AE24/2,0+5*(AE24/2-0)/E24,IF(SUM($E24:F24)&gt;=AE24/2,5+5*(AE24/2-SUM($E24:E24))/F24,IF(SUM($E24:G24)&gt;=AE24/2,10+5*(AE24/2-SUM($E24:F24))/G24,IF(SUM($E24:H24)&gt;=AE24/2,15+5*(AE24/2-SUM($E24:G24))/H24,IF(SUM($E24:I24)&gt;=AE24/2,20+5*(AE24/2-SUM($E24:H24))/I24,IF(SUM($E24:J24)&gt;=AE24/2,25+5*(AE24/2-SUM($E24:I24))/J24,IF(SUM($E24:K24)&gt;=AE24/2,30+5*(AE24/2-SUM($E24:J24))/K24,IF(SUM($E24:L24)&gt;=AE24/2,35+5*(AE24/2-SUM($E24:K24))/L24,IF(SUM($E24:M24)&gt;=AE24/2,40+5*(AE24/2-SUM($E24:L24))/M24,IF(SUM($E24:N24)&gt;=AE24/2,45+5*(AE24/2-SUM($E24:M24))/N24,IF(SUM($E24:O24)&gt;=AE24/2,50+5*(AE24/2-SUM($E24:N24))/O24,IF(SUM($E24:P24)&gt;=AE24/2,55+5*(AE24/2-SUM($E24:O24))/P24,IF(SUM($E24:Q24)&gt;=AE24/2,60+5*(AE24/2-SUM($E24:P24))/Q24,IF(SUM($E24:R24)&gt;=AE24/2,65+5*(AE24/2-SUM($E24:Q24))/R24,IF(SUM($E24:S24)&gt;=AE24/2,70+5*(AE24/2-SUM($E24:R24))/S24,IF(SUM($E24:T24)&gt;=AE24/2,75+5*(AE24/2-SUM($E24:S24))/T24,""))))))))))))))))</f>
        <v/>
      </c>
      <c r="AL24" s="30">
        <f>SUM(H24:Q24)</f>
        <v/>
      </c>
      <c r="AM24" s="24" t="n">
        <v>0.091</v>
      </c>
      <c r="AN24" s="24" t="n">
        <v>0.134</v>
      </c>
      <c r="AO24" s="33">
        <f>IF(AND(ISNUMBER(AN24),ISNUMBER(AM24)),(AN24-AM24)*100,"")</f>
        <v/>
      </c>
      <c r="AP24" s="30">
        <f>IF(ISNUMBER(AN24),AN24*AL24,"")</f>
        <v/>
      </c>
      <c r="AQ24" s="30">
        <f>IF(ISNUMBER(AN24),AL24,0)</f>
        <v/>
      </c>
      <c r="BB24" s="30">
        <f>IF(BA24="Yes",AX24,0)</f>
        <v/>
      </c>
      <c r="BC24" s="30">
        <f>IF(AND(BA24="Yes",ISNUMBER(AP24)),AP24,0)</f>
        <v/>
      </c>
      <c r="BD24" s="30">
        <f>IF(BA24="Yes",AX24,IF(ISNUMBER(AP24),AP24,0))</f>
        <v/>
      </c>
    </row>
    <row r="25">
      <c r="A25" s="6" t="inlineStr">
        <is>
          <t>TZA</t>
        </is>
      </c>
      <c r="B25" s="6" t="inlineStr">
        <is>
          <t>Tanzania</t>
        </is>
      </c>
      <c r="C25" s="6" t="inlineStr">
        <is>
          <t>Sub-Saharan Africa</t>
        </is>
      </c>
      <c r="D25" s="6" t="inlineStr">
        <is>
          <t>Lower middle income</t>
        </is>
      </c>
      <c r="E25" s="29" t="n">
        <v>11226124</v>
      </c>
      <c r="F25" s="29" t="n">
        <v>10015841</v>
      </c>
      <c r="G25" s="29" t="n">
        <v>8627500</v>
      </c>
      <c r="H25" s="29" t="n">
        <v>7622539</v>
      </c>
      <c r="I25" s="29" t="n">
        <v>6587335</v>
      </c>
      <c r="J25" s="29" t="n">
        <v>5569032</v>
      </c>
      <c r="K25" s="29" t="n">
        <v>4596162</v>
      </c>
      <c r="L25" s="29" t="n">
        <v>3838350</v>
      </c>
      <c r="M25" s="29" t="n">
        <v>3180649</v>
      </c>
      <c r="N25" s="29" t="n">
        <v>2605066</v>
      </c>
      <c r="O25" s="29" t="n">
        <v>2048042</v>
      </c>
      <c r="P25" s="29" t="n">
        <v>1457954</v>
      </c>
      <c r="Q25" s="29" t="n">
        <v>1025431</v>
      </c>
      <c r="R25" s="29" t="n">
        <v>813377</v>
      </c>
      <c r="S25" s="29" t="n">
        <v>610296</v>
      </c>
      <c r="T25" s="29" t="n">
        <v>397894</v>
      </c>
      <c r="U25" s="29" t="n">
        <v>324270</v>
      </c>
      <c r="V25" s="29" t="n">
        <v>35568489</v>
      </c>
      <c r="W25" s="29" t="n">
        <v>34977373</v>
      </c>
      <c r="X25" s="30">
        <f>SUM(E25:G25)</f>
        <v/>
      </c>
      <c r="Y25" s="30">
        <f>SUM(H25:I25)</f>
        <v/>
      </c>
      <c r="Z25" s="30">
        <f>SUM(J25:K25)</f>
        <v/>
      </c>
      <c r="AA25" s="30">
        <f>SUM(L25:M25)</f>
        <v/>
      </c>
      <c r="AB25" s="30">
        <f>SUM(N25:O25)</f>
        <v/>
      </c>
      <c r="AC25" s="30">
        <f>SUM(P25:Q25)</f>
        <v/>
      </c>
      <c r="AD25" s="30">
        <f>SUM(R25:U25)</f>
        <v/>
      </c>
      <c r="AE25" s="31">
        <f>SUM(X25:AD25)</f>
        <v/>
      </c>
      <c r="AF25" s="32">
        <f>AE25/SUM($AE$5:$AE$222)</f>
        <v/>
      </c>
      <c r="AG25" s="10">
        <f>RANK(AE25,$AE$5:$AE$222)</f>
        <v/>
      </c>
      <c r="AH25" s="29" t="n">
        <v>68560157</v>
      </c>
      <c r="AI25" s="9">
        <f>IF(AH25&gt;0,AE25/AH25-1,"")</f>
        <v/>
      </c>
      <c r="AJ25" s="29" t="n">
        <v>1319</v>
      </c>
      <c r="AK25" s="19">
        <f>IF(SUM($E25:E25)&gt;=AE25/2,0+5*(AE25/2-0)/E25,IF(SUM($E25:F25)&gt;=AE25/2,5+5*(AE25/2-SUM($E25:E25))/F25,IF(SUM($E25:G25)&gt;=AE25/2,10+5*(AE25/2-SUM($E25:F25))/G25,IF(SUM($E25:H25)&gt;=AE25/2,15+5*(AE25/2-SUM($E25:G25))/H25,IF(SUM($E25:I25)&gt;=AE25/2,20+5*(AE25/2-SUM($E25:H25))/I25,IF(SUM($E25:J25)&gt;=AE25/2,25+5*(AE25/2-SUM($E25:I25))/J25,IF(SUM($E25:K25)&gt;=AE25/2,30+5*(AE25/2-SUM($E25:J25))/K25,IF(SUM($E25:L25)&gt;=AE25/2,35+5*(AE25/2-SUM($E25:K25))/L25,IF(SUM($E25:M25)&gt;=AE25/2,40+5*(AE25/2-SUM($E25:L25))/M25,IF(SUM($E25:N25)&gt;=AE25/2,45+5*(AE25/2-SUM($E25:M25))/N25,IF(SUM($E25:O25)&gt;=AE25/2,50+5*(AE25/2-SUM($E25:N25))/O25,IF(SUM($E25:P25)&gt;=AE25/2,55+5*(AE25/2-SUM($E25:O25))/P25,IF(SUM($E25:Q25)&gt;=AE25/2,60+5*(AE25/2-SUM($E25:P25))/Q25,IF(SUM($E25:R25)&gt;=AE25/2,65+5*(AE25/2-SUM($E25:Q25))/R25,IF(SUM($E25:S25)&gt;=AE25/2,70+5*(AE25/2-SUM($E25:R25))/S25,IF(SUM($E25:T25)&gt;=AE25/2,75+5*(AE25/2-SUM($E25:S25))/T25,""))))))))))))))))</f>
        <v/>
      </c>
      <c r="AL25" s="30">
        <f>SUM(H25:Q25)</f>
        <v/>
      </c>
      <c r="AM25" s="24" t="n">
        <v>0.064</v>
      </c>
      <c r="AN25" s="24" t="n">
        <v>0.08</v>
      </c>
      <c r="AO25" s="33">
        <f>IF(AND(ISNUMBER(AN25),ISNUMBER(AM25)),(AN25-AM25)*100,"")</f>
        <v/>
      </c>
      <c r="AP25" s="30">
        <f>IF(ISNUMBER(AN25),AN25*AL25,"")</f>
        <v/>
      </c>
      <c r="AQ25" s="30">
        <f>IF(ISNUMBER(AN25),AL25,0)</f>
        <v/>
      </c>
      <c r="BB25" s="30">
        <f>IF(BA25="Yes",AX25,0)</f>
        <v/>
      </c>
      <c r="BC25" s="30">
        <f>IF(AND(BA25="Yes",ISNUMBER(AP25)),AP25,0)</f>
        <v/>
      </c>
      <c r="BD25" s="30">
        <f>IF(BA25="Yes",AX25,IF(ISNUMBER(AP25),AP25,0))</f>
        <v/>
      </c>
    </row>
    <row r="26">
      <c r="A26" s="6" t="inlineStr">
        <is>
          <t>GBR</t>
        </is>
      </c>
      <c r="B26" s="6" t="inlineStr">
        <is>
          <t>United Kingdom</t>
        </is>
      </c>
      <c r="C26" s="6" t="inlineStr">
        <is>
          <t>Europe &amp; Central Asia</t>
        </is>
      </c>
      <c r="D26" s="6" t="inlineStr">
        <is>
          <t>High income</t>
        </is>
      </c>
      <c r="E26" s="29" t="n">
        <v>3529142</v>
      </c>
      <c r="F26" s="29" t="n">
        <v>3965515</v>
      </c>
      <c r="G26" s="29" t="n">
        <v>4293656</v>
      </c>
      <c r="H26" s="29" t="n">
        <v>4212326</v>
      </c>
      <c r="I26" s="29" t="n">
        <v>4038458</v>
      </c>
      <c r="J26" s="29" t="n">
        <v>4429819</v>
      </c>
      <c r="K26" s="29" t="n">
        <v>4703187</v>
      </c>
      <c r="L26" s="29" t="n">
        <v>4569137</v>
      </c>
      <c r="M26" s="29" t="n">
        <v>4582640</v>
      </c>
      <c r="N26" s="29" t="n">
        <v>4201571</v>
      </c>
      <c r="O26" s="29" t="n">
        <v>4464825</v>
      </c>
      <c r="P26" s="29" t="n">
        <v>4569013</v>
      </c>
      <c r="Q26" s="29" t="n">
        <v>4236901</v>
      </c>
      <c r="R26" s="29" t="n">
        <v>3727288</v>
      </c>
      <c r="S26" s="29" t="n">
        <v>3218749</v>
      </c>
      <c r="T26" s="29" t="n">
        <v>2989986</v>
      </c>
      <c r="U26" s="29" t="n">
        <v>3754786</v>
      </c>
      <c r="V26" s="29" t="n">
        <v>35261706</v>
      </c>
      <c r="W26" s="29" t="n">
        <v>34225293</v>
      </c>
      <c r="X26" s="30">
        <f>SUM(E26:G26)</f>
        <v/>
      </c>
      <c r="Y26" s="30">
        <f>SUM(H26:I26)</f>
        <v/>
      </c>
      <c r="Z26" s="30">
        <f>SUM(J26:K26)</f>
        <v/>
      </c>
      <c r="AA26" s="30">
        <f>SUM(L26:M26)</f>
        <v/>
      </c>
      <c r="AB26" s="30">
        <f>SUM(N26:O26)</f>
        <v/>
      </c>
      <c r="AC26" s="30">
        <f>SUM(P26:Q26)</f>
        <v/>
      </c>
      <c r="AD26" s="30">
        <f>SUM(R26:U26)</f>
        <v/>
      </c>
      <c r="AE26" s="31">
        <f>SUM(X26:AD26)</f>
        <v/>
      </c>
      <c r="AF26" s="32">
        <f>AE26/SUM($AE$5:$AE$222)</f>
        <v/>
      </c>
      <c r="AG26" s="10">
        <f>RANK(AE26,$AE$5:$AE$222)</f>
        <v/>
      </c>
      <c r="AH26" s="29" t="n">
        <v>69281000</v>
      </c>
      <c r="AI26" s="9">
        <f>IF(AH26&gt;0,AE26/AH26-1,"")</f>
        <v/>
      </c>
      <c r="AJ26" s="29" t="n">
        <v>57602</v>
      </c>
      <c r="AK26" s="19">
        <f>IF(SUM($E26:E26)&gt;=AE26/2,0+5*(AE26/2-0)/E26,IF(SUM($E26:F26)&gt;=AE26/2,5+5*(AE26/2-SUM($E26:E26))/F26,IF(SUM($E26:G26)&gt;=AE26/2,10+5*(AE26/2-SUM($E26:F26))/G26,IF(SUM($E26:H26)&gt;=AE26/2,15+5*(AE26/2-SUM($E26:G26))/H26,IF(SUM($E26:I26)&gt;=AE26/2,20+5*(AE26/2-SUM($E26:H26))/I26,IF(SUM($E26:J26)&gt;=AE26/2,25+5*(AE26/2-SUM($E26:I26))/J26,IF(SUM($E26:K26)&gt;=AE26/2,30+5*(AE26/2-SUM($E26:J26))/K26,IF(SUM($E26:L26)&gt;=AE26/2,35+5*(AE26/2-SUM($E26:K26))/L26,IF(SUM($E26:M26)&gt;=AE26/2,40+5*(AE26/2-SUM($E26:L26))/M26,IF(SUM($E26:N26)&gt;=AE26/2,45+5*(AE26/2-SUM($E26:M26))/N26,IF(SUM($E26:O26)&gt;=AE26/2,50+5*(AE26/2-SUM($E26:N26))/O26,IF(SUM($E26:P26)&gt;=AE26/2,55+5*(AE26/2-SUM($E26:O26))/P26,IF(SUM($E26:Q26)&gt;=AE26/2,60+5*(AE26/2-SUM($E26:P26))/Q26,IF(SUM($E26:R26)&gt;=AE26/2,65+5*(AE26/2-SUM($E26:Q26))/R26,IF(SUM($E26:S26)&gt;=AE26/2,70+5*(AE26/2-SUM($E26:R26))/S26,IF(SUM($E26:T26)&gt;=AE26/2,75+5*(AE26/2-SUM($E26:S26))/T26,""))))))))))))))))</f>
        <v/>
      </c>
      <c r="AL26" s="30">
        <f>SUM(H26:Q26)</f>
        <v/>
      </c>
      <c r="AM26" s="24" t="n">
        <v>0.364</v>
      </c>
      <c r="AN26" s="24" t="n">
        <v>0.4370000000000001</v>
      </c>
      <c r="AO26" s="33">
        <f>IF(AND(ISNUMBER(AN26),ISNUMBER(AM26)),(AN26-AM26)*100,"")</f>
        <v/>
      </c>
      <c r="AP26" s="30">
        <f>IF(ISNUMBER(AN26),AN26*AL26,"")</f>
        <v/>
      </c>
      <c r="AQ26" s="30">
        <f>IF(ISNUMBER(AN26),AL26,0)</f>
        <v/>
      </c>
      <c r="AR26" s="24" t="n">
        <v>0.54</v>
      </c>
      <c r="AS26" s="6" t="inlineStr">
        <is>
          <t>population</t>
        </is>
      </c>
      <c r="AT26" s="6" t="inlineStr">
        <is>
          <t>16+</t>
        </is>
      </c>
      <c r="AU26" s="24" t="n">
        <v>1</v>
      </c>
      <c r="AV26" s="30">
        <f>H26*0.8+I26+J26+K26+L26+M26+N26+O26+P26+Q26+R26+S26+T26+U26</f>
        <v/>
      </c>
      <c r="AX26" s="30">
        <f>IF(ISNUMBER(AW26),AW26,AR26*AU26*AV26)</f>
        <v/>
      </c>
      <c r="AY26" s="34">
        <f>AX26/AV26</f>
        <v/>
      </c>
      <c r="AZ26" s="6" t="inlineStr">
        <is>
          <t>A</t>
        </is>
      </c>
      <c r="BA26" s="6" t="inlineStr">
        <is>
          <t>Yes</t>
        </is>
      </c>
      <c r="BB26" s="30">
        <f>IF(BA26="Yes",AX26,0)</f>
        <v/>
      </c>
      <c r="BC26" s="30">
        <f>IF(AND(BA26="Yes",ISNUMBER(AP26)),AP26,0)</f>
        <v/>
      </c>
      <c r="BD26" s="30">
        <f>IF(BA26="Yes",AX26,IF(ISNUMBER(AP26),AP26,0))</f>
        <v/>
      </c>
      <c r="BE26" s="6" t="inlineStr">
        <is>
          <t>Use AI tools (such as ChatGPT, Copilot or Gemini)</t>
        </is>
      </c>
      <c r="BF26" s="6" t="inlineStr">
        <is>
          <t>Late September - late November 2025</t>
        </is>
      </c>
      <c r="BG26" s="6" t="inlineStr">
        <is>
          <t>Ofcom (UK communications regulator): Adults' Media Use and Attitudes 2026</t>
        </is>
      </c>
      <c r="BH26" s="6" t="inlineStr">
        <is>
          <t>https://www.ofcom.org.uk/siteassets/resources/documents/research-and-data/media-literacy-research/adults/adults-media-use-and-attitudes-2026/adults-media-use-and-attitudes-2026-report.pdf</t>
        </is>
      </c>
    </row>
    <row r="27">
      <c r="A27" s="6" t="inlineStr">
        <is>
          <t>FRA</t>
        </is>
      </c>
      <c r="B27" s="6" t="inlineStr">
        <is>
          <t>France</t>
        </is>
      </c>
      <c r="C27" s="6" t="inlineStr">
        <is>
          <t>Europe &amp; Central Asia</t>
        </is>
      </c>
      <c r="D27" s="6" t="inlineStr">
        <is>
          <t>High income</t>
        </is>
      </c>
      <c r="E27" s="29" t="n">
        <v>3427890</v>
      </c>
      <c r="F27" s="29" t="n">
        <v>3676047</v>
      </c>
      <c r="G27" s="29" t="n">
        <v>4045853</v>
      </c>
      <c r="H27" s="29" t="n">
        <v>4287328</v>
      </c>
      <c r="I27" s="29" t="n">
        <v>4292227</v>
      </c>
      <c r="J27" s="29" t="n">
        <v>4033301</v>
      </c>
      <c r="K27" s="29" t="n">
        <v>3833949</v>
      </c>
      <c r="L27" s="29" t="n">
        <v>4089235</v>
      </c>
      <c r="M27" s="29" t="n">
        <v>4170311</v>
      </c>
      <c r="N27" s="29" t="n">
        <v>4204834</v>
      </c>
      <c r="O27" s="29" t="n">
        <v>4482277</v>
      </c>
      <c r="P27" s="29" t="n">
        <v>4365513</v>
      </c>
      <c r="Q27" s="29" t="n">
        <v>4320713</v>
      </c>
      <c r="R27" s="29" t="n">
        <v>4050854</v>
      </c>
      <c r="S27" s="29" t="n">
        <v>3744879</v>
      </c>
      <c r="T27" s="29" t="n">
        <v>3331983</v>
      </c>
      <c r="U27" s="29" t="n">
        <v>4363147</v>
      </c>
      <c r="V27" s="29" t="n">
        <v>35404382</v>
      </c>
      <c r="W27" s="29" t="n">
        <v>33315959</v>
      </c>
      <c r="X27" s="30">
        <f>SUM(E27:G27)</f>
        <v/>
      </c>
      <c r="Y27" s="30">
        <f>SUM(H27:I27)</f>
        <v/>
      </c>
      <c r="Z27" s="30">
        <f>SUM(J27:K27)</f>
        <v/>
      </c>
      <c r="AA27" s="30">
        <f>SUM(L27:M27)</f>
        <v/>
      </c>
      <c r="AB27" s="30">
        <f>SUM(N27:O27)</f>
        <v/>
      </c>
      <c r="AC27" s="30">
        <f>SUM(P27:Q27)</f>
        <v/>
      </c>
      <c r="AD27" s="30">
        <f>SUM(R27:U27)</f>
        <v/>
      </c>
      <c r="AE27" s="31">
        <f>SUM(X27:AD27)</f>
        <v/>
      </c>
      <c r="AF27" s="32">
        <f>AE27/SUM($AE$5:$AE$222)</f>
        <v/>
      </c>
      <c r="AG27" s="10">
        <f>RANK(AE27,$AE$5:$AE$222)</f>
        <v/>
      </c>
      <c r="AH27" s="29" t="n">
        <v>68551653</v>
      </c>
      <c r="AI27" s="9">
        <f>IF(AH27&gt;0,AE27/AH27-1,"")</f>
        <v/>
      </c>
      <c r="AJ27" s="29" t="n">
        <v>48986</v>
      </c>
      <c r="AK27" s="19">
        <f>IF(SUM($E27:E27)&gt;=AE27/2,0+5*(AE27/2-0)/E27,IF(SUM($E27:F27)&gt;=AE27/2,5+5*(AE27/2-SUM($E27:E27))/F27,IF(SUM($E27:G27)&gt;=AE27/2,10+5*(AE27/2-SUM($E27:F27))/G27,IF(SUM($E27:H27)&gt;=AE27/2,15+5*(AE27/2-SUM($E27:G27))/H27,IF(SUM($E27:I27)&gt;=AE27/2,20+5*(AE27/2-SUM($E27:H27))/I27,IF(SUM($E27:J27)&gt;=AE27/2,25+5*(AE27/2-SUM($E27:I27))/J27,IF(SUM($E27:K27)&gt;=AE27/2,30+5*(AE27/2-SUM($E27:J27))/K27,IF(SUM($E27:L27)&gt;=AE27/2,35+5*(AE27/2-SUM($E27:K27))/L27,IF(SUM($E27:M27)&gt;=AE27/2,40+5*(AE27/2-SUM($E27:L27))/M27,IF(SUM($E27:N27)&gt;=AE27/2,45+5*(AE27/2-SUM($E27:M27))/N27,IF(SUM($E27:O27)&gt;=AE27/2,50+5*(AE27/2-SUM($E27:N27))/O27,IF(SUM($E27:P27)&gt;=AE27/2,55+5*(AE27/2-SUM($E27:O27))/P27,IF(SUM($E27:Q27)&gt;=AE27/2,60+5*(AE27/2-SUM($E27:P27))/Q27,IF(SUM($E27:R27)&gt;=AE27/2,65+5*(AE27/2-SUM($E27:Q27))/R27,IF(SUM($E27:S27)&gt;=AE27/2,70+5*(AE27/2-SUM($E27:R27))/S27,IF(SUM($E27:T27)&gt;=AE27/2,75+5*(AE27/2-SUM($E27:S27))/T27,""))))))))))))))))</f>
        <v/>
      </c>
      <c r="AL27" s="30">
        <f>SUM(H27:Q27)</f>
        <v/>
      </c>
      <c r="AM27" s="24" t="n">
        <v>0.409</v>
      </c>
      <c r="AN27" s="24" t="n">
        <v>0.496</v>
      </c>
      <c r="AO27" s="33">
        <f>IF(AND(ISNUMBER(AN27),ISNUMBER(AM27)),(AN27-AM27)*100,"")</f>
        <v/>
      </c>
      <c r="AP27" s="30">
        <f>IF(ISNUMBER(AN27),AN27*AL27,"")</f>
        <v/>
      </c>
      <c r="AQ27" s="30">
        <f>IF(ISNUMBER(AN27),AL27,0)</f>
        <v/>
      </c>
      <c r="AR27" s="24" t="n">
        <v>0.3746</v>
      </c>
      <c r="AS27" s="6" t="inlineStr">
        <is>
          <t>population</t>
        </is>
      </c>
      <c r="AT27" s="6" t="inlineStr">
        <is>
          <t>16-74</t>
        </is>
      </c>
      <c r="AU27" s="24" t="n">
        <v>1</v>
      </c>
      <c r="AV27" s="30">
        <f>H27*0.8+I27+J27+K27+L27+M27+N27+O27+P27+Q27+R27+S27</f>
        <v/>
      </c>
      <c r="AX27" s="30">
        <f>IF(ISNUMBER(AW27),AW27,AR27*AU27*AV27)</f>
        <v/>
      </c>
      <c r="AY27" s="34">
        <f>AX27/AV27</f>
        <v/>
      </c>
      <c r="AZ27" s="6" t="inlineStr">
        <is>
          <t>A</t>
        </is>
      </c>
      <c r="BA27" s="6" t="inlineStr">
        <is>
          <t>Yes</t>
        </is>
      </c>
      <c r="BB27" s="30">
        <f>IF(BA27="Yes",AX27,0)</f>
        <v/>
      </c>
      <c r="BC27" s="30">
        <f>IF(AND(BA27="Yes",ISNUMBER(AP27)),AP27,0)</f>
        <v/>
      </c>
      <c r="BD27" s="30">
        <f>IF(BA27="Yes",AX27,IF(ISNUMBER(AP27),AP27,0))</f>
        <v/>
      </c>
      <c r="BE27" s="6" t="inlineStr">
        <is>
          <t>Used generative AI tools in the last 3 months</t>
        </is>
      </c>
      <c r="BF27" s="6" t="inlineStr">
        <is>
          <t>2025 survey (Q2, most countries)</t>
        </is>
      </c>
      <c r="BG27" s="6" t="inlineStr">
        <is>
          <t>Eurostat: ICT usage in households and by individuals 2025, dataset isoc_ai_iaiu</t>
        </is>
      </c>
      <c r="BH27" s="6" t="inlineStr">
        <is>
          <t>https://ec.europa.eu/eurostat/databrowser/view/isoc_ai_iaiu/default/table</t>
        </is>
      </c>
    </row>
    <row r="28">
      <c r="A28" s="6" t="inlineStr">
        <is>
          <t>ZAF</t>
        </is>
      </c>
      <c r="B28" s="6" t="inlineStr">
        <is>
          <t>South Africa</t>
        </is>
      </c>
      <c r="C28" s="6" t="inlineStr">
        <is>
          <t>Sub-Saharan Africa</t>
        </is>
      </c>
      <c r="D28" s="6" t="inlineStr">
        <is>
          <t>Upper middle income</t>
        </is>
      </c>
      <c r="E28" s="29" t="n">
        <v>5890538</v>
      </c>
      <c r="F28" s="29" t="n">
        <v>5503144</v>
      </c>
      <c r="G28" s="29" t="n">
        <v>5261520</v>
      </c>
      <c r="H28" s="29" t="n">
        <v>5437788</v>
      </c>
      <c r="I28" s="29" t="n">
        <v>5130787</v>
      </c>
      <c r="J28" s="29" t="n">
        <v>5494540</v>
      </c>
      <c r="K28" s="29" t="n">
        <v>5703973</v>
      </c>
      <c r="L28" s="29" t="n">
        <v>5458643</v>
      </c>
      <c r="M28" s="29" t="n">
        <v>4829159</v>
      </c>
      <c r="N28" s="29" t="n">
        <v>3766957</v>
      </c>
      <c r="O28" s="29" t="n">
        <v>3017038</v>
      </c>
      <c r="P28" s="29" t="n">
        <v>2550322</v>
      </c>
      <c r="Q28" s="29" t="n">
        <v>2245038</v>
      </c>
      <c r="R28" s="29" t="n">
        <v>1778594</v>
      </c>
      <c r="S28" s="29" t="n">
        <v>1242854</v>
      </c>
      <c r="T28" s="29" t="n">
        <v>684105</v>
      </c>
      <c r="U28" s="29" t="n">
        <v>752320</v>
      </c>
      <c r="V28" s="29" t="n">
        <v>33243192</v>
      </c>
      <c r="W28" s="29" t="n">
        <v>31504128</v>
      </c>
      <c r="X28" s="30">
        <f>SUM(E28:G28)</f>
        <v/>
      </c>
      <c r="Y28" s="30">
        <f>SUM(H28:I28)</f>
        <v/>
      </c>
      <c r="Z28" s="30">
        <f>SUM(J28:K28)</f>
        <v/>
      </c>
      <c r="AA28" s="30">
        <f>SUM(L28:M28)</f>
        <v/>
      </c>
      <c r="AB28" s="30">
        <f>SUM(N28:O28)</f>
        <v/>
      </c>
      <c r="AC28" s="30">
        <f>SUM(P28:Q28)</f>
        <v/>
      </c>
      <c r="AD28" s="30">
        <f>SUM(R28:U28)</f>
        <v/>
      </c>
      <c r="AE28" s="31">
        <f>SUM(X28:AD28)</f>
        <v/>
      </c>
      <c r="AF28" s="32">
        <f>AE28/SUM($AE$5:$AE$222)</f>
        <v/>
      </c>
      <c r="AG28" s="10">
        <f>RANK(AE28,$AE$5:$AE$222)</f>
        <v/>
      </c>
      <c r="AH28" s="29" t="n">
        <v>64007187</v>
      </c>
      <c r="AI28" s="9">
        <f>IF(AH28&gt;0,AE28/AH28-1,"")</f>
        <v/>
      </c>
      <c r="AJ28" s="29" t="n">
        <v>6598</v>
      </c>
      <c r="AK28" s="19">
        <f>IF(SUM($E28:E28)&gt;=AE28/2,0+5*(AE28/2-0)/E28,IF(SUM($E28:F28)&gt;=AE28/2,5+5*(AE28/2-SUM($E28:E28))/F28,IF(SUM($E28:G28)&gt;=AE28/2,10+5*(AE28/2-SUM($E28:F28))/G28,IF(SUM($E28:H28)&gt;=AE28/2,15+5*(AE28/2-SUM($E28:G28))/H28,IF(SUM($E28:I28)&gt;=AE28/2,20+5*(AE28/2-SUM($E28:H28))/I28,IF(SUM($E28:J28)&gt;=AE28/2,25+5*(AE28/2-SUM($E28:I28))/J28,IF(SUM($E28:K28)&gt;=AE28/2,30+5*(AE28/2-SUM($E28:J28))/K28,IF(SUM($E28:L28)&gt;=AE28/2,35+5*(AE28/2-SUM($E28:K28))/L28,IF(SUM($E28:M28)&gt;=AE28/2,40+5*(AE28/2-SUM($E28:L28))/M28,IF(SUM($E28:N28)&gt;=AE28/2,45+5*(AE28/2-SUM($E28:M28))/N28,IF(SUM($E28:O28)&gt;=AE28/2,50+5*(AE28/2-SUM($E28:N28))/O28,IF(SUM($E28:P28)&gt;=AE28/2,55+5*(AE28/2-SUM($E28:O28))/P28,IF(SUM($E28:Q28)&gt;=AE28/2,60+5*(AE28/2-SUM($E28:P28))/Q28,IF(SUM($E28:R28)&gt;=AE28/2,65+5*(AE28/2-SUM($E28:Q28))/R28,IF(SUM($E28:S28)&gt;=AE28/2,70+5*(AE28/2-SUM($E28:R28))/S28,IF(SUM($E28:T28)&gt;=AE28/2,75+5*(AE28/2-SUM($E28:S28))/T28,""))))))))))))))))</f>
        <v/>
      </c>
      <c r="AL28" s="30">
        <f>SUM(H28:Q28)</f>
        <v/>
      </c>
      <c r="AM28" s="24" t="n">
        <v>0.193</v>
      </c>
      <c r="AN28" s="24" t="n">
        <v>0.239</v>
      </c>
      <c r="AO28" s="33">
        <f>IF(AND(ISNUMBER(AN28),ISNUMBER(AM28)),(AN28-AM28)*100,"")</f>
        <v/>
      </c>
      <c r="AP28" s="30">
        <f>IF(ISNUMBER(AN28),AN28*AL28,"")</f>
        <v/>
      </c>
      <c r="AQ28" s="30">
        <f>IF(ISNUMBER(AN28),AL28,0)</f>
        <v/>
      </c>
      <c r="AR28" s="24" t="n">
        <v>0.262</v>
      </c>
      <c r="AS28" s="6" t="inlineStr">
        <is>
          <t>population</t>
        </is>
      </c>
      <c r="AT28" s="6" t="inlineStr">
        <is>
          <t>15+</t>
        </is>
      </c>
      <c r="AU28" s="24" t="n">
        <v>1</v>
      </c>
      <c r="AV28" s="30">
        <f>H28+I28+J28+K28+L28+M28+N28+O28+P28+Q28+R28+S28+T28+U28</f>
        <v/>
      </c>
      <c r="AX28" s="30">
        <f>IF(ISNUMBER(AW28),AW28,AR28*AU28*AV28)</f>
        <v/>
      </c>
      <c r="AY28" s="34">
        <f>AX28/AV28</f>
        <v/>
      </c>
      <c r="AZ28" s="6" t="inlineStr">
        <is>
          <t>C</t>
        </is>
      </c>
      <c r="BA28" s="6" t="inlineStr">
        <is>
          <t>No</t>
        </is>
      </c>
      <c r="BB28" s="30">
        <f>IF(BA28="Yes",AX28,0)</f>
        <v/>
      </c>
      <c r="BC28" s="30">
        <f>IF(AND(BA28="Yes",ISNUMBER(AP28)),AP28,0)</f>
        <v/>
      </c>
      <c r="BD28" s="30">
        <f>IF(BA28="Yes",AX28,IF(ISNUMBER(AP28),AP28,0))</f>
        <v/>
      </c>
      <c r="BE28" s="6" t="inlineStr">
        <is>
          <t>Have ever used AI (daily, weekly or monthly or less)</t>
        </is>
      </c>
      <c r="BF28" s="6" t="inlineStr">
        <is>
          <t>April-July 2026 (Gallup World Poll, probability sample ~1,000)</t>
        </is>
      </c>
      <c r="BG28" s="6" t="inlineStr">
        <is>
          <t>Gallup (World Poll; research run with Microsoft): AI Optimism Globally Widespread Despite Uneven Use</t>
        </is>
      </c>
      <c r="BH28" s="6" t="inlineStr">
        <is>
          <t>https://news.gallup.com/poll/714593/optimism-globally-widespread-despite-uneven.aspx</t>
        </is>
      </c>
    </row>
    <row r="29">
      <c r="A29" s="6" t="inlineStr">
        <is>
          <t>ITA</t>
        </is>
      </c>
      <c r="B29" s="6" t="inlineStr">
        <is>
          <t>Italy</t>
        </is>
      </c>
      <c r="C29" s="6" t="inlineStr">
        <is>
          <t>Europe &amp; Central Asia</t>
        </is>
      </c>
      <c r="D29" s="6" t="inlineStr">
        <is>
          <t>High income</t>
        </is>
      </c>
      <c r="E29" s="29" t="n">
        <v>1990927</v>
      </c>
      <c r="F29" s="29" t="n">
        <v>2268668</v>
      </c>
      <c r="G29" s="29" t="n">
        <v>2608301</v>
      </c>
      <c r="H29" s="29" t="n">
        <v>2895392</v>
      </c>
      <c r="I29" s="29" t="n">
        <v>3043153</v>
      </c>
      <c r="J29" s="29" t="n">
        <v>3087725</v>
      </c>
      <c r="K29" s="29" t="n">
        <v>3218370</v>
      </c>
      <c r="L29" s="29" t="n">
        <v>3331120</v>
      </c>
      <c r="M29" s="29" t="n">
        <v>3577152</v>
      </c>
      <c r="N29" s="29" t="n">
        <v>4125413</v>
      </c>
      <c r="O29" s="29" t="n">
        <v>4697020</v>
      </c>
      <c r="P29" s="29" t="n">
        <v>4784991</v>
      </c>
      <c r="Q29" s="29" t="n">
        <v>4500692</v>
      </c>
      <c r="R29" s="29" t="n">
        <v>3816791</v>
      </c>
      <c r="S29" s="29" t="n">
        <v>3289890</v>
      </c>
      <c r="T29" s="29" t="n">
        <v>3023107</v>
      </c>
      <c r="U29" s="29" t="n">
        <v>4656946</v>
      </c>
      <c r="V29" s="29" t="n">
        <v>30100973</v>
      </c>
      <c r="W29" s="29" t="n">
        <v>28814685</v>
      </c>
      <c r="X29" s="30">
        <f>SUM(E29:G29)</f>
        <v/>
      </c>
      <c r="Y29" s="30">
        <f>SUM(H29:I29)</f>
        <v/>
      </c>
      <c r="Z29" s="30">
        <f>SUM(J29:K29)</f>
        <v/>
      </c>
      <c r="AA29" s="30">
        <f>SUM(L29:M29)</f>
        <v/>
      </c>
      <c r="AB29" s="30">
        <f>SUM(N29:O29)</f>
        <v/>
      </c>
      <c r="AC29" s="30">
        <f>SUM(P29:Q29)</f>
        <v/>
      </c>
      <c r="AD29" s="30">
        <f>SUM(R29:U29)</f>
        <v/>
      </c>
      <c r="AE29" s="31">
        <f>SUM(X29:AD29)</f>
        <v/>
      </c>
      <c r="AF29" s="32">
        <f>AE29/SUM($AE$5:$AE$222)</f>
        <v/>
      </c>
      <c r="AG29" s="10">
        <f>RANK(AE29,$AE$5:$AE$222)</f>
        <v/>
      </c>
      <c r="AH29" s="29" t="n">
        <v>58952704</v>
      </c>
      <c r="AI29" s="9">
        <f>IF(AH29&gt;0,AE29/AH29-1,"")</f>
        <v/>
      </c>
      <c r="AJ29" s="29" t="n">
        <v>43309</v>
      </c>
      <c r="AK29" s="19">
        <f>IF(SUM($E29:E29)&gt;=AE29/2,0+5*(AE29/2-0)/E29,IF(SUM($E29:F29)&gt;=AE29/2,5+5*(AE29/2-SUM($E29:E29))/F29,IF(SUM($E29:G29)&gt;=AE29/2,10+5*(AE29/2-SUM($E29:F29))/G29,IF(SUM($E29:H29)&gt;=AE29/2,15+5*(AE29/2-SUM($E29:G29))/H29,IF(SUM($E29:I29)&gt;=AE29/2,20+5*(AE29/2-SUM($E29:H29))/I29,IF(SUM($E29:J29)&gt;=AE29/2,25+5*(AE29/2-SUM($E29:I29))/J29,IF(SUM($E29:K29)&gt;=AE29/2,30+5*(AE29/2-SUM($E29:J29))/K29,IF(SUM($E29:L29)&gt;=AE29/2,35+5*(AE29/2-SUM($E29:K29))/L29,IF(SUM($E29:M29)&gt;=AE29/2,40+5*(AE29/2-SUM($E29:L29))/M29,IF(SUM($E29:N29)&gt;=AE29/2,45+5*(AE29/2-SUM($E29:M29))/N29,IF(SUM($E29:O29)&gt;=AE29/2,50+5*(AE29/2-SUM($E29:N29))/O29,IF(SUM($E29:P29)&gt;=AE29/2,55+5*(AE29/2-SUM($E29:O29))/P29,IF(SUM($E29:Q29)&gt;=AE29/2,60+5*(AE29/2-SUM($E29:P29))/Q29,IF(SUM($E29:R29)&gt;=AE29/2,65+5*(AE29/2-SUM($E29:Q29))/R29,IF(SUM($E29:S29)&gt;=AE29/2,70+5*(AE29/2-SUM($E29:R29))/S29,IF(SUM($E29:T29)&gt;=AE29/2,75+5*(AE29/2-SUM($E29:S29))/T29,""))))))))))))))))</f>
        <v/>
      </c>
      <c r="AL29" s="30">
        <f>SUM(H29:Q29)</f>
        <v/>
      </c>
      <c r="AM29" s="24" t="n">
        <v>0.258</v>
      </c>
      <c r="AN29" s="24" t="n">
        <v>0.314</v>
      </c>
      <c r="AO29" s="33">
        <f>IF(AND(ISNUMBER(AN29),ISNUMBER(AM29)),(AN29-AM29)*100,"")</f>
        <v/>
      </c>
      <c r="AP29" s="30">
        <f>IF(ISNUMBER(AN29),AN29*AL29,"")</f>
        <v/>
      </c>
      <c r="AQ29" s="30">
        <f>IF(ISNUMBER(AN29),AL29,0)</f>
        <v/>
      </c>
      <c r="AR29" s="24" t="n">
        <v>0.1986</v>
      </c>
      <c r="AS29" s="6" t="inlineStr">
        <is>
          <t>population</t>
        </is>
      </c>
      <c r="AT29" s="6" t="inlineStr">
        <is>
          <t>16-74</t>
        </is>
      </c>
      <c r="AU29" s="24" t="n">
        <v>1</v>
      </c>
      <c r="AV29" s="30">
        <f>H29*0.8+I29+J29+K29+L29+M29+N29+O29+P29+Q29+R29+S29</f>
        <v/>
      </c>
      <c r="AX29" s="30">
        <f>IF(ISNUMBER(AW29),AW29,AR29*AU29*AV29)</f>
        <v/>
      </c>
      <c r="AY29" s="34">
        <f>AX29/AV29</f>
        <v/>
      </c>
      <c r="AZ29" s="6" t="inlineStr">
        <is>
          <t>A</t>
        </is>
      </c>
      <c r="BA29" s="6" t="inlineStr">
        <is>
          <t>Yes</t>
        </is>
      </c>
      <c r="BB29" s="30">
        <f>IF(BA29="Yes",AX29,0)</f>
        <v/>
      </c>
      <c r="BC29" s="30">
        <f>IF(AND(BA29="Yes",ISNUMBER(AP29)),AP29,0)</f>
        <v/>
      </c>
      <c r="BD29" s="30">
        <f>IF(BA29="Yes",AX29,IF(ISNUMBER(AP29),AP29,0))</f>
        <v/>
      </c>
      <c r="BE29" s="6" t="inlineStr">
        <is>
          <t>Used generative AI tools in the last 3 months</t>
        </is>
      </c>
      <c r="BF29" s="6" t="inlineStr">
        <is>
          <t>2025 survey (Q2, most countries)</t>
        </is>
      </c>
      <c r="BG29" s="6" t="inlineStr">
        <is>
          <t>Eurostat: ICT usage in households and by individuals 2025, dataset isoc_ai_iaiu</t>
        </is>
      </c>
      <c r="BH29" s="6" t="inlineStr">
        <is>
          <t>https://ec.europa.eu/eurostat/databrowser/view/isoc_ai_iaiu/default/table</t>
        </is>
      </c>
    </row>
    <row r="30">
      <c r="A30" s="6" t="inlineStr">
        <is>
          <t>KEN</t>
        </is>
      </c>
      <c r="B30" s="6" t="inlineStr">
        <is>
          <t>Kenya</t>
        </is>
      </c>
      <c r="C30" s="6" t="inlineStr">
        <is>
          <t>Sub-Saharan Africa</t>
        </is>
      </c>
      <c r="D30" s="6" t="inlineStr">
        <is>
          <t>Lower middle income</t>
        </is>
      </c>
      <c r="E30" s="29" t="n">
        <v>7201067</v>
      </c>
      <c r="F30" s="29" t="n">
        <v>6839603</v>
      </c>
      <c r="G30" s="29" t="n">
        <v>6819343</v>
      </c>
      <c r="H30" s="29" t="n">
        <v>6641849</v>
      </c>
      <c r="I30" s="29" t="n">
        <v>5736632</v>
      </c>
      <c r="J30" s="29" t="n">
        <v>4816336</v>
      </c>
      <c r="K30" s="29" t="n">
        <v>4147995</v>
      </c>
      <c r="L30" s="29" t="n">
        <v>3692651</v>
      </c>
      <c r="M30" s="29" t="n">
        <v>3024083</v>
      </c>
      <c r="N30" s="29" t="n">
        <v>2399257</v>
      </c>
      <c r="O30" s="29" t="n">
        <v>1902384</v>
      </c>
      <c r="P30" s="29" t="n">
        <v>1483084</v>
      </c>
      <c r="Q30" s="29" t="n">
        <v>1090184</v>
      </c>
      <c r="R30" s="29" t="n">
        <v>730209</v>
      </c>
      <c r="S30" s="29" t="n">
        <v>444513</v>
      </c>
      <c r="T30" s="29" t="n">
        <v>285249</v>
      </c>
      <c r="U30" s="29" t="n">
        <v>278059</v>
      </c>
      <c r="V30" s="29" t="n">
        <v>28935940</v>
      </c>
      <c r="W30" s="29" t="n">
        <v>28596558</v>
      </c>
      <c r="X30" s="30">
        <f>SUM(E30:G30)</f>
        <v/>
      </c>
      <c r="Y30" s="30">
        <f>SUM(H30:I30)</f>
        <v/>
      </c>
      <c r="Z30" s="30">
        <f>SUM(J30:K30)</f>
        <v/>
      </c>
      <c r="AA30" s="30">
        <f>SUM(L30:M30)</f>
        <v/>
      </c>
      <c r="AB30" s="30">
        <f>SUM(N30:O30)</f>
        <v/>
      </c>
      <c r="AC30" s="30">
        <f>SUM(P30:Q30)</f>
        <v/>
      </c>
      <c r="AD30" s="30">
        <f>SUM(R30:U30)</f>
        <v/>
      </c>
      <c r="AE30" s="31">
        <f>SUM(X30:AD30)</f>
        <v/>
      </c>
      <c r="AF30" s="32">
        <f>AE30/SUM($AE$5:$AE$222)</f>
        <v/>
      </c>
      <c r="AG30" s="10">
        <f>RANK(AE30,$AE$5:$AE$222)</f>
        <v/>
      </c>
      <c r="AH30" s="29" t="n">
        <v>56432944</v>
      </c>
      <c r="AI30" s="9">
        <f>IF(AH30&gt;0,AE30/AH30-1,"")</f>
        <v/>
      </c>
      <c r="AJ30" s="29" t="n">
        <v>2363</v>
      </c>
      <c r="AK30" s="19">
        <f>IF(SUM($E30:E30)&gt;=AE30/2,0+5*(AE30/2-0)/E30,IF(SUM($E30:F30)&gt;=AE30/2,5+5*(AE30/2-SUM($E30:E30))/F30,IF(SUM($E30:G30)&gt;=AE30/2,10+5*(AE30/2-SUM($E30:F30))/G30,IF(SUM($E30:H30)&gt;=AE30/2,15+5*(AE30/2-SUM($E30:G30))/H30,IF(SUM($E30:I30)&gt;=AE30/2,20+5*(AE30/2-SUM($E30:H30))/I30,IF(SUM($E30:J30)&gt;=AE30/2,25+5*(AE30/2-SUM($E30:I30))/J30,IF(SUM($E30:K30)&gt;=AE30/2,30+5*(AE30/2-SUM($E30:J30))/K30,IF(SUM($E30:L30)&gt;=AE30/2,35+5*(AE30/2-SUM($E30:K30))/L30,IF(SUM($E30:M30)&gt;=AE30/2,40+5*(AE30/2-SUM($E30:L30))/M30,IF(SUM($E30:N30)&gt;=AE30/2,45+5*(AE30/2-SUM($E30:M30))/N30,IF(SUM($E30:O30)&gt;=AE30/2,50+5*(AE30/2-SUM($E30:N30))/O30,IF(SUM($E30:P30)&gt;=AE30/2,55+5*(AE30/2-SUM($E30:O30))/P30,IF(SUM($E30:Q30)&gt;=AE30/2,60+5*(AE30/2-SUM($E30:P30))/Q30,IF(SUM($E30:R30)&gt;=AE30/2,65+5*(AE30/2-SUM($E30:Q30))/R30,IF(SUM($E30:S30)&gt;=AE30/2,70+5*(AE30/2-SUM($E30:R30))/S30,IF(SUM($E30:T30)&gt;=AE30/2,75+5*(AE30/2-SUM($E30:S30))/T30,""))))))))))))))))</f>
        <v/>
      </c>
      <c r="AL30" s="30">
        <f>SUM(H30:Q30)</f>
        <v/>
      </c>
      <c r="AM30" s="24" t="n">
        <v>0.078</v>
      </c>
      <c r="AN30" s="24" t="n">
        <v>0.08900000000000001</v>
      </c>
      <c r="AO30" s="33">
        <f>IF(AND(ISNUMBER(AN30),ISNUMBER(AM30)),(AN30-AM30)*100,"")</f>
        <v/>
      </c>
      <c r="AP30" s="30">
        <f>IF(ISNUMBER(AN30),AN30*AL30,"")</f>
        <v/>
      </c>
      <c r="AQ30" s="30">
        <f>IF(ISNUMBER(AN30),AL30,0)</f>
        <v/>
      </c>
      <c r="AR30" s="24" t="n">
        <v>0.226</v>
      </c>
      <c r="AS30" s="6" t="inlineStr">
        <is>
          <t>population</t>
        </is>
      </c>
      <c r="AT30" s="6" t="inlineStr">
        <is>
          <t>15+</t>
        </is>
      </c>
      <c r="AU30" s="24" t="n">
        <v>1</v>
      </c>
      <c r="AV30" s="30">
        <f>H30+I30+J30+K30+L30+M30+N30+O30+P30+Q30+R30+S30+T30+U30</f>
        <v/>
      </c>
      <c r="AX30" s="30">
        <f>IF(ISNUMBER(AW30),AW30,AR30*AU30*AV30)</f>
        <v/>
      </c>
      <c r="AY30" s="34">
        <f>AX30/AV30</f>
        <v/>
      </c>
      <c r="AZ30" s="6" t="inlineStr">
        <is>
          <t>C</t>
        </is>
      </c>
      <c r="BA30" s="6" t="inlineStr">
        <is>
          <t>No</t>
        </is>
      </c>
      <c r="BB30" s="30">
        <f>IF(BA30="Yes",AX30,0)</f>
        <v/>
      </c>
      <c r="BC30" s="30">
        <f>IF(AND(BA30="Yes",ISNUMBER(AP30)),AP30,0)</f>
        <v/>
      </c>
      <c r="BD30" s="30">
        <f>IF(BA30="Yes",AX30,IF(ISNUMBER(AP30),AP30,0))</f>
        <v/>
      </c>
      <c r="BE30" s="6" t="inlineStr">
        <is>
          <t>Have ever used AI (daily, weekly or monthly or less)</t>
        </is>
      </c>
      <c r="BF30" s="6" t="inlineStr">
        <is>
          <t>April-July 2026 (Gallup World Poll, probability sample ~1,000)</t>
        </is>
      </c>
      <c r="BG30" s="6" t="inlineStr">
        <is>
          <t>Gallup (World Poll; research run with Microsoft): AI Optimism Globally Widespread Despite Uneven Use</t>
        </is>
      </c>
      <c r="BH30" s="6" t="inlineStr">
        <is>
          <t>https://news.gallup.com/poll/714593/optimism-globally-widespread-despite-uneven.aspx</t>
        </is>
      </c>
    </row>
    <row r="31">
      <c r="A31" s="6" t="inlineStr">
        <is>
          <t>MMR</t>
        </is>
      </c>
      <c r="B31" s="6" t="inlineStr">
        <is>
          <t>Myanmar</t>
        </is>
      </c>
      <c r="C31" s="6" t="inlineStr">
        <is>
          <t>East Asia &amp; Pacific</t>
        </is>
      </c>
      <c r="D31" s="6" t="inlineStr">
        <is>
          <t>Lower middle income</t>
        </is>
      </c>
      <c r="E31" s="29" t="n">
        <v>4363894</v>
      </c>
      <c r="F31" s="29" t="n">
        <v>4465726</v>
      </c>
      <c r="G31" s="29" t="n">
        <v>4377669</v>
      </c>
      <c r="H31" s="29" t="n">
        <v>4374135</v>
      </c>
      <c r="I31" s="29" t="n">
        <v>4481601</v>
      </c>
      <c r="J31" s="29" t="n">
        <v>4392285</v>
      </c>
      <c r="K31" s="29" t="n">
        <v>4290789</v>
      </c>
      <c r="L31" s="29" t="n">
        <v>4102025</v>
      </c>
      <c r="M31" s="29" t="n">
        <v>4016071</v>
      </c>
      <c r="N31" s="29" t="n">
        <v>3571378</v>
      </c>
      <c r="O31" s="29" t="n">
        <v>3202244</v>
      </c>
      <c r="P31" s="29" t="n">
        <v>2790436</v>
      </c>
      <c r="Q31" s="29" t="n">
        <v>2296411</v>
      </c>
      <c r="R31" s="29" t="n">
        <v>1768027</v>
      </c>
      <c r="S31" s="29" t="n">
        <v>1224075</v>
      </c>
      <c r="T31" s="29" t="n">
        <v>668871</v>
      </c>
      <c r="U31" s="29" t="n">
        <v>465014</v>
      </c>
      <c r="V31" s="29" t="n">
        <v>27557103</v>
      </c>
      <c r="W31" s="29" t="n">
        <v>27293548</v>
      </c>
      <c r="X31" s="30">
        <f>SUM(E31:G31)</f>
        <v/>
      </c>
      <c r="Y31" s="30">
        <f>SUM(H31:I31)</f>
        <v/>
      </c>
      <c r="Z31" s="30">
        <f>SUM(J31:K31)</f>
        <v/>
      </c>
      <c r="AA31" s="30">
        <f>SUM(L31:M31)</f>
        <v/>
      </c>
      <c r="AB31" s="30">
        <f>SUM(N31:O31)</f>
        <v/>
      </c>
      <c r="AC31" s="30">
        <f>SUM(P31:Q31)</f>
        <v/>
      </c>
      <c r="AD31" s="30">
        <f>SUM(R31:U31)</f>
        <v/>
      </c>
      <c r="AE31" s="31">
        <f>SUM(X31:AD31)</f>
        <v/>
      </c>
      <c r="AF31" s="32">
        <f>AE31/SUM($AE$5:$AE$222)</f>
        <v/>
      </c>
      <c r="AG31" s="10">
        <f>RANK(AE31,$AE$5:$AE$222)</f>
        <v/>
      </c>
      <c r="AH31" s="29" t="n">
        <v>54500091</v>
      </c>
      <c r="AI31" s="9">
        <f>IF(AH31&gt;0,AE31/AH31-1,"")</f>
        <v/>
      </c>
      <c r="AJ31" s="29" t="n">
        <v>1489</v>
      </c>
      <c r="AK31" s="19">
        <f>IF(SUM($E31:E31)&gt;=AE31/2,0+5*(AE31/2-0)/E31,IF(SUM($E31:F31)&gt;=AE31/2,5+5*(AE31/2-SUM($E31:E31))/F31,IF(SUM($E31:G31)&gt;=AE31/2,10+5*(AE31/2-SUM($E31:F31))/G31,IF(SUM($E31:H31)&gt;=AE31/2,15+5*(AE31/2-SUM($E31:G31))/H31,IF(SUM($E31:I31)&gt;=AE31/2,20+5*(AE31/2-SUM($E31:H31))/I31,IF(SUM($E31:J31)&gt;=AE31/2,25+5*(AE31/2-SUM($E31:I31))/J31,IF(SUM($E31:K31)&gt;=AE31/2,30+5*(AE31/2-SUM($E31:J31))/K31,IF(SUM($E31:L31)&gt;=AE31/2,35+5*(AE31/2-SUM($E31:K31))/L31,IF(SUM($E31:M31)&gt;=AE31/2,40+5*(AE31/2-SUM($E31:L31))/M31,IF(SUM($E31:N31)&gt;=AE31/2,45+5*(AE31/2-SUM($E31:M31))/N31,IF(SUM($E31:O31)&gt;=AE31/2,50+5*(AE31/2-SUM($E31:N31))/O31,IF(SUM($E31:P31)&gt;=AE31/2,55+5*(AE31/2-SUM($E31:O31))/P31,IF(SUM($E31:Q31)&gt;=AE31/2,60+5*(AE31/2-SUM($E31:P31))/Q31,IF(SUM($E31:R31)&gt;=AE31/2,65+5*(AE31/2-SUM($E31:Q31))/R31,IF(SUM($E31:S31)&gt;=AE31/2,70+5*(AE31/2-SUM($E31:R31))/S31,IF(SUM($E31:T31)&gt;=AE31/2,75+5*(AE31/2-SUM($E31:S31))/T31,""))))))))))))))))</f>
        <v/>
      </c>
      <c r="AL31" s="30">
        <f>SUM(H31:Q31)</f>
        <v/>
      </c>
      <c r="AM31" s="24" t="n">
        <v>0.08400000000000001</v>
      </c>
      <c r="AN31" s="24" t="n">
        <v>0.104</v>
      </c>
      <c r="AO31" s="33">
        <f>IF(AND(ISNUMBER(AN31),ISNUMBER(AM31)),(AN31-AM31)*100,"")</f>
        <v/>
      </c>
      <c r="AP31" s="30">
        <f>IF(ISNUMBER(AN31),AN31*AL31,"")</f>
        <v/>
      </c>
      <c r="AQ31" s="30">
        <f>IF(ISNUMBER(AN31),AL31,0)</f>
        <v/>
      </c>
      <c r="BB31" s="30">
        <f>IF(BA31="Yes",AX31,0)</f>
        <v/>
      </c>
      <c r="BC31" s="30">
        <f>IF(AND(BA31="Yes",ISNUMBER(AP31)),AP31,0)</f>
        <v/>
      </c>
      <c r="BD31" s="30">
        <f>IF(BA31="Yes",AX31,IF(ISNUMBER(AP31),AP31,0))</f>
        <v/>
      </c>
    </row>
    <row r="32">
      <c r="A32" s="6" t="inlineStr">
        <is>
          <t>COL</t>
        </is>
      </c>
      <c r="B32" s="6" t="inlineStr">
        <is>
          <t>Colombia</t>
        </is>
      </c>
      <c r="C32" s="6" t="inlineStr">
        <is>
          <t>Latin America &amp; Caribbean</t>
        </is>
      </c>
      <c r="D32" s="6" t="inlineStr">
        <is>
          <t>Upper middle income</t>
        </is>
      </c>
      <c r="E32" s="29" t="n">
        <v>3535712</v>
      </c>
      <c r="F32" s="29" t="n">
        <v>3528306</v>
      </c>
      <c r="G32" s="29" t="n">
        <v>3617328</v>
      </c>
      <c r="H32" s="29" t="n">
        <v>3913373</v>
      </c>
      <c r="I32" s="29" t="n">
        <v>4296992</v>
      </c>
      <c r="J32" s="29" t="n">
        <v>4582293</v>
      </c>
      <c r="K32" s="29" t="n">
        <v>4571708</v>
      </c>
      <c r="L32" s="29" t="n">
        <v>4126999</v>
      </c>
      <c r="M32" s="29" t="n">
        <v>3811092</v>
      </c>
      <c r="N32" s="29" t="n">
        <v>3398046</v>
      </c>
      <c r="O32" s="29" t="n">
        <v>3055843</v>
      </c>
      <c r="P32" s="29" t="n">
        <v>2914247</v>
      </c>
      <c r="Q32" s="29" t="n">
        <v>2624225</v>
      </c>
      <c r="R32" s="29" t="n">
        <v>2079828</v>
      </c>
      <c r="S32" s="29" t="n">
        <v>1502293</v>
      </c>
      <c r="T32" s="29" t="n">
        <v>981872</v>
      </c>
      <c r="U32" s="29" t="n">
        <v>885478</v>
      </c>
      <c r="V32" s="29" t="n">
        <v>27067166</v>
      </c>
      <c r="W32" s="29" t="n">
        <v>26358469</v>
      </c>
      <c r="X32" s="30">
        <f>SUM(E32:G32)</f>
        <v/>
      </c>
      <c r="Y32" s="30">
        <f>SUM(H32:I32)</f>
        <v/>
      </c>
      <c r="Z32" s="30">
        <f>SUM(J32:K32)</f>
        <v/>
      </c>
      <c r="AA32" s="30">
        <f>SUM(L32:M32)</f>
        <v/>
      </c>
      <c r="AB32" s="30">
        <f>SUM(N32:O32)</f>
        <v/>
      </c>
      <c r="AC32" s="30">
        <f>SUM(P32:Q32)</f>
        <v/>
      </c>
      <c r="AD32" s="30">
        <f>SUM(R32:U32)</f>
        <v/>
      </c>
      <c r="AE32" s="31">
        <f>SUM(X32:AD32)</f>
        <v/>
      </c>
      <c r="AF32" s="32">
        <f>AE32/SUM($AE$5:$AE$222)</f>
        <v/>
      </c>
      <c r="AG32" s="10">
        <f>RANK(AE32,$AE$5:$AE$222)</f>
        <v/>
      </c>
      <c r="AH32" s="29" t="n">
        <v>52886363</v>
      </c>
      <c r="AI32" s="9">
        <f>IF(AH32&gt;0,AE32/AH32-1,"")</f>
        <v/>
      </c>
      <c r="AJ32" s="29" t="n">
        <v>8562</v>
      </c>
      <c r="AK32" s="19">
        <f>IF(SUM($E32:E32)&gt;=AE32/2,0+5*(AE32/2-0)/E32,IF(SUM($E32:F32)&gt;=AE32/2,5+5*(AE32/2-SUM($E32:E32))/F32,IF(SUM($E32:G32)&gt;=AE32/2,10+5*(AE32/2-SUM($E32:F32))/G32,IF(SUM($E32:H32)&gt;=AE32/2,15+5*(AE32/2-SUM($E32:G32))/H32,IF(SUM($E32:I32)&gt;=AE32/2,20+5*(AE32/2-SUM($E32:H32))/I32,IF(SUM($E32:J32)&gt;=AE32/2,25+5*(AE32/2-SUM($E32:I32))/J32,IF(SUM($E32:K32)&gt;=AE32/2,30+5*(AE32/2-SUM($E32:J32))/K32,IF(SUM($E32:L32)&gt;=AE32/2,35+5*(AE32/2-SUM($E32:K32))/L32,IF(SUM($E32:M32)&gt;=AE32/2,40+5*(AE32/2-SUM($E32:L32))/M32,IF(SUM($E32:N32)&gt;=AE32/2,45+5*(AE32/2-SUM($E32:M32))/N32,IF(SUM($E32:O32)&gt;=AE32/2,50+5*(AE32/2-SUM($E32:N32))/O32,IF(SUM($E32:P32)&gt;=AE32/2,55+5*(AE32/2-SUM($E32:O32))/P32,IF(SUM($E32:Q32)&gt;=AE32/2,60+5*(AE32/2-SUM($E32:P32))/Q32,IF(SUM($E32:R32)&gt;=AE32/2,65+5*(AE32/2-SUM($E32:Q32))/R32,IF(SUM($E32:S32)&gt;=AE32/2,70+5*(AE32/2-SUM($E32:R32))/S32,IF(SUM($E32:T32)&gt;=AE32/2,75+5*(AE32/2-SUM($E32:S32))/T32,""))))))))))))))))</f>
        <v/>
      </c>
      <c r="AL32" s="30">
        <f>SUM(H32:Q32)</f>
        <v/>
      </c>
      <c r="AM32" s="24" t="n">
        <v>0.204</v>
      </c>
      <c r="AN32" s="24" t="n">
        <v>0.259</v>
      </c>
      <c r="AO32" s="33">
        <f>IF(AND(ISNUMBER(AN32),ISNUMBER(AM32)),(AN32-AM32)*100,"")</f>
        <v/>
      </c>
      <c r="AP32" s="30">
        <f>IF(ISNUMBER(AN32),AN32*AL32,"")</f>
        <v/>
      </c>
      <c r="AQ32" s="30">
        <f>IF(ISNUMBER(AN32),AL32,0)</f>
        <v/>
      </c>
      <c r="AR32" s="24" t="n">
        <v>0.18</v>
      </c>
      <c r="AS32" s="6" t="inlineStr">
        <is>
          <t>internet users</t>
        </is>
      </c>
      <c r="AT32" s="6" t="inlineStr">
        <is>
          <t>5+</t>
        </is>
      </c>
      <c r="AU32" s="24" t="n">
        <v>0.793</v>
      </c>
      <c r="AV32" s="30">
        <f>F32+G32+H32+I32+J32+K32+L32+M32+N32+O32+P32+Q32+R32+S32+T32+U32</f>
        <v/>
      </c>
      <c r="AX32" s="30">
        <f>IF(ISNUMBER(AW32),AW32,AR32*AU32*AV32)</f>
        <v/>
      </c>
      <c r="AY32" s="34">
        <f>AX32/AV32</f>
        <v/>
      </c>
      <c r="AZ32" s="6" t="inlineStr">
        <is>
          <t>A</t>
        </is>
      </c>
      <c r="BA32" s="6" t="inlineStr">
        <is>
          <t>Yes</t>
        </is>
      </c>
      <c r="BB32" s="30">
        <f>IF(BA32="Yes",AX32,0)</f>
        <v/>
      </c>
      <c r="BC32" s="30">
        <f>IF(AND(BA32="Yes",ISNUMBER(AP32)),AP32,0)</f>
        <v/>
      </c>
      <c r="BD32" s="30">
        <f>IF(BA32="Yes",AX32,IF(ISNUMBER(AP32),AP32,0))</f>
        <v/>
      </c>
      <c r="BE32" s="6" t="inlineStr">
        <is>
          <t>Used artificial-intelligence tools through the internet (share of internet users aged 5+)</t>
        </is>
      </c>
      <c r="BF32" s="6" t="inlineStr">
        <is>
          <t>2024 survey</t>
        </is>
      </c>
      <c r="BG32" s="6" t="inlineStr">
        <is>
          <t>DANE (national statistics office, with MinTIC): ENTIC Hogares 2024, technical bulletin</t>
        </is>
      </c>
      <c r="BH32" s="6" t="inlineStr">
        <is>
          <t>https://www.dane.gov.co/files/operaciones/ENTIC/bol-ENTICHogares-2024.pdf</t>
        </is>
      </c>
    </row>
    <row r="33">
      <c r="A33" s="6" t="inlineStr">
        <is>
          <t>KOR</t>
        </is>
      </c>
      <c r="B33" s="6" t="inlineStr">
        <is>
          <t>Korea, Rep.</t>
        </is>
      </c>
      <c r="C33" s="6" t="inlineStr">
        <is>
          <t>East Asia &amp; Pacific</t>
        </is>
      </c>
      <c r="D33" s="6" t="inlineStr">
        <is>
          <t>High income</t>
        </is>
      </c>
      <c r="E33" s="29" t="n">
        <v>1248560</v>
      </c>
      <c r="F33" s="29" t="n">
        <v>1750761</v>
      </c>
      <c r="G33" s="29" t="n">
        <v>2274814</v>
      </c>
      <c r="H33" s="29" t="n">
        <v>2309544</v>
      </c>
      <c r="I33" s="29" t="n">
        <v>2707044</v>
      </c>
      <c r="J33" s="29" t="n">
        <v>3451824</v>
      </c>
      <c r="K33" s="29" t="n">
        <v>3649272</v>
      </c>
      <c r="L33" s="29" t="n">
        <v>3289689</v>
      </c>
      <c r="M33" s="29" t="n">
        <v>3848403</v>
      </c>
      <c r="N33" s="29" t="n">
        <v>3869167</v>
      </c>
      <c r="O33" s="29" t="n">
        <v>4328991</v>
      </c>
      <c r="P33" s="29" t="n">
        <v>4301791</v>
      </c>
      <c r="Q33" s="29" t="n">
        <v>4147017</v>
      </c>
      <c r="R33" s="29" t="n">
        <v>3687299</v>
      </c>
      <c r="S33" s="29" t="n">
        <v>2499607</v>
      </c>
      <c r="T33" s="29" t="n">
        <v>1791475</v>
      </c>
      <c r="U33" s="29" t="n">
        <v>2529308</v>
      </c>
      <c r="V33" s="29" t="n">
        <v>25901006</v>
      </c>
      <c r="W33" s="29" t="n">
        <v>25783560</v>
      </c>
      <c r="X33" s="30">
        <f>SUM(E33:G33)</f>
        <v/>
      </c>
      <c r="Y33" s="30">
        <f>SUM(H33:I33)</f>
        <v/>
      </c>
      <c r="Z33" s="30">
        <f>SUM(J33:K33)</f>
        <v/>
      </c>
      <c r="AA33" s="30">
        <f>SUM(L33:M33)</f>
        <v/>
      </c>
      <c r="AB33" s="30">
        <f>SUM(N33:O33)</f>
        <v/>
      </c>
      <c r="AC33" s="30">
        <f>SUM(P33:Q33)</f>
        <v/>
      </c>
      <c r="AD33" s="30">
        <f>SUM(R33:U33)</f>
        <v/>
      </c>
      <c r="AE33" s="31">
        <f>SUM(X33:AD33)</f>
        <v/>
      </c>
      <c r="AF33" s="32">
        <f>AE33/SUM($AE$5:$AE$222)</f>
        <v/>
      </c>
      <c r="AG33" s="10">
        <f>RANK(AE33,$AE$5:$AE$222)</f>
        <v/>
      </c>
      <c r="AH33" s="29" t="n">
        <v>51751065</v>
      </c>
      <c r="AI33" s="9">
        <f>IF(AH33&gt;0,AE33/AH33-1,"")</f>
        <v/>
      </c>
      <c r="AJ33" s="29" t="n">
        <v>36227</v>
      </c>
      <c r="AK33" s="19">
        <f>IF(SUM($E33:E33)&gt;=AE33/2,0+5*(AE33/2-0)/E33,IF(SUM($E33:F33)&gt;=AE33/2,5+5*(AE33/2-SUM($E33:E33))/F33,IF(SUM($E33:G33)&gt;=AE33/2,10+5*(AE33/2-SUM($E33:F33))/G33,IF(SUM($E33:H33)&gt;=AE33/2,15+5*(AE33/2-SUM($E33:G33))/H33,IF(SUM($E33:I33)&gt;=AE33/2,20+5*(AE33/2-SUM($E33:H33))/I33,IF(SUM($E33:J33)&gt;=AE33/2,25+5*(AE33/2-SUM($E33:I33))/J33,IF(SUM($E33:K33)&gt;=AE33/2,30+5*(AE33/2-SUM($E33:J33))/K33,IF(SUM($E33:L33)&gt;=AE33/2,35+5*(AE33/2-SUM($E33:K33))/L33,IF(SUM($E33:M33)&gt;=AE33/2,40+5*(AE33/2-SUM($E33:L33))/M33,IF(SUM($E33:N33)&gt;=AE33/2,45+5*(AE33/2-SUM($E33:M33))/N33,IF(SUM($E33:O33)&gt;=AE33/2,50+5*(AE33/2-SUM($E33:N33))/O33,IF(SUM($E33:P33)&gt;=AE33/2,55+5*(AE33/2-SUM($E33:O33))/P33,IF(SUM($E33:Q33)&gt;=AE33/2,60+5*(AE33/2-SUM($E33:P33))/Q33,IF(SUM($E33:R33)&gt;=AE33/2,65+5*(AE33/2-SUM($E33:Q33))/R33,IF(SUM($E33:S33)&gt;=AE33/2,70+5*(AE33/2-SUM($E33:R33))/S33,IF(SUM($E33:T33)&gt;=AE33/2,75+5*(AE33/2-SUM($E33:S33))/T33,""))))))))))))))))</f>
        <v/>
      </c>
      <c r="AL33" s="30">
        <f>SUM(H33:Q33)</f>
        <v/>
      </c>
      <c r="AM33" s="24" t="n">
        <v>0.259</v>
      </c>
      <c r="AN33" s="24" t="n">
        <v>0.406</v>
      </c>
      <c r="AO33" s="33">
        <f>IF(AND(ISNUMBER(AN33),ISNUMBER(AM33)),(AN33-AM33)*100,"")</f>
        <v/>
      </c>
      <c r="AP33" s="30">
        <f>IF(ISNUMBER(AN33),AN33*AL33,"")</f>
        <v/>
      </c>
      <c r="AQ33" s="30">
        <f>IF(ISNUMBER(AN33),AL33,0)</f>
        <v/>
      </c>
      <c r="AR33" s="24" t="n">
        <v>0.445</v>
      </c>
      <c r="AS33" s="6" t="inlineStr">
        <is>
          <t>internet users</t>
        </is>
      </c>
      <c r="AT33" s="6" t="inlineStr">
        <is>
          <t>12+</t>
        </is>
      </c>
      <c r="AU33" s="24" t="n">
        <v>0.95</v>
      </c>
      <c r="AV33" s="30">
        <f>G33*0.6+H33+I33+J33+K33+L33+M33+N33+O33+P33+Q33+R33+S33+T33+U33</f>
        <v/>
      </c>
      <c r="AX33" s="30">
        <f>IF(ISNUMBER(AW33),AW33,AR33*AU33*AV33)</f>
        <v/>
      </c>
      <c r="AY33" s="34">
        <f>AX33/AV33</f>
        <v/>
      </c>
      <c r="AZ33" s="6" t="inlineStr">
        <is>
          <t>A</t>
        </is>
      </c>
      <c r="BA33" s="6" t="inlineStr">
        <is>
          <t>Yes</t>
        </is>
      </c>
      <c r="BB33" s="30">
        <f>IF(BA33="Yes",AX33,0)</f>
        <v/>
      </c>
      <c r="BC33" s="30">
        <f>IF(AND(BA33="Yes",ISNUMBER(AP33)),AP33,0)</f>
        <v/>
      </c>
      <c r="BD33" s="30">
        <f>IF(BA33="Yes",AX33,IF(ISNUMBER(AP33),AP33,0))</f>
        <v/>
      </c>
      <c r="BE33" s="6" t="inlineStr">
        <is>
          <t>Used a generative AI-based service within the last year (share of internet users aged 12+)</t>
        </is>
      </c>
      <c r="BF33" s="6" t="inlineStr">
        <is>
          <t>Fieldwork 17 Oct - 12 Dec 2025 (in-home interviews, 50,750 people)</t>
        </is>
      </c>
      <c r="BG33" s="6" t="inlineStr">
        <is>
          <t>Ministry of Science and ICT (MSIT) and National Information Society Agency (NIA): 2025 Internet Usage Survey (approved national statistic No. 120005)</t>
        </is>
      </c>
      <c r="BH33" s="6" t="inlineStr">
        <is>
          <t>https://www.nia.or.kr/site/nia_kor/ex/bbs/View.do?cbIdx=99870&amp;bcIdx=29198&amp;parentSeq=29198</t>
        </is>
      </c>
    </row>
    <row r="34">
      <c r="A34" s="6" t="inlineStr">
        <is>
          <t>SDN</t>
        </is>
      </c>
      <c r="B34" s="6" t="inlineStr">
        <is>
          <t>Sudan</t>
        </is>
      </c>
      <c r="C34" s="6" t="inlineStr">
        <is>
          <t>Sub-Saharan Africa</t>
        </is>
      </c>
      <c r="D34" s="6" t="inlineStr">
        <is>
          <t>Low income</t>
        </is>
      </c>
      <c r="E34" s="29" t="n">
        <v>7731508</v>
      </c>
      <c r="F34" s="29" t="n">
        <v>6943727</v>
      </c>
      <c r="G34" s="29" t="n">
        <v>6099839</v>
      </c>
      <c r="H34" s="29" t="n">
        <v>5532033</v>
      </c>
      <c r="I34" s="29" t="n">
        <v>4858165</v>
      </c>
      <c r="J34" s="29" t="n">
        <v>4266905</v>
      </c>
      <c r="K34" s="29" t="n">
        <v>3591914</v>
      </c>
      <c r="L34" s="29" t="n">
        <v>2846867</v>
      </c>
      <c r="M34" s="29" t="n">
        <v>2315961</v>
      </c>
      <c r="N34" s="29" t="n">
        <v>1844108</v>
      </c>
      <c r="O34" s="29" t="n">
        <v>1556809</v>
      </c>
      <c r="P34" s="29" t="n">
        <v>1289842</v>
      </c>
      <c r="Q34" s="29" t="n">
        <v>1034663</v>
      </c>
      <c r="R34" s="29" t="n">
        <v>786697</v>
      </c>
      <c r="S34" s="29" t="n">
        <v>509330</v>
      </c>
      <c r="T34" s="29" t="n">
        <v>268101</v>
      </c>
      <c r="U34" s="29" t="n">
        <v>185677</v>
      </c>
      <c r="V34" s="29" t="n">
        <v>26057105</v>
      </c>
      <c r="W34" s="29" t="n">
        <v>25605041</v>
      </c>
      <c r="X34" s="30">
        <f>SUM(E34:G34)</f>
        <v/>
      </c>
      <c r="Y34" s="30">
        <f>SUM(H34:I34)</f>
        <v/>
      </c>
      <c r="Z34" s="30">
        <f>SUM(J34:K34)</f>
        <v/>
      </c>
      <c r="AA34" s="30">
        <f>SUM(L34:M34)</f>
        <v/>
      </c>
      <c r="AB34" s="30">
        <f>SUM(N34:O34)</f>
        <v/>
      </c>
      <c r="AC34" s="30">
        <f>SUM(P34:Q34)</f>
        <v/>
      </c>
      <c r="AD34" s="30">
        <f>SUM(R34:U34)</f>
        <v/>
      </c>
      <c r="AE34" s="31">
        <f>SUM(X34:AD34)</f>
        <v/>
      </c>
      <c r="AF34" s="32">
        <f>AE34/SUM($AE$5:$AE$222)</f>
        <v/>
      </c>
      <c r="AG34" s="10">
        <f>RANK(AE34,$AE$5:$AE$222)</f>
        <v/>
      </c>
      <c r="AH34" s="29" t="n">
        <v>50448963</v>
      </c>
      <c r="AI34" s="9">
        <f>IF(AH34&gt;0,AE34/AH34-1,"")</f>
        <v/>
      </c>
      <c r="AJ34" s="29" t="n">
        <v>1165</v>
      </c>
      <c r="AK34" s="19">
        <f>IF(SUM($E34:E34)&gt;=AE34/2,0+5*(AE34/2-0)/E34,IF(SUM($E34:F34)&gt;=AE34/2,5+5*(AE34/2-SUM($E34:E34))/F34,IF(SUM($E34:G34)&gt;=AE34/2,10+5*(AE34/2-SUM($E34:F34))/G34,IF(SUM($E34:H34)&gt;=AE34/2,15+5*(AE34/2-SUM($E34:G34))/H34,IF(SUM($E34:I34)&gt;=AE34/2,20+5*(AE34/2-SUM($E34:H34))/I34,IF(SUM($E34:J34)&gt;=AE34/2,25+5*(AE34/2-SUM($E34:I34))/J34,IF(SUM($E34:K34)&gt;=AE34/2,30+5*(AE34/2-SUM($E34:J34))/K34,IF(SUM($E34:L34)&gt;=AE34/2,35+5*(AE34/2-SUM($E34:K34))/L34,IF(SUM($E34:M34)&gt;=AE34/2,40+5*(AE34/2-SUM($E34:L34))/M34,IF(SUM($E34:N34)&gt;=AE34/2,45+5*(AE34/2-SUM($E34:M34))/N34,IF(SUM($E34:O34)&gt;=AE34/2,50+5*(AE34/2-SUM($E34:N34))/O34,IF(SUM($E34:P34)&gt;=AE34/2,55+5*(AE34/2-SUM($E34:O34))/P34,IF(SUM($E34:Q34)&gt;=AE34/2,60+5*(AE34/2-SUM($E34:P34))/Q34,IF(SUM($E34:R34)&gt;=AE34/2,65+5*(AE34/2-SUM($E34:Q34))/R34,IF(SUM($E34:S34)&gt;=AE34/2,70+5*(AE34/2-SUM($E34:R34))/S34,IF(SUM($E34:T34)&gt;=AE34/2,75+5*(AE34/2-SUM($E34:S34))/T34,""))))))))))))))))</f>
        <v/>
      </c>
      <c r="AL34" s="30">
        <f>SUM(H34:Q34)</f>
        <v/>
      </c>
      <c r="AM34" s="24" t="n">
        <v>0.064</v>
      </c>
      <c r="AN34" s="24" t="n">
        <v>0.08</v>
      </c>
      <c r="AO34" s="33">
        <f>IF(AND(ISNUMBER(AN34),ISNUMBER(AM34)),(AN34-AM34)*100,"")</f>
        <v/>
      </c>
      <c r="AP34" s="30">
        <f>IF(ISNUMBER(AN34),AN34*AL34,"")</f>
        <v/>
      </c>
      <c r="AQ34" s="30">
        <f>IF(ISNUMBER(AN34),AL34,0)</f>
        <v/>
      </c>
      <c r="BB34" s="30">
        <f>IF(BA34="Yes",AX34,0)</f>
        <v/>
      </c>
      <c r="BC34" s="30">
        <f>IF(AND(BA34="Yes",ISNUMBER(AP34)),AP34,0)</f>
        <v/>
      </c>
      <c r="BD34" s="30">
        <f>IF(BA34="Yes",AX34,IF(ISNUMBER(AP34),AP34,0))</f>
        <v/>
      </c>
    </row>
    <row r="35">
      <c r="A35" s="6" t="inlineStr">
        <is>
          <t>UGA</t>
        </is>
      </c>
      <c r="B35" s="6" t="inlineStr">
        <is>
          <t>Uganda</t>
        </is>
      </c>
      <c r="C35" s="6" t="inlineStr">
        <is>
          <t>Sub-Saharan Africa</t>
        </is>
      </c>
      <c r="D35" s="6" t="inlineStr">
        <is>
          <t>Low income</t>
        </is>
      </c>
      <c r="E35" s="29" t="n">
        <v>8173066</v>
      </c>
      <c r="F35" s="29" t="n">
        <v>7345301</v>
      </c>
      <c r="G35" s="29" t="n">
        <v>6634258</v>
      </c>
      <c r="H35" s="29" t="n">
        <v>5925433</v>
      </c>
      <c r="I35" s="29" t="n">
        <v>5117751</v>
      </c>
      <c r="J35" s="29" t="n">
        <v>4376821</v>
      </c>
      <c r="K35" s="29" t="n">
        <v>3584279</v>
      </c>
      <c r="L35" s="29" t="n">
        <v>2725555</v>
      </c>
      <c r="M35" s="29" t="n">
        <v>1974254</v>
      </c>
      <c r="N35" s="29" t="n">
        <v>1526447</v>
      </c>
      <c r="O35" s="29" t="n">
        <v>1232441</v>
      </c>
      <c r="P35" s="29" t="n">
        <v>950318</v>
      </c>
      <c r="Q35" s="29" t="n">
        <v>673856</v>
      </c>
      <c r="R35" s="29" t="n">
        <v>467468</v>
      </c>
      <c r="S35" s="29" t="n">
        <v>315234</v>
      </c>
      <c r="T35" s="29" t="n">
        <v>186068</v>
      </c>
      <c r="U35" s="29" t="n">
        <v>176343</v>
      </c>
      <c r="V35" s="29" t="n">
        <v>25889256</v>
      </c>
      <c r="W35" s="29" t="n">
        <v>25495637</v>
      </c>
      <c r="X35" s="30">
        <f>SUM(E35:G35)</f>
        <v/>
      </c>
      <c r="Y35" s="30">
        <f>SUM(H35:I35)</f>
        <v/>
      </c>
      <c r="Z35" s="30">
        <f>SUM(J35:K35)</f>
        <v/>
      </c>
      <c r="AA35" s="30">
        <f>SUM(L35:M35)</f>
        <v/>
      </c>
      <c r="AB35" s="30">
        <f>SUM(N35:O35)</f>
        <v/>
      </c>
      <c r="AC35" s="30">
        <f>SUM(P35:Q35)</f>
        <v/>
      </c>
      <c r="AD35" s="30">
        <f>SUM(R35:U35)</f>
        <v/>
      </c>
      <c r="AE35" s="31">
        <f>SUM(X35:AD35)</f>
        <v/>
      </c>
      <c r="AF35" s="32">
        <f>AE35/SUM($AE$5:$AE$222)</f>
        <v/>
      </c>
      <c r="AG35" s="10">
        <f>RANK(AE35,$AE$5:$AE$222)</f>
        <v/>
      </c>
      <c r="AH35" s="29" t="n">
        <v>50015092</v>
      </c>
      <c r="AI35" s="9">
        <f>IF(AH35&gt;0,AE35/AH35-1,"")</f>
        <v/>
      </c>
      <c r="AJ35" s="29" t="n">
        <v>1206</v>
      </c>
      <c r="AK35" s="19">
        <f>IF(SUM($E35:E35)&gt;=AE35/2,0+5*(AE35/2-0)/E35,IF(SUM($E35:F35)&gt;=AE35/2,5+5*(AE35/2-SUM($E35:E35))/F35,IF(SUM($E35:G35)&gt;=AE35/2,10+5*(AE35/2-SUM($E35:F35))/G35,IF(SUM($E35:H35)&gt;=AE35/2,15+5*(AE35/2-SUM($E35:G35))/H35,IF(SUM($E35:I35)&gt;=AE35/2,20+5*(AE35/2-SUM($E35:H35))/I35,IF(SUM($E35:J35)&gt;=AE35/2,25+5*(AE35/2-SUM($E35:I35))/J35,IF(SUM($E35:K35)&gt;=AE35/2,30+5*(AE35/2-SUM($E35:J35))/K35,IF(SUM($E35:L35)&gt;=AE35/2,35+5*(AE35/2-SUM($E35:K35))/L35,IF(SUM($E35:M35)&gt;=AE35/2,40+5*(AE35/2-SUM($E35:L35))/M35,IF(SUM($E35:N35)&gt;=AE35/2,45+5*(AE35/2-SUM($E35:M35))/N35,IF(SUM($E35:O35)&gt;=AE35/2,50+5*(AE35/2-SUM($E35:N35))/O35,IF(SUM($E35:P35)&gt;=AE35/2,55+5*(AE35/2-SUM($E35:O35))/P35,IF(SUM($E35:Q35)&gt;=AE35/2,60+5*(AE35/2-SUM($E35:P35))/Q35,IF(SUM($E35:R35)&gt;=AE35/2,65+5*(AE35/2-SUM($E35:Q35))/R35,IF(SUM($E35:S35)&gt;=AE35/2,70+5*(AE35/2-SUM($E35:R35))/S35,IF(SUM($E35:T35)&gt;=AE35/2,75+5*(AE35/2-SUM($E35:S35))/T35,""))))))))))))))))</f>
        <v/>
      </c>
      <c r="AL35" s="30">
        <f>SUM(H35:Q35)</f>
        <v/>
      </c>
      <c r="AM35" s="24" t="n">
        <v>0.064</v>
      </c>
      <c r="AN35" s="24" t="n">
        <v>0.08</v>
      </c>
      <c r="AO35" s="33">
        <f>IF(AND(ISNUMBER(AN35),ISNUMBER(AM35)),(AN35-AM35)*100,"")</f>
        <v/>
      </c>
      <c r="AP35" s="30">
        <f>IF(ISNUMBER(AN35),AN35*AL35,"")</f>
        <v/>
      </c>
      <c r="AQ35" s="30">
        <f>IF(ISNUMBER(AN35),AL35,0)</f>
        <v/>
      </c>
      <c r="BB35" s="30">
        <f>IF(BA35="Yes",AX35,0)</f>
        <v/>
      </c>
      <c r="BC35" s="30">
        <f>IF(AND(BA35="Yes",ISNUMBER(AP35)),AP35,0)</f>
        <v/>
      </c>
      <c r="BD35" s="30">
        <f>IF(BA35="Yes",AX35,IF(ISNUMBER(AP35),AP35,0))</f>
        <v/>
      </c>
    </row>
    <row r="36">
      <c r="A36" s="6" t="inlineStr">
        <is>
          <t>ESP</t>
        </is>
      </c>
      <c r="B36" s="6" t="inlineStr">
        <is>
          <t>Spain</t>
        </is>
      </c>
      <c r="C36" s="6" t="inlineStr">
        <is>
          <t>Europe &amp; Central Asia</t>
        </is>
      </c>
      <c r="D36" s="6" t="inlineStr">
        <is>
          <t>High income</t>
        </is>
      </c>
      <c r="E36" s="29" t="n">
        <v>1761462</v>
      </c>
      <c r="F36" s="29" t="n">
        <v>2065012</v>
      </c>
      <c r="G36" s="29" t="n">
        <v>2401716</v>
      </c>
      <c r="H36" s="29" t="n">
        <v>2660152</v>
      </c>
      <c r="I36" s="29" t="n">
        <v>2618468</v>
      </c>
      <c r="J36" s="29" t="n">
        <v>2540574</v>
      </c>
      <c r="K36" s="29" t="n">
        <v>2728467</v>
      </c>
      <c r="L36" s="29" t="n">
        <v>2984518</v>
      </c>
      <c r="M36" s="29" t="n">
        <v>3448614</v>
      </c>
      <c r="N36" s="29" t="n">
        <v>4088649</v>
      </c>
      <c r="O36" s="29" t="n">
        <v>4033445</v>
      </c>
      <c r="P36" s="29" t="n">
        <v>3822036</v>
      </c>
      <c r="Q36" s="29" t="n">
        <v>3520549</v>
      </c>
      <c r="R36" s="29" t="n">
        <v>2983853</v>
      </c>
      <c r="S36" s="29" t="n">
        <v>2406244</v>
      </c>
      <c r="T36" s="29" t="n">
        <v>2089513</v>
      </c>
      <c r="U36" s="29" t="n">
        <v>3201869</v>
      </c>
      <c r="V36" s="29" t="n">
        <v>25128971</v>
      </c>
      <c r="W36" s="29" t="n">
        <v>24226170</v>
      </c>
      <c r="X36" s="30">
        <f>SUM(E36:G36)</f>
        <v/>
      </c>
      <c r="Y36" s="30">
        <f>SUM(H36:I36)</f>
        <v/>
      </c>
      <c r="Z36" s="30">
        <f>SUM(J36:K36)</f>
        <v/>
      </c>
      <c r="AA36" s="30">
        <f>SUM(L36:M36)</f>
        <v/>
      </c>
      <c r="AB36" s="30">
        <f>SUM(N36:O36)</f>
        <v/>
      </c>
      <c r="AC36" s="30">
        <f>SUM(P36:Q36)</f>
        <v/>
      </c>
      <c r="AD36" s="30">
        <f>SUM(R36:U36)</f>
        <v/>
      </c>
      <c r="AE36" s="31">
        <f>SUM(X36:AD36)</f>
        <v/>
      </c>
      <c r="AF36" s="32">
        <f>AE36/SUM($AE$5:$AE$222)</f>
        <v/>
      </c>
      <c r="AG36" s="10">
        <f>RANK(AE36,$AE$5:$AE$222)</f>
        <v/>
      </c>
      <c r="AH36" s="29" t="n">
        <v>48848840</v>
      </c>
      <c r="AI36" s="9">
        <f>IF(AH36&gt;0,AE36/AH36-1,"")</f>
        <v/>
      </c>
      <c r="AJ36" s="29" t="n">
        <v>38627</v>
      </c>
      <c r="AK36" s="19">
        <f>IF(SUM($E36:E36)&gt;=AE36/2,0+5*(AE36/2-0)/E36,IF(SUM($E36:F36)&gt;=AE36/2,5+5*(AE36/2-SUM($E36:E36))/F36,IF(SUM($E36:G36)&gt;=AE36/2,10+5*(AE36/2-SUM($E36:F36))/G36,IF(SUM($E36:H36)&gt;=AE36/2,15+5*(AE36/2-SUM($E36:G36))/H36,IF(SUM($E36:I36)&gt;=AE36/2,20+5*(AE36/2-SUM($E36:H36))/I36,IF(SUM($E36:J36)&gt;=AE36/2,25+5*(AE36/2-SUM($E36:I36))/J36,IF(SUM($E36:K36)&gt;=AE36/2,30+5*(AE36/2-SUM($E36:J36))/K36,IF(SUM($E36:L36)&gt;=AE36/2,35+5*(AE36/2-SUM($E36:K36))/L36,IF(SUM($E36:M36)&gt;=AE36/2,40+5*(AE36/2-SUM($E36:L36))/M36,IF(SUM($E36:N36)&gt;=AE36/2,45+5*(AE36/2-SUM($E36:M36))/N36,IF(SUM($E36:O36)&gt;=AE36/2,50+5*(AE36/2-SUM($E36:N36))/O36,IF(SUM($E36:P36)&gt;=AE36/2,55+5*(AE36/2-SUM($E36:O36))/P36,IF(SUM($E36:Q36)&gt;=AE36/2,60+5*(AE36/2-SUM($E36:P36))/Q36,IF(SUM($E36:R36)&gt;=AE36/2,65+5*(AE36/2-SUM($E36:Q36))/R36,IF(SUM($E36:S36)&gt;=AE36/2,70+5*(AE36/2-SUM($E36:R36))/S36,IF(SUM($E36:T36)&gt;=AE36/2,75+5*(AE36/2-SUM($E36:S36))/T36,""))))))))))))))))</f>
        <v/>
      </c>
      <c r="AL36" s="30">
        <f>SUM(H36:Q36)</f>
        <v/>
      </c>
      <c r="AM36" s="24" t="n">
        <v>0.397</v>
      </c>
      <c r="AN36" s="24" t="n">
        <v>0.451</v>
      </c>
      <c r="AO36" s="33">
        <f>IF(AND(ISNUMBER(AN36),ISNUMBER(AM36)),(AN36-AM36)*100,"")</f>
        <v/>
      </c>
      <c r="AP36" s="30">
        <f>IF(ISNUMBER(AN36),AN36*AL36,"")</f>
        <v/>
      </c>
      <c r="AQ36" s="30">
        <f>IF(ISNUMBER(AN36),AL36,0)</f>
        <v/>
      </c>
      <c r="AR36" s="24" t="n">
        <v>0.3788</v>
      </c>
      <c r="AS36" s="6" t="inlineStr">
        <is>
          <t>population</t>
        </is>
      </c>
      <c r="AT36" s="6" t="inlineStr">
        <is>
          <t>16-74</t>
        </is>
      </c>
      <c r="AU36" s="24" t="n">
        <v>1</v>
      </c>
      <c r="AV36" s="30">
        <f>H36*0.8+I36+J36+K36+L36+M36+N36+O36+P36+Q36+R36+S36</f>
        <v/>
      </c>
      <c r="AX36" s="30">
        <f>IF(ISNUMBER(AW36),AW36,AR36*AU36*AV36)</f>
        <v/>
      </c>
      <c r="AY36" s="34">
        <f>AX36/AV36</f>
        <v/>
      </c>
      <c r="AZ36" s="6" t="inlineStr">
        <is>
          <t>A</t>
        </is>
      </c>
      <c r="BA36" s="6" t="inlineStr">
        <is>
          <t>Yes</t>
        </is>
      </c>
      <c r="BB36" s="30">
        <f>IF(BA36="Yes",AX36,0)</f>
        <v/>
      </c>
      <c r="BC36" s="30">
        <f>IF(AND(BA36="Yes",ISNUMBER(AP36)),AP36,0)</f>
        <v/>
      </c>
      <c r="BD36" s="30">
        <f>IF(BA36="Yes",AX36,IF(ISNUMBER(AP36),AP36,0))</f>
        <v/>
      </c>
      <c r="BE36" s="6" t="inlineStr">
        <is>
          <t>Used generative AI tools in the last 3 months</t>
        </is>
      </c>
      <c r="BF36" s="6" t="inlineStr">
        <is>
          <t>2025 survey (Q2, most countries)</t>
        </is>
      </c>
      <c r="BG36" s="6" t="inlineStr">
        <is>
          <t>Eurostat: ICT usage in households and by individuals 2025, dataset isoc_ai_iaiu</t>
        </is>
      </c>
      <c r="BH36" s="6" t="inlineStr">
        <is>
          <t>https://ec.europa.eu/eurostat/databrowser/view/isoc_ai_iaiu/default/table</t>
        </is>
      </c>
    </row>
    <row r="37">
      <c r="A37" s="6" t="inlineStr">
        <is>
          <t>DZA</t>
        </is>
      </c>
      <c r="B37" s="6" t="inlineStr">
        <is>
          <t>Algeria</t>
        </is>
      </c>
      <c r="C37" s="6" t="inlineStr">
        <is>
          <t>Middle East, North Africa, Afghanistan &amp; Pakistan</t>
        </is>
      </c>
      <c r="D37" s="6" t="inlineStr">
        <is>
          <t>Upper middle income</t>
        </is>
      </c>
      <c r="E37" s="29" t="n">
        <v>4504566</v>
      </c>
      <c r="F37" s="29" t="n">
        <v>4994035</v>
      </c>
      <c r="G37" s="29" t="n">
        <v>4696653</v>
      </c>
      <c r="H37" s="29" t="n">
        <v>3846755</v>
      </c>
      <c r="I37" s="29" t="n">
        <v>2979691</v>
      </c>
      <c r="J37" s="29" t="n">
        <v>2943984</v>
      </c>
      <c r="K37" s="29" t="n">
        <v>3423690</v>
      </c>
      <c r="L37" s="29" t="n">
        <v>3683509</v>
      </c>
      <c r="M37" s="29" t="n">
        <v>3618094</v>
      </c>
      <c r="N37" s="29" t="n">
        <v>3098636</v>
      </c>
      <c r="O37" s="29" t="n">
        <v>2564975</v>
      </c>
      <c r="P37" s="29" t="n">
        <v>2162522</v>
      </c>
      <c r="Q37" s="29" t="n">
        <v>1689786</v>
      </c>
      <c r="R37" s="29" t="n">
        <v>1276939</v>
      </c>
      <c r="S37" s="29" t="n">
        <v>936960</v>
      </c>
      <c r="T37" s="29" t="n">
        <v>539772</v>
      </c>
      <c r="U37" s="29" t="n">
        <v>474743</v>
      </c>
      <c r="V37" s="29" t="n">
        <v>23248466</v>
      </c>
      <c r="W37" s="29" t="n">
        <v>24186844</v>
      </c>
      <c r="X37" s="30">
        <f>SUM(E37:G37)</f>
        <v/>
      </c>
      <c r="Y37" s="30">
        <f>SUM(H37:I37)</f>
        <v/>
      </c>
      <c r="Z37" s="30">
        <f>SUM(J37:K37)</f>
        <v/>
      </c>
      <c r="AA37" s="30">
        <f>SUM(L37:M37)</f>
        <v/>
      </c>
      <c r="AB37" s="30">
        <f>SUM(N37:O37)</f>
        <v/>
      </c>
      <c r="AC37" s="30">
        <f>SUM(P37:Q37)</f>
        <v/>
      </c>
      <c r="AD37" s="30">
        <f>SUM(R37:U37)</f>
        <v/>
      </c>
      <c r="AE37" s="31">
        <f>SUM(X37:AD37)</f>
        <v/>
      </c>
      <c r="AF37" s="32">
        <f>AE37/SUM($AE$5:$AE$222)</f>
        <v/>
      </c>
      <c r="AG37" s="10">
        <f>RANK(AE37,$AE$5:$AE$222)</f>
        <v/>
      </c>
      <c r="AH37" s="29" t="n">
        <v>46814308</v>
      </c>
      <c r="AI37" s="9">
        <f>IF(AH37&gt;0,AE37/AH37-1,"")</f>
        <v/>
      </c>
      <c r="AJ37" s="29" t="n">
        <v>6051</v>
      </c>
      <c r="AK37" s="19">
        <f>IF(SUM($E37:E37)&gt;=AE37/2,0+5*(AE37/2-0)/E37,IF(SUM($E37:F37)&gt;=AE37/2,5+5*(AE37/2-SUM($E37:E37))/F37,IF(SUM($E37:G37)&gt;=AE37/2,10+5*(AE37/2-SUM($E37:F37))/G37,IF(SUM($E37:H37)&gt;=AE37/2,15+5*(AE37/2-SUM($E37:G37))/H37,IF(SUM($E37:I37)&gt;=AE37/2,20+5*(AE37/2-SUM($E37:H37))/I37,IF(SUM($E37:J37)&gt;=AE37/2,25+5*(AE37/2-SUM($E37:I37))/J37,IF(SUM($E37:K37)&gt;=AE37/2,30+5*(AE37/2-SUM($E37:J37))/K37,IF(SUM($E37:L37)&gt;=AE37/2,35+5*(AE37/2-SUM($E37:K37))/L37,IF(SUM($E37:M37)&gt;=AE37/2,40+5*(AE37/2-SUM($E37:L37))/M37,IF(SUM($E37:N37)&gt;=AE37/2,45+5*(AE37/2-SUM($E37:M37))/N37,IF(SUM($E37:O37)&gt;=AE37/2,50+5*(AE37/2-SUM($E37:N37))/O37,IF(SUM($E37:P37)&gt;=AE37/2,55+5*(AE37/2-SUM($E37:O37))/P37,IF(SUM($E37:Q37)&gt;=AE37/2,60+5*(AE37/2-SUM($E37:P37))/Q37,IF(SUM($E37:R37)&gt;=AE37/2,65+5*(AE37/2-SUM($E37:Q37))/R37,IF(SUM($E37:S37)&gt;=AE37/2,70+5*(AE37/2-SUM($E37:R37))/S37,IF(SUM($E37:T37)&gt;=AE37/2,75+5*(AE37/2-SUM($E37:S37))/T37,""))))))))))))))))</f>
        <v/>
      </c>
      <c r="AL37" s="30">
        <f>SUM(H37:Q37)</f>
        <v/>
      </c>
      <c r="AM37" s="24" t="n">
        <v>0.113</v>
      </c>
      <c r="AN37" s="24" t="n">
        <v>0.138</v>
      </c>
      <c r="AO37" s="33">
        <f>IF(AND(ISNUMBER(AN37),ISNUMBER(AM37)),(AN37-AM37)*100,"")</f>
        <v/>
      </c>
      <c r="AP37" s="30">
        <f>IF(ISNUMBER(AN37),AN37*AL37,"")</f>
        <v/>
      </c>
      <c r="AQ37" s="30">
        <f>IF(ISNUMBER(AN37),AL37,0)</f>
        <v/>
      </c>
      <c r="BB37" s="30">
        <f>IF(BA37="Yes",AX37,0)</f>
        <v/>
      </c>
      <c r="BC37" s="30">
        <f>IF(AND(BA37="Yes",ISNUMBER(AP37)),AP37,0)</f>
        <v/>
      </c>
      <c r="BD37" s="30">
        <f>IF(BA37="Yes",AX37,IF(ISNUMBER(AP37),AP37,0))</f>
        <v/>
      </c>
    </row>
    <row r="38">
      <c r="A38" s="6" t="inlineStr">
        <is>
          <t>IRQ</t>
        </is>
      </c>
      <c r="B38" s="6" t="inlineStr">
        <is>
          <t>Iraq</t>
        </is>
      </c>
      <c r="C38" s="6" t="inlineStr">
        <is>
          <t>Middle East, North Africa, Afghanistan &amp; Pakistan</t>
        </is>
      </c>
      <c r="D38" s="6" t="inlineStr">
        <is>
          <t>Upper middle income</t>
        </is>
      </c>
      <c r="E38" s="29" t="n">
        <v>5665567</v>
      </c>
      <c r="F38" s="29" t="n">
        <v>5498309</v>
      </c>
      <c r="G38" s="29" t="n">
        <v>5776297</v>
      </c>
      <c r="H38" s="29" t="n">
        <v>4922879</v>
      </c>
      <c r="I38" s="29" t="n">
        <v>4323880</v>
      </c>
      <c r="J38" s="29" t="n">
        <v>3930974</v>
      </c>
      <c r="K38" s="29" t="n">
        <v>3485545</v>
      </c>
      <c r="L38" s="29" t="n">
        <v>2897055</v>
      </c>
      <c r="M38" s="29" t="n">
        <v>2473544</v>
      </c>
      <c r="N38" s="29" t="n">
        <v>2141560</v>
      </c>
      <c r="O38" s="29" t="n">
        <v>1819751</v>
      </c>
      <c r="P38" s="29" t="n">
        <v>1434408</v>
      </c>
      <c r="Q38" s="29" t="n">
        <v>1029170</v>
      </c>
      <c r="R38" s="29" t="n">
        <v>605100</v>
      </c>
      <c r="S38" s="29" t="n">
        <v>515690</v>
      </c>
      <c r="T38" s="29" t="n">
        <v>287710</v>
      </c>
      <c r="U38" s="29" t="n">
        <v>213334</v>
      </c>
      <c r="V38" s="29" t="n">
        <v>23407478</v>
      </c>
      <c r="W38" s="29" t="n">
        <v>23613295</v>
      </c>
      <c r="X38" s="30">
        <f>SUM(E38:G38)</f>
        <v/>
      </c>
      <c r="Y38" s="30">
        <f>SUM(H38:I38)</f>
        <v/>
      </c>
      <c r="Z38" s="30">
        <f>SUM(J38:K38)</f>
        <v/>
      </c>
      <c r="AA38" s="30">
        <f>SUM(L38:M38)</f>
        <v/>
      </c>
      <c r="AB38" s="30">
        <f>SUM(N38:O38)</f>
        <v/>
      </c>
      <c r="AC38" s="30">
        <f>SUM(P38:Q38)</f>
        <v/>
      </c>
      <c r="AD38" s="30">
        <f>SUM(R38:U38)</f>
        <v/>
      </c>
      <c r="AE38" s="31">
        <f>SUM(X38:AD38)</f>
        <v/>
      </c>
      <c r="AF38" s="32">
        <f>AE38/SUM($AE$5:$AE$222)</f>
        <v/>
      </c>
      <c r="AG38" s="10">
        <f>RANK(AE38,$AE$5:$AE$222)</f>
        <v/>
      </c>
      <c r="AH38" s="29" t="n">
        <v>46042015</v>
      </c>
      <c r="AI38" s="9">
        <f>IF(AH38&gt;0,AE38/AH38-1,"")</f>
        <v/>
      </c>
      <c r="AJ38" s="29" t="n">
        <v>5410</v>
      </c>
      <c r="AK38" s="19">
        <f>IF(SUM($E38:E38)&gt;=AE38/2,0+5*(AE38/2-0)/E38,IF(SUM($E38:F38)&gt;=AE38/2,5+5*(AE38/2-SUM($E38:E38))/F38,IF(SUM($E38:G38)&gt;=AE38/2,10+5*(AE38/2-SUM($E38:F38))/G38,IF(SUM($E38:H38)&gt;=AE38/2,15+5*(AE38/2-SUM($E38:G38))/H38,IF(SUM($E38:I38)&gt;=AE38/2,20+5*(AE38/2-SUM($E38:H38))/I38,IF(SUM($E38:J38)&gt;=AE38/2,25+5*(AE38/2-SUM($E38:I38))/J38,IF(SUM($E38:K38)&gt;=AE38/2,30+5*(AE38/2-SUM($E38:J38))/K38,IF(SUM($E38:L38)&gt;=AE38/2,35+5*(AE38/2-SUM($E38:K38))/L38,IF(SUM($E38:M38)&gt;=AE38/2,40+5*(AE38/2-SUM($E38:L38))/M38,IF(SUM($E38:N38)&gt;=AE38/2,45+5*(AE38/2-SUM($E38:M38))/N38,IF(SUM($E38:O38)&gt;=AE38/2,50+5*(AE38/2-SUM($E38:N38))/O38,IF(SUM($E38:P38)&gt;=AE38/2,55+5*(AE38/2-SUM($E38:O38))/P38,IF(SUM($E38:Q38)&gt;=AE38/2,60+5*(AE38/2-SUM($E38:P38))/Q38,IF(SUM($E38:R38)&gt;=AE38/2,65+5*(AE38/2-SUM($E38:Q38))/R38,IF(SUM($E38:S38)&gt;=AE38/2,70+5*(AE38/2-SUM($E38:R38))/S38,IF(SUM($E38:T38)&gt;=AE38/2,75+5*(AE38/2-SUM($E38:S38))/T38,""))))))))))))))))</f>
        <v/>
      </c>
      <c r="AL38" s="30">
        <f>SUM(H38:Q38)</f>
        <v/>
      </c>
      <c r="AM38" s="24" t="n">
        <v>0.103</v>
      </c>
      <c r="AN38" s="24" t="n">
        <v>0.13</v>
      </c>
      <c r="AO38" s="33">
        <f>IF(AND(ISNUMBER(AN38),ISNUMBER(AM38)),(AN38-AM38)*100,"")</f>
        <v/>
      </c>
      <c r="AP38" s="30">
        <f>IF(ISNUMBER(AN38),AN38*AL38,"")</f>
        <v/>
      </c>
      <c r="AQ38" s="30">
        <f>IF(ISNUMBER(AN38),AL38,0)</f>
        <v/>
      </c>
      <c r="BB38" s="30">
        <f>IF(BA38="Yes",AX38,0)</f>
        <v/>
      </c>
      <c r="BC38" s="30">
        <f>IF(AND(BA38="Yes",ISNUMBER(AP38)),AP38,0)</f>
        <v/>
      </c>
      <c r="BD38" s="30">
        <f>IF(BA38="Yes",AX38,IF(ISNUMBER(AP38),AP38,0))</f>
        <v/>
      </c>
    </row>
    <row r="39">
      <c r="A39" s="6" t="inlineStr">
        <is>
          <t>ARG</t>
        </is>
      </c>
      <c r="B39" s="6" t="inlineStr">
        <is>
          <t>Argentina</t>
        </is>
      </c>
      <c r="C39" s="6" t="inlineStr">
        <is>
          <t>Latin America &amp; Caribbean</t>
        </is>
      </c>
      <c r="D39" s="6" t="inlineStr">
        <is>
          <t>Upper middle income</t>
        </is>
      </c>
      <c r="E39" s="29" t="n">
        <v>2533046</v>
      </c>
      <c r="F39" s="29" t="n">
        <v>3372359</v>
      </c>
      <c r="G39" s="29" t="n">
        <v>3730590</v>
      </c>
      <c r="H39" s="29" t="n">
        <v>3594313</v>
      </c>
      <c r="I39" s="29" t="n">
        <v>3461523</v>
      </c>
      <c r="J39" s="29" t="n">
        <v>3478725</v>
      </c>
      <c r="K39" s="29" t="n">
        <v>3497007</v>
      </c>
      <c r="L39" s="29" t="n">
        <v>3298922</v>
      </c>
      <c r="M39" s="29" t="n">
        <v>3173595</v>
      </c>
      <c r="N39" s="29" t="n">
        <v>3046954</v>
      </c>
      <c r="O39" s="29" t="n">
        <v>2613956</v>
      </c>
      <c r="P39" s="29" t="n">
        <v>2219413</v>
      </c>
      <c r="Q39" s="29" t="n">
        <v>2037917</v>
      </c>
      <c r="R39" s="29" t="n">
        <v>1795009</v>
      </c>
      <c r="S39" s="29" t="n">
        <v>1493914</v>
      </c>
      <c r="T39" s="29" t="n">
        <v>1134280</v>
      </c>
      <c r="U39" s="29" t="n">
        <v>1369860</v>
      </c>
      <c r="V39" s="29" t="n">
        <v>23088162</v>
      </c>
      <c r="W39" s="29" t="n">
        <v>22763221</v>
      </c>
      <c r="X39" s="30">
        <f>SUM(E39:G39)</f>
        <v/>
      </c>
      <c r="Y39" s="30">
        <f>SUM(H39:I39)</f>
        <v/>
      </c>
      <c r="Z39" s="30">
        <f>SUM(J39:K39)</f>
        <v/>
      </c>
      <c r="AA39" s="30">
        <f>SUM(L39:M39)</f>
        <v/>
      </c>
      <c r="AB39" s="30">
        <f>SUM(N39:O39)</f>
        <v/>
      </c>
      <c r="AC39" s="30">
        <f>SUM(P39:Q39)</f>
        <v/>
      </c>
      <c r="AD39" s="30">
        <f>SUM(R39:U39)</f>
        <v/>
      </c>
      <c r="AE39" s="31">
        <f>SUM(X39:AD39)</f>
        <v/>
      </c>
      <c r="AF39" s="32">
        <f>AE39/SUM($AE$5:$AE$222)</f>
        <v/>
      </c>
      <c r="AG39" s="10">
        <f>RANK(AE39,$AE$5:$AE$222)</f>
        <v/>
      </c>
      <c r="AH39" s="29" t="n">
        <v>45696159</v>
      </c>
      <c r="AI39" s="9">
        <f>IF(AH39&gt;0,AE39/AH39-1,"")</f>
        <v/>
      </c>
      <c r="AJ39" s="29" t="n">
        <v>14898</v>
      </c>
      <c r="AK39" s="19">
        <f>IF(SUM($E39:E39)&gt;=AE39/2,0+5*(AE39/2-0)/E39,IF(SUM($E39:F39)&gt;=AE39/2,5+5*(AE39/2-SUM($E39:E39))/F39,IF(SUM($E39:G39)&gt;=AE39/2,10+5*(AE39/2-SUM($E39:F39))/G39,IF(SUM($E39:H39)&gt;=AE39/2,15+5*(AE39/2-SUM($E39:G39))/H39,IF(SUM($E39:I39)&gt;=AE39/2,20+5*(AE39/2-SUM($E39:H39))/I39,IF(SUM($E39:J39)&gt;=AE39/2,25+5*(AE39/2-SUM($E39:I39))/J39,IF(SUM($E39:K39)&gt;=AE39/2,30+5*(AE39/2-SUM($E39:J39))/K39,IF(SUM($E39:L39)&gt;=AE39/2,35+5*(AE39/2-SUM($E39:K39))/L39,IF(SUM($E39:M39)&gt;=AE39/2,40+5*(AE39/2-SUM($E39:L39))/M39,IF(SUM($E39:N39)&gt;=AE39/2,45+5*(AE39/2-SUM($E39:M39))/N39,IF(SUM($E39:O39)&gt;=AE39/2,50+5*(AE39/2-SUM($E39:N39))/O39,IF(SUM($E39:P39)&gt;=AE39/2,55+5*(AE39/2-SUM($E39:O39))/P39,IF(SUM($E39:Q39)&gt;=AE39/2,60+5*(AE39/2-SUM($E39:P39))/Q39,IF(SUM($E39:R39)&gt;=AE39/2,65+5*(AE39/2-SUM($E39:Q39))/R39,IF(SUM($E39:S39)&gt;=AE39/2,70+5*(AE39/2-SUM($E39:R39))/S39,IF(SUM($E39:T39)&gt;=AE39/2,75+5*(AE39/2-SUM($E39:S39))/T39,""))))))))))))))))</f>
        <v/>
      </c>
      <c r="AL39" s="30">
        <f>SUM(H39:Q39)</f>
        <v/>
      </c>
      <c r="AM39" s="24" t="n">
        <v>0.178</v>
      </c>
      <c r="AN39" s="24" t="n">
        <v>0.234</v>
      </c>
      <c r="AO39" s="33">
        <f>IF(AND(ISNUMBER(AN39),ISNUMBER(AM39)),(AN39-AM39)*100,"")</f>
        <v/>
      </c>
      <c r="AP39" s="30">
        <f>IF(ISNUMBER(AN39),AN39*AL39,"")</f>
        <v/>
      </c>
      <c r="AQ39" s="30">
        <f>IF(ISNUMBER(AN39),AL39,0)</f>
        <v/>
      </c>
      <c r="AR39" s="24" t="n">
        <v>0.455</v>
      </c>
      <c r="AS39" s="6" t="inlineStr">
        <is>
          <t>population</t>
        </is>
      </c>
      <c r="AT39" s="6" t="inlineStr">
        <is>
          <t>18+</t>
        </is>
      </c>
      <c r="AU39" s="24" t="n">
        <v>1</v>
      </c>
      <c r="AV39" s="30">
        <f>H39*0.4+I39+J39+K39+L39+M39+N39+O39+P39+Q39+R39+S39+T39+U39</f>
        <v/>
      </c>
      <c r="AX39" s="30">
        <f>IF(ISNUMBER(AW39),AW39,AR39*AU39*AV39)</f>
        <v/>
      </c>
      <c r="AY39" s="34">
        <f>AX39/AV39</f>
        <v/>
      </c>
      <c r="AZ39" s="6" t="inlineStr">
        <is>
          <t>C</t>
        </is>
      </c>
      <c r="BA39" s="6" t="inlineStr">
        <is>
          <t>No</t>
        </is>
      </c>
      <c r="BB39" s="30">
        <f>IF(BA39="Yes",AX39,0)</f>
        <v/>
      </c>
      <c r="BC39" s="30">
        <f>IF(AND(BA39="Yes",ISNUMBER(AP39)),AP39,0)</f>
        <v/>
      </c>
      <c r="BD39" s="30">
        <f>IF(BA39="Yes",AX39,IF(ISNUMBER(AP39),AP39,0))</f>
        <v/>
      </c>
      <c r="BE39" s="6" t="inlineStr">
        <is>
          <t>Use generative AI for personal purposes</t>
        </is>
      </c>
      <c r="BF39" s="6" t="inlineStr">
        <is>
          <t>August-September 2025 (online quota panel, n=1,589)</t>
        </is>
      </c>
      <c r="BG39" s="6" t="inlineStr">
        <is>
          <t>Universidad Torcuato Di Tella (CEPE) and Fundar: National survey on AI adoption in Argentina, individuals 2025</t>
        </is>
      </c>
      <c r="BH39" s="6" t="inlineStr">
        <is>
          <t>https://repositorio.utdt.edu/bitstreams/f39a5ac4-7525-4f1c-9cb5-6808e6f5132f/download</t>
        </is>
      </c>
    </row>
    <row r="40">
      <c r="A40" s="6" t="inlineStr">
        <is>
          <t>AFG</t>
        </is>
      </c>
      <c r="B40" s="6" t="inlineStr">
        <is>
          <t>Afghanistan</t>
        </is>
      </c>
      <c r="C40" s="6" t="inlineStr">
        <is>
          <t>Middle East, North Africa, Afghanistan &amp; Pakistan</t>
        </is>
      </c>
      <c r="D40" s="6" t="inlineStr">
        <is>
          <t>Low income</t>
        </is>
      </c>
      <c r="E40" s="29" t="n">
        <v>6897832</v>
      </c>
      <c r="F40" s="29" t="n">
        <v>6208588</v>
      </c>
      <c r="G40" s="29" t="n">
        <v>5554037</v>
      </c>
      <c r="H40" s="29" t="n">
        <v>4871788</v>
      </c>
      <c r="I40" s="29" t="n">
        <v>4352667</v>
      </c>
      <c r="J40" s="29" t="n">
        <v>3722308</v>
      </c>
      <c r="K40" s="29" t="n">
        <v>2977387</v>
      </c>
      <c r="L40" s="29" t="n">
        <v>2271557</v>
      </c>
      <c r="M40" s="29" t="n">
        <v>1762725</v>
      </c>
      <c r="N40" s="29" t="n">
        <v>1457561</v>
      </c>
      <c r="O40" s="29" t="n">
        <v>1167534</v>
      </c>
      <c r="P40" s="29" t="n">
        <v>888607</v>
      </c>
      <c r="Q40" s="29" t="n">
        <v>648043</v>
      </c>
      <c r="R40" s="29" t="n">
        <v>458857</v>
      </c>
      <c r="S40" s="29" t="n">
        <v>301567</v>
      </c>
      <c r="T40" s="29" t="n">
        <v>183271</v>
      </c>
      <c r="U40" s="29" t="n">
        <v>119777</v>
      </c>
      <c r="V40" s="29" t="n">
        <v>21701531</v>
      </c>
      <c r="W40" s="29" t="n">
        <v>22142575</v>
      </c>
      <c r="X40" s="30">
        <f>SUM(E40:G40)</f>
        <v/>
      </c>
      <c r="Y40" s="30">
        <f>SUM(H40:I40)</f>
        <v/>
      </c>
      <c r="Z40" s="30">
        <f>SUM(J40:K40)</f>
        <v/>
      </c>
      <c r="AA40" s="30">
        <f>SUM(L40:M40)</f>
        <v/>
      </c>
      <c r="AB40" s="30">
        <f>SUM(N40:O40)</f>
        <v/>
      </c>
      <c r="AC40" s="30">
        <f>SUM(P40:Q40)</f>
        <v/>
      </c>
      <c r="AD40" s="30">
        <f>SUM(R40:U40)</f>
        <v/>
      </c>
      <c r="AE40" s="31">
        <f>SUM(X40:AD40)</f>
        <v/>
      </c>
      <c r="AF40" s="32">
        <f>AE40/SUM($AE$5:$AE$222)</f>
        <v/>
      </c>
      <c r="AG40" s="10">
        <f>RANK(AE40,$AE$5:$AE$222)</f>
        <v/>
      </c>
      <c r="AH40" s="29" t="n">
        <v>42647492</v>
      </c>
      <c r="AI40" s="9">
        <f>IF(AH40&gt;0,AE40/AH40-1,"")</f>
        <v/>
      </c>
      <c r="AJ40" s="29" t="n">
        <v>417</v>
      </c>
      <c r="AK40" s="19">
        <f>IF(SUM($E40:E40)&gt;=AE40/2,0+5*(AE40/2-0)/E40,IF(SUM($E40:F40)&gt;=AE40/2,5+5*(AE40/2-SUM($E40:E40))/F40,IF(SUM($E40:G40)&gt;=AE40/2,10+5*(AE40/2-SUM($E40:F40))/G40,IF(SUM($E40:H40)&gt;=AE40/2,15+5*(AE40/2-SUM($E40:G40))/H40,IF(SUM($E40:I40)&gt;=AE40/2,20+5*(AE40/2-SUM($E40:H40))/I40,IF(SUM($E40:J40)&gt;=AE40/2,25+5*(AE40/2-SUM($E40:I40))/J40,IF(SUM($E40:K40)&gt;=AE40/2,30+5*(AE40/2-SUM($E40:J40))/K40,IF(SUM($E40:L40)&gt;=AE40/2,35+5*(AE40/2-SUM($E40:K40))/L40,IF(SUM($E40:M40)&gt;=AE40/2,40+5*(AE40/2-SUM($E40:L40))/M40,IF(SUM($E40:N40)&gt;=AE40/2,45+5*(AE40/2-SUM($E40:M40))/N40,IF(SUM($E40:O40)&gt;=AE40/2,50+5*(AE40/2-SUM($E40:N40))/O40,IF(SUM($E40:P40)&gt;=AE40/2,55+5*(AE40/2-SUM($E40:O40))/P40,IF(SUM($E40:Q40)&gt;=AE40/2,60+5*(AE40/2-SUM($E40:P40))/Q40,IF(SUM($E40:R40)&gt;=AE40/2,65+5*(AE40/2-SUM($E40:Q40))/R40,IF(SUM($E40:S40)&gt;=AE40/2,70+5*(AE40/2-SUM($E40:R40))/S40,IF(SUM($E40:T40)&gt;=AE40/2,75+5*(AE40/2-SUM($E40:S40))/T40,""))))))))))))))))</f>
        <v/>
      </c>
      <c r="AL40" s="30">
        <f>SUM(H40:Q40)</f>
        <v/>
      </c>
      <c r="AM40" s="24" t="n">
        <v>0.051</v>
      </c>
      <c r="AN40" s="24" t="n">
        <v>0.063</v>
      </c>
      <c r="AO40" s="33">
        <f>IF(AND(ISNUMBER(AN40),ISNUMBER(AM40)),(AN40-AM40)*100,"")</f>
        <v/>
      </c>
      <c r="AP40" s="30">
        <f>IF(ISNUMBER(AN40),AN40*AL40,"")</f>
        <v/>
      </c>
      <c r="AQ40" s="30">
        <f>IF(ISNUMBER(AN40),AL40,0)</f>
        <v/>
      </c>
      <c r="BB40" s="30">
        <f>IF(BA40="Yes",AX40,0)</f>
        <v/>
      </c>
      <c r="BC40" s="30">
        <f>IF(AND(BA40="Yes",ISNUMBER(AP40)),AP40,0)</f>
        <v/>
      </c>
      <c r="BD40" s="30">
        <f>IF(BA40="Yes",AX40,IF(ISNUMBER(AP40),AP40,0))</f>
        <v/>
      </c>
    </row>
    <row r="41">
      <c r="A41" s="6" t="inlineStr">
        <is>
          <t>YEM</t>
        </is>
      </c>
      <c r="B41" s="6" t="inlineStr">
        <is>
          <t>Yemen, Rep.</t>
        </is>
      </c>
      <c r="C41" s="6" t="inlineStr">
        <is>
          <t>Middle East, North Africa, Afghanistan &amp; Pakistan</t>
        </is>
      </c>
      <c r="D41" s="6" t="inlineStr">
        <is>
          <t>Low income</t>
        </is>
      </c>
      <c r="E41" s="29" t="n">
        <v>6564296</v>
      </c>
      <c r="F41" s="29" t="n">
        <v>5750081</v>
      </c>
      <c r="G41" s="29" t="n">
        <v>4821436</v>
      </c>
      <c r="H41" s="29" t="n">
        <v>4274298</v>
      </c>
      <c r="I41" s="29" t="n">
        <v>3744761</v>
      </c>
      <c r="J41" s="29" t="n">
        <v>3315074</v>
      </c>
      <c r="K41" s="29" t="n">
        <v>3116806</v>
      </c>
      <c r="L41" s="29" t="n">
        <v>2668648</v>
      </c>
      <c r="M41" s="29" t="n">
        <v>2127267</v>
      </c>
      <c r="N41" s="29" t="n">
        <v>1592904</v>
      </c>
      <c r="O41" s="29" t="n">
        <v>1193704</v>
      </c>
      <c r="P41" s="29" t="n">
        <v>898221</v>
      </c>
      <c r="Q41" s="29" t="n">
        <v>643093</v>
      </c>
      <c r="R41" s="29" t="n">
        <v>441729</v>
      </c>
      <c r="S41" s="29" t="n">
        <v>282722</v>
      </c>
      <c r="T41" s="29" t="n">
        <v>190740</v>
      </c>
      <c r="U41" s="29" t="n">
        <v>148100</v>
      </c>
      <c r="V41" s="29" t="n">
        <v>20608779</v>
      </c>
      <c r="W41" s="29" t="n">
        <v>21165101</v>
      </c>
      <c r="X41" s="30">
        <f>SUM(E41:G41)</f>
        <v/>
      </c>
      <c r="Y41" s="30">
        <f>SUM(H41:I41)</f>
        <v/>
      </c>
      <c r="Z41" s="30">
        <f>SUM(J41:K41)</f>
        <v/>
      </c>
      <c r="AA41" s="30">
        <f>SUM(L41:M41)</f>
        <v/>
      </c>
      <c r="AB41" s="30">
        <f>SUM(N41:O41)</f>
        <v/>
      </c>
      <c r="AC41" s="30">
        <f>SUM(P41:Q41)</f>
        <v/>
      </c>
      <c r="AD41" s="30">
        <f>SUM(R41:U41)</f>
        <v/>
      </c>
      <c r="AE41" s="31">
        <f>SUM(X41:AD41)</f>
        <v/>
      </c>
      <c r="AF41" s="32">
        <f>AE41/SUM($AE$5:$AE$222)</f>
        <v/>
      </c>
      <c r="AG41" s="10">
        <f>RANK(AE41,$AE$5:$AE$222)</f>
        <v/>
      </c>
      <c r="AH41" s="29" t="n">
        <v>40583164</v>
      </c>
      <c r="AI41" s="9">
        <f>IF(AH41&gt;0,AE41/AH41-1,"")</f>
        <v/>
      </c>
      <c r="AJ41" s="35" t="n"/>
      <c r="AK41" s="19">
        <f>IF(SUM($E41:E41)&gt;=AE41/2,0+5*(AE41/2-0)/E41,IF(SUM($E41:F41)&gt;=AE41/2,5+5*(AE41/2-SUM($E41:E41))/F41,IF(SUM($E41:G41)&gt;=AE41/2,10+5*(AE41/2-SUM($E41:F41))/G41,IF(SUM($E41:H41)&gt;=AE41/2,15+5*(AE41/2-SUM($E41:G41))/H41,IF(SUM($E41:I41)&gt;=AE41/2,20+5*(AE41/2-SUM($E41:H41))/I41,IF(SUM($E41:J41)&gt;=AE41/2,25+5*(AE41/2-SUM($E41:I41))/J41,IF(SUM($E41:K41)&gt;=AE41/2,30+5*(AE41/2-SUM($E41:J41))/K41,IF(SUM($E41:L41)&gt;=AE41/2,35+5*(AE41/2-SUM($E41:K41))/L41,IF(SUM($E41:M41)&gt;=AE41/2,40+5*(AE41/2-SUM($E41:L41))/M41,IF(SUM($E41:N41)&gt;=AE41/2,45+5*(AE41/2-SUM($E41:M41))/N41,IF(SUM($E41:O41)&gt;=AE41/2,50+5*(AE41/2-SUM($E41:N41))/O41,IF(SUM($E41:P41)&gt;=AE41/2,55+5*(AE41/2-SUM($E41:O41))/P41,IF(SUM($E41:Q41)&gt;=AE41/2,60+5*(AE41/2-SUM($E41:P41))/Q41,IF(SUM($E41:R41)&gt;=AE41/2,65+5*(AE41/2-SUM($E41:Q41))/R41,IF(SUM($E41:S41)&gt;=AE41/2,70+5*(AE41/2-SUM($E41:R41))/S41,IF(SUM($E41:T41)&gt;=AE41/2,75+5*(AE41/2-SUM($E41:S41))/T41,""))))))))))))))))</f>
        <v/>
      </c>
      <c r="AL41" s="30">
        <f>SUM(H41:Q41)</f>
        <v/>
      </c>
      <c r="AM41" s="36" t="n"/>
      <c r="AN41" s="36" t="n"/>
      <c r="AO41" s="33">
        <f>IF(AND(ISNUMBER(AN41),ISNUMBER(AM41)),(AN41-AM41)*100,"")</f>
        <v/>
      </c>
      <c r="AP41" s="30">
        <f>IF(ISNUMBER(AN41),AN41*AL41,"")</f>
        <v/>
      </c>
      <c r="AQ41" s="30">
        <f>IF(ISNUMBER(AN41),AL41,0)</f>
        <v/>
      </c>
      <c r="BB41" s="30">
        <f>IF(BA41="Yes",AX41,0)</f>
        <v/>
      </c>
      <c r="BC41" s="30">
        <f>IF(AND(BA41="Yes",ISNUMBER(AP41)),AP41,0)</f>
        <v/>
      </c>
      <c r="BD41" s="30">
        <f>IF(BA41="Yes",AX41,IF(ISNUMBER(AP41),AP41,0))</f>
        <v/>
      </c>
    </row>
    <row r="42">
      <c r="A42" s="6" t="inlineStr">
        <is>
          <t>CAN</t>
        </is>
      </c>
      <c r="B42" s="6" t="inlineStr">
        <is>
          <t>Canada</t>
        </is>
      </c>
      <c r="C42" s="6" t="inlineStr">
        <is>
          <t>North America</t>
        </is>
      </c>
      <c r="D42" s="6" t="inlineStr">
        <is>
          <t>High income</t>
        </is>
      </c>
      <c r="E42" s="29" t="n">
        <v>1963749</v>
      </c>
      <c r="F42" s="29" t="n">
        <v>2086061</v>
      </c>
      <c r="G42" s="29" t="n">
        <v>2189735</v>
      </c>
      <c r="H42" s="29" t="n">
        <v>2287204</v>
      </c>
      <c r="I42" s="29" t="n">
        <v>2521453</v>
      </c>
      <c r="J42" s="29" t="n">
        <v>2900567</v>
      </c>
      <c r="K42" s="29" t="n">
        <v>2992574</v>
      </c>
      <c r="L42" s="29" t="n">
        <v>2934441</v>
      </c>
      <c r="M42" s="29" t="n">
        <v>2839309</v>
      </c>
      <c r="N42" s="29" t="n">
        <v>2626050</v>
      </c>
      <c r="O42" s="29" t="n">
        <v>2514433</v>
      </c>
      <c r="P42" s="29" t="n">
        <v>2558654</v>
      </c>
      <c r="Q42" s="29" t="n">
        <v>2798643</v>
      </c>
      <c r="R42" s="29" t="n">
        <v>2565504</v>
      </c>
      <c r="S42" s="29" t="n">
        <v>2125858</v>
      </c>
      <c r="T42" s="29" t="n">
        <v>1669597</v>
      </c>
      <c r="U42" s="29" t="n">
        <v>2077820</v>
      </c>
      <c r="V42" s="29" t="n">
        <v>20970240</v>
      </c>
      <c r="W42" s="29" t="n">
        <v>20681412</v>
      </c>
      <c r="X42" s="30">
        <f>SUM(E42:G42)</f>
        <v/>
      </c>
      <c r="Y42" s="30">
        <f>SUM(H42:I42)</f>
        <v/>
      </c>
      <c r="Z42" s="30">
        <f>SUM(J42:K42)</f>
        <v/>
      </c>
      <c r="AA42" s="30">
        <f>SUM(L42:M42)</f>
        <v/>
      </c>
      <c r="AB42" s="30">
        <f>SUM(N42:O42)</f>
        <v/>
      </c>
      <c r="AC42" s="30">
        <f>SUM(P42:Q42)</f>
        <v/>
      </c>
      <c r="AD42" s="30">
        <f>SUM(R42:U42)</f>
        <v/>
      </c>
      <c r="AE42" s="31">
        <f>SUM(X42:AD42)</f>
        <v/>
      </c>
      <c r="AF42" s="32">
        <f>AE42/SUM($AE$5:$AE$222)</f>
        <v/>
      </c>
      <c r="AG42" s="10">
        <f>RANK(AE42,$AE$5:$AE$222)</f>
        <v/>
      </c>
      <c r="AH42" s="29" t="n">
        <v>41262329</v>
      </c>
      <c r="AI42" s="9">
        <f>IF(AH42&gt;0,AE42/AH42-1,"")</f>
        <v/>
      </c>
      <c r="AJ42" s="29" t="n">
        <v>55698</v>
      </c>
      <c r="AK42" s="19">
        <f>IF(SUM($E42:E42)&gt;=AE42/2,0+5*(AE42/2-0)/E42,IF(SUM($E42:F42)&gt;=AE42/2,5+5*(AE42/2-SUM($E42:E42))/F42,IF(SUM($E42:G42)&gt;=AE42/2,10+5*(AE42/2-SUM($E42:F42))/G42,IF(SUM($E42:H42)&gt;=AE42/2,15+5*(AE42/2-SUM($E42:G42))/H42,IF(SUM($E42:I42)&gt;=AE42/2,20+5*(AE42/2-SUM($E42:H42))/I42,IF(SUM($E42:J42)&gt;=AE42/2,25+5*(AE42/2-SUM($E42:I42))/J42,IF(SUM($E42:K42)&gt;=AE42/2,30+5*(AE42/2-SUM($E42:J42))/K42,IF(SUM($E42:L42)&gt;=AE42/2,35+5*(AE42/2-SUM($E42:K42))/L42,IF(SUM($E42:M42)&gt;=AE42/2,40+5*(AE42/2-SUM($E42:L42))/M42,IF(SUM($E42:N42)&gt;=AE42/2,45+5*(AE42/2-SUM($E42:M42))/N42,IF(SUM($E42:O42)&gt;=AE42/2,50+5*(AE42/2-SUM($E42:N42))/O42,IF(SUM($E42:P42)&gt;=AE42/2,55+5*(AE42/2-SUM($E42:O42))/P42,IF(SUM($E42:Q42)&gt;=AE42/2,60+5*(AE42/2-SUM($E42:P42))/Q42,IF(SUM($E42:R42)&gt;=AE42/2,65+5*(AE42/2-SUM($E42:Q42))/R42,IF(SUM($E42:S42)&gt;=AE42/2,70+5*(AE42/2-SUM($E42:R42))/S42,IF(SUM($E42:T42)&gt;=AE42/2,75+5*(AE42/2-SUM($E42:S42))/T42,""))))))))))))))))</f>
        <v/>
      </c>
      <c r="AL42" s="30">
        <f>SUM(H42:Q42)</f>
        <v/>
      </c>
      <c r="AM42" s="24" t="n">
        <v>0.335</v>
      </c>
      <c r="AN42" s="24" t="n">
        <v>0.385</v>
      </c>
      <c r="AO42" s="33">
        <f>IF(AND(ISNUMBER(AN42),ISNUMBER(AM42)),(AN42-AM42)*100,"")</f>
        <v/>
      </c>
      <c r="AP42" s="30">
        <f>IF(ISNUMBER(AN42),AN42*AL42,"")</f>
        <v/>
      </c>
      <c r="AQ42" s="30">
        <f>IF(ISNUMBER(AN42),AL42,0)</f>
        <v/>
      </c>
      <c r="AR42" s="24" t="n">
        <v>0.66</v>
      </c>
      <c r="AS42" s="6" t="inlineStr">
        <is>
          <t>population</t>
        </is>
      </c>
      <c r="AT42" s="6" t="inlineStr">
        <is>
          <t>18+</t>
        </is>
      </c>
      <c r="AU42" s="24" t="n">
        <v>1</v>
      </c>
      <c r="AV42" s="30">
        <f>H42*0.4+I42+J42+K42+L42+M42+N42+O42+P42+Q42+R42+S42+T42+U42</f>
        <v/>
      </c>
      <c r="AX42" s="30">
        <f>IF(ISNUMBER(AW42),AW42,AR42*AU42*AV42)</f>
        <v/>
      </c>
      <c r="AY42" s="34">
        <f>AX42/AV42</f>
        <v/>
      </c>
      <c r="AZ42" s="6" t="inlineStr">
        <is>
          <t>B</t>
        </is>
      </c>
      <c r="BA42" s="6" t="inlineStr">
        <is>
          <t>Yes</t>
        </is>
      </c>
      <c r="BB42" s="30">
        <f>IF(BA42="Yes",AX42,0)</f>
        <v/>
      </c>
      <c r="BC42" s="30">
        <f>IF(AND(BA42="Yes",ISNUMBER(AP42)),AP42,0)</f>
        <v/>
      </c>
      <c r="BD42" s="30">
        <f>IF(BA42="Yes",AX42,IF(ISNUMBER(AP42),AP42,0))</f>
        <v/>
      </c>
      <c r="BE42" s="6" t="inlineStr">
        <is>
          <t>Have tried a generative AI tool</t>
        </is>
      </c>
      <c r="BF42" s="6" t="inlineStr">
        <is>
          <t>19 February - 1 March 2025 (census-balanced online survey, n=1,500)</t>
        </is>
      </c>
      <c r="BG42" s="6" t="inlineStr">
        <is>
          <t>Toronto Metropolitan University Social Media Lab: The State of Generative AI Use in Canada 2025</t>
        </is>
      </c>
      <c r="BH42" s="6" t="inlineStr">
        <is>
          <t>https://socialmedialab.ca/2025/04/08/new-report-the-state-of-generative-ai-use-in-canada-2025-exploring-public-attitudes-and-adoption-trends/</t>
        </is>
      </c>
    </row>
    <row r="43">
      <c r="A43" s="6" t="inlineStr">
        <is>
          <t>AGO</t>
        </is>
      </c>
      <c r="B43" s="6" t="inlineStr">
        <is>
          <t>Angola</t>
        </is>
      </c>
      <c r="C43" s="6" t="inlineStr">
        <is>
          <t>Sub-Saharan Africa</t>
        </is>
      </c>
      <c r="D43" s="6" t="inlineStr">
        <is>
          <t>Lower middle income</t>
        </is>
      </c>
      <c r="E43" s="29" t="n">
        <v>6476089</v>
      </c>
      <c r="F43" s="29" t="n">
        <v>5729329</v>
      </c>
      <c r="G43" s="29" t="n">
        <v>5010649</v>
      </c>
      <c r="H43" s="29" t="n">
        <v>4183623</v>
      </c>
      <c r="I43" s="29" t="n">
        <v>3368693</v>
      </c>
      <c r="J43" s="29" t="n">
        <v>2773412</v>
      </c>
      <c r="K43" s="29" t="n">
        <v>2426162</v>
      </c>
      <c r="L43" s="29" t="n">
        <v>2105575</v>
      </c>
      <c r="M43" s="29" t="n">
        <v>1733618</v>
      </c>
      <c r="N43" s="29" t="n">
        <v>1387117</v>
      </c>
      <c r="O43" s="29" t="n">
        <v>1108715</v>
      </c>
      <c r="P43" s="29" t="n">
        <v>902773</v>
      </c>
      <c r="Q43" s="29" t="n">
        <v>704109</v>
      </c>
      <c r="R43" s="29" t="n">
        <v>502935</v>
      </c>
      <c r="S43" s="29" t="n">
        <v>313682</v>
      </c>
      <c r="T43" s="29" t="n">
        <v>180681</v>
      </c>
      <c r="U43" s="29" t="n">
        <v>132882</v>
      </c>
      <c r="V43" s="29" t="n">
        <v>19717793</v>
      </c>
      <c r="W43" s="29" t="n">
        <v>19322251</v>
      </c>
      <c r="X43" s="30">
        <f>SUM(E43:G43)</f>
        <v/>
      </c>
      <c r="Y43" s="30">
        <f>SUM(H43:I43)</f>
        <v/>
      </c>
      <c r="Z43" s="30">
        <f>SUM(J43:K43)</f>
        <v/>
      </c>
      <c r="AA43" s="30">
        <f>SUM(L43:M43)</f>
        <v/>
      </c>
      <c r="AB43" s="30">
        <f>SUM(N43:O43)</f>
        <v/>
      </c>
      <c r="AC43" s="30">
        <f>SUM(P43:Q43)</f>
        <v/>
      </c>
      <c r="AD43" s="30">
        <f>SUM(R43:U43)</f>
        <v/>
      </c>
      <c r="AE43" s="31">
        <f>SUM(X43:AD43)</f>
        <v/>
      </c>
      <c r="AF43" s="32">
        <f>AE43/SUM($AE$5:$AE$222)</f>
        <v/>
      </c>
      <c r="AG43" s="10">
        <f>RANK(AE43,$AE$5:$AE$222)</f>
        <v/>
      </c>
      <c r="AH43" s="29" t="n">
        <v>37885849</v>
      </c>
      <c r="AI43" s="9">
        <f>IF(AH43&gt;0,AE43/AH43-1,"")</f>
        <v/>
      </c>
      <c r="AJ43" s="29" t="n">
        <v>3129</v>
      </c>
      <c r="AK43" s="19">
        <f>IF(SUM($E43:E43)&gt;=AE43/2,0+5*(AE43/2-0)/E43,IF(SUM($E43:F43)&gt;=AE43/2,5+5*(AE43/2-SUM($E43:E43))/F43,IF(SUM($E43:G43)&gt;=AE43/2,10+5*(AE43/2-SUM($E43:F43))/G43,IF(SUM($E43:H43)&gt;=AE43/2,15+5*(AE43/2-SUM($E43:G43))/H43,IF(SUM($E43:I43)&gt;=AE43/2,20+5*(AE43/2-SUM($E43:H43))/I43,IF(SUM($E43:J43)&gt;=AE43/2,25+5*(AE43/2-SUM($E43:I43))/J43,IF(SUM($E43:K43)&gt;=AE43/2,30+5*(AE43/2-SUM($E43:J43))/K43,IF(SUM($E43:L43)&gt;=AE43/2,35+5*(AE43/2-SUM($E43:K43))/L43,IF(SUM($E43:M43)&gt;=AE43/2,40+5*(AE43/2-SUM($E43:L43))/M43,IF(SUM($E43:N43)&gt;=AE43/2,45+5*(AE43/2-SUM($E43:M43))/N43,IF(SUM($E43:O43)&gt;=AE43/2,50+5*(AE43/2-SUM($E43:N43))/O43,IF(SUM($E43:P43)&gt;=AE43/2,55+5*(AE43/2-SUM($E43:O43))/P43,IF(SUM($E43:Q43)&gt;=AE43/2,60+5*(AE43/2-SUM($E43:P43))/Q43,IF(SUM($E43:R43)&gt;=AE43/2,65+5*(AE43/2-SUM($E43:Q43))/R43,IF(SUM($E43:S43)&gt;=AE43/2,70+5*(AE43/2-SUM($E43:R43))/S43,IF(SUM($E43:T43)&gt;=AE43/2,75+5*(AE43/2-SUM($E43:S43))/T43,""))))))))))))))))</f>
        <v/>
      </c>
      <c r="AL43" s="30">
        <f>SUM(H43:Q43)</f>
        <v/>
      </c>
      <c r="AM43" s="24" t="n">
        <v>0.08900000000000001</v>
      </c>
      <c r="AN43" s="24" t="n">
        <v>0.114</v>
      </c>
      <c r="AO43" s="33">
        <f>IF(AND(ISNUMBER(AN43),ISNUMBER(AM43)),(AN43-AM43)*100,"")</f>
        <v/>
      </c>
      <c r="AP43" s="30">
        <f>IF(ISNUMBER(AN43),AN43*AL43,"")</f>
        <v/>
      </c>
      <c r="AQ43" s="30">
        <f>IF(ISNUMBER(AN43),AL43,0)</f>
        <v/>
      </c>
      <c r="BB43" s="30">
        <f>IF(BA43="Yes",AX43,0)</f>
        <v/>
      </c>
      <c r="BC43" s="30">
        <f>IF(AND(BA43="Yes",ISNUMBER(AP43)),AP43,0)</f>
        <v/>
      </c>
      <c r="BD43" s="30">
        <f>IF(BA43="Yes",AX43,IF(ISNUMBER(AP43),AP43,0))</f>
        <v/>
      </c>
    </row>
    <row r="44">
      <c r="A44" s="6" t="inlineStr">
        <is>
          <t>UKR</t>
        </is>
      </c>
      <c r="B44" s="6" t="inlineStr">
        <is>
          <t>Ukraine</t>
        </is>
      </c>
      <c r="C44" s="6" t="inlineStr">
        <is>
          <t>Europe &amp; Central Asia</t>
        </is>
      </c>
      <c r="D44" s="6" t="inlineStr">
        <is>
          <t>Upper middle income</t>
        </is>
      </c>
      <c r="E44" s="29" t="n">
        <v>1317340</v>
      </c>
      <c r="F44" s="29" t="n">
        <v>1787047</v>
      </c>
      <c r="G44" s="29" t="n">
        <v>2233736</v>
      </c>
      <c r="H44" s="29" t="n">
        <v>2203974</v>
      </c>
      <c r="I44" s="29" t="n">
        <v>1977443</v>
      </c>
      <c r="J44" s="29" t="n">
        <v>2147793</v>
      </c>
      <c r="K44" s="29" t="n">
        <v>2648294</v>
      </c>
      <c r="L44" s="29" t="n">
        <v>3332328</v>
      </c>
      <c r="M44" s="29" t="n">
        <v>3218442</v>
      </c>
      <c r="N44" s="29" t="n">
        <v>2827803</v>
      </c>
      <c r="O44" s="29" t="n">
        <v>2540040</v>
      </c>
      <c r="P44" s="29" t="n">
        <v>2595849</v>
      </c>
      <c r="Q44" s="29" t="n">
        <v>2755030</v>
      </c>
      <c r="R44" s="29" t="n">
        <v>2497546</v>
      </c>
      <c r="S44" s="29" t="n">
        <v>1929597</v>
      </c>
      <c r="T44" s="29" t="n">
        <v>1251788</v>
      </c>
      <c r="U44" s="29" t="n">
        <v>1716323</v>
      </c>
      <c r="V44" s="29" t="n">
        <v>20842860</v>
      </c>
      <c r="W44" s="29" t="n">
        <v>18137513</v>
      </c>
      <c r="X44" s="30">
        <f>SUM(E44:G44)</f>
        <v/>
      </c>
      <c r="Y44" s="30">
        <f>SUM(H44:I44)</f>
        <v/>
      </c>
      <c r="Z44" s="30">
        <f>SUM(J44:K44)</f>
        <v/>
      </c>
      <c r="AA44" s="30">
        <f>SUM(L44:M44)</f>
        <v/>
      </c>
      <c r="AB44" s="30">
        <f>SUM(N44:O44)</f>
        <v/>
      </c>
      <c r="AC44" s="30">
        <f>SUM(P44:Q44)</f>
        <v/>
      </c>
      <c r="AD44" s="30">
        <f>SUM(R44:U44)</f>
        <v/>
      </c>
      <c r="AE44" s="31">
        <f>SUM(X44:AD44)</f>
        <v/>
      </c>
      <c r="AF44" s="32">
        <f>AE44/SUM($AE$5:$AE$222)</f>
        <v/>
      </c>
      <c r="AG44" s="10">
        <f>RANK(AE44,$AE$5:$AE$222)</f>
        <v/>
      </c>
      <c r="AH44" s="29" t="n">
        <v>37860221</v>
      </c>
      <c r="AI44" s="9">
        <f>IF(AH44&gt;0,AE44/AH44-1,"")</f>
        <v/>
      </c>
      <c r="AJ44" s="29" t="n">
        <v>5866</v>
      </c>
      <c r="AK44" s="19">
        <f>IF(SUM($E44:E44)&gt;=AE44/2,0+5*(AE44/2-0)/E44,IF(SUM($E44:F44)&gt;=AE44/2,5+5*(AE44/2-SUM($E44:E44))/F44,IF(SUM($E44:G44)&gt;=AE44/2,10+5*(AE44/2-SUM($E44:F44))/G44,IF(SUM($E44:H44)&gt;=AE44/2,15+5*(AE44/2-SUM($E44:G44))/H44,IF(SUM($E44:I44)&gt;=AE44/2,20+5*(AE44/2-SUM($E44:H44))/I44,IF(SUM($E44:J44)&gt;=AE44/2,25+5*(AE44/2-SUM($E44:I44))/J44,IF(SUM($E44:K44)&gt;=AE44/2,30+5*(AE44/2-SUM($E44:J44))/K44,IF(SUM($E44:L44)&gt;=AE44/2,35+5*(AE44/2-SUM($E44:K44))/L44,IF(SUM($E44:M44)&gt;=AE44/2,40+5*(AE44/2-SUM($E44:L44))/M44,IF(SUM($E44:N44)&gt;=AE44/2,45+5*(AE44/2-SUM($E44:M44))/N44,IF(SUM($E44:O44)&gt;=AE44/2,50+5*(AE44/2-SUM($E44:N44))/O44,IF(SUM($E44:P44)&gt;=AE44/2,55+5*(AE44/2-SUM($E44:O44))/P44,IF(SUM($E44:Q44)&gt;=AE44/2,60+5*(AE44/2-SUM($E44:P44))/Q44,IF(SUM($E44:R44)&gt;=AE44/2,65+5*(AE44/2-SUM($E44:Q44))/R44,IF(SUM($E44:S44)&gt;=AE44/2,70+5*(AE44/2-SUM($E44:R44))/S44,IF(SUM($E44:T44)&gt;=AE44/2,75+5*(AE44/2-SUM($E44:S44))/T44,""))))))))))))))))</f>
        <v/>
      </c>
      <c r="AL44" s="30">
        <f>SUM(H44:Q44)</f>
        <v/>
      </c>
      <c r="AM44" s="24" t="n">
        <v>0.091</v>
      </c>
      <c r="AN44" s="24" t="n">
        <v>0.095</v>
      </c>
      <c r="AO44" s="33">
        <f>IF(AND(ISNUMBER(AN44),ISNUMBER(AM44)),(AN44-AM44)*100,"")</f>
        <v/>
      </c>
      <c r="AP44" s="30">
        <f>IF(ISNUMBER(AN44),AN44*AL44,"")</f>
        <v/>
      </c>
      <c r="AQ44" s="30">
        <f>IF(ISNUMBER(AN44),AL44,0)</f>
        <v/>
      </c>
      <c r="AR44" s="24" t="n">
        <v>0.42</v>
      </c>
      <c r="AS44" s="6" t="inlineStr">
        <is>
          <t>population</t>
        </is>
      </c>
      <c r="AT44" s="6" t="inlineStr">
        <is>
          <t>18-70</t>
        </is>
      </c>
      <c r="AU44" s="24" t="n">
        <v>1</v>
      </c>
      <c r="AV44" s="30">
        <f>H44*0.4+I44+J44+K44+L44+M44+N44+O44+P44+Q44+R44+S44*0.2</f>
        <v/>
      </c>
      <c r="AX44" s="30">
        <f>IF(ISNUMBER(AW44),AW44,AR44*AU44*AV44)</f>
        <v/>
      </c>
      <c r="AY44" s="34">
        <f>AX44/AV44</f>
        <v/>
      </c>
      <c r="AZ44" s="6" t="inlineStr">
        <is>
          <t>A</t>
        </is>
      </c>
      <c r="BA44" s="6" t="inlineStr">
        <is>
          <t>Yes</t>
        </is>
      </c>
      <c r="BB44" s="30">
        <f>IF(BA44="Yes",AX44,0)</f>
        <v/>
      </c>
      <c r="BC44" s="30">
        <f>IF(AND(BA44="Yes",ISNUMBER(AP44)),AP44,0)</f>
        <v/>
      </c>
      <c r="BD44" s="30">
        <f>IF(BA44="Yes",AX44,IF(ISNUMBER(AP44),AP44,0))</f>
        <v/>
      </c>
      <c r="BE44" s="6" t="inlineStr">
        <is>
          <t>Adults who use AI tools (to create texts, search for information, learn or work)</t>
        </is>
      </c>
      <c r="BF44" s="6" t="inlineStr">
        <is>
          <t>2025 (Digital Skills study, 4th wave)</t>
        </is>
      </c>
      <c r="BG44" s="6" t="inlineStr">
        <is>
          <t>Ministry of Digital Transformation of Ukraine (Diia.Osvita): Digital skills of Ukrainians 2025</t>
        </is>
      </c>
      <c r="BH44" s="6" t="inlineStr">
        <is>
          <t>https://thedigital.gov.ua/news/education/42-doroslykh-i-70-pidlitkiv-korystuiutsia-shi-v-ukrayini-rezultaty-doslidzennia-diiaosvita</t>
        </is>
      </c>
    </row>
    <row r="45">
      <c r="A45" s="6" t="inlineStr">
        <is>
          <t>MAR</t>
        </is>
      </c>
      <c r="B45" s="6" t="inlineStr">
        <is>
          <t>Morocco</t>
        </is>
      </c>
      <c r="C45" s="6" t="inlineStr">
        <is>
          <t>Middle East, North Africa, Afghanistan &amp; Pakistan</t>
        </is>
      </c>
      <c r="D45" s="6" t="inlineStr">
        <is>
          <t>Lower middle income</t>
        </is>
      </c>
      <c r="E45" s="29" t="n">
        <v>3110561</v>
      </c>
      <c r="F45" s="29" t="n">
        <v>3238714</v>
      </c>
      <c r="G45" s="29" t="n">
        <v>3335077</v>
      </c>
      <c r="H45" s="29" t="n">
        <v>3249629</v>
      </c>
      <c r="I45" s="29" t="n">
        <v>2949510</v>
      </c>
      <c r="J45" s="29" t="n">
        <v>2859672</v>
      </c>
      <c r="K45" s="29" t="n">
        <v>2898126</v>
      </c>
      <c r="L45" s="29" t="n">
        <v>2863448</v>
      </c>
      <c r="M45" s="29" t="n">
        <v>2691686</v>
      </c>
      <c r="N45" s="29" t="n">
        <v>2405352</v>
      </c>
      <c r="O45" s="29" t="n">
        <v>2112596</v>
      </c>
      <c r="P45" s="29" t="n">
        <v>1838814</v>
      </c>
      <c r="Q45" s="29" t="n">
        <v>1630072</v>
      </c>
      <c r="R45" s="29" t="n">
        <v>1337508</v>
      </c>
      <c r="S45" s="29" t="n">
        <v>937134</v>
      </c>
      <c r="T45" s="29" t="n">
        <v>542169</v>
      </c>
      <c r="U45" s="29" t="n">
        <v>430706</v>
      </c>
      <c r="V45" s="29" t="n">
        <v>19058693</v>
      </c>
      <c r="W45" s="29" t="n">
        <v>19372081</v>
      </c>
      <c r="X45" s="30">
        <f>SUM(E45:G45)</f>
        <v/>
      </c>
      <c r="Y45" s="30">
        <f>SUM(H45:I45)</f>
        <v/>
      </c>
      <c r="Z45" s="30">
        <f>SUM(J45:K45)</f>
        <v/>
      </c>
      <c r="AA45" s="30">
        <f>SUM(L45:M45)</f>
        <v/>
      </c>
      <c r="AB45" s="30">
        <f>SUM(N45:O45)</f>
        <v/>
      </c>
      <c r="AC45" s="30">
        <f>SUM(P45:Q45)</f>
        <v/>
      </c>
      <c r="AD45" s="30">
        <f>SUM(R45:U45)</f>
        <v/>
      </c>
      <c r="AE45" s="31">
        <f>SUM(X45:AD45)</f>
        <v/>
      </c>
      <c r="AF45" s="32">
        <f>AE45/SUM($AE$5:$AE$222)</f>
        <v/>
      </c>
      <c r="AG45" s="10">
        <f>RANK(AE45,$AE$5:$AE$222)</f>
        <v/>
      </c>
      <c r="AH45" s="29" t="n">
        <v>38081173</v>
      </c>
      <c r="AI45" s="9">
        <f>IF(AH45&gt;0,AE45/AH45-1,"")</f>
        <v/>
      </c>
      <c r="AJ45" s="29" t="n">
        <v>4672</v>
      </c>
      <c r="AK45" s="19">
        <f>IF(SUM($E45:E45)&gt;=AE45/2,0+5*(AE45/2-0)/E45,IF(SUM($E45:F45)&gt;=AE45/2,5+5*(AE45/2-SUM($E45:E45))/F45,IF(SUM($E45:G45)&gt;=AE45/2,10+5*(AE45/2-SUM($E45:F45))/G45,IF(SUM($E45:H45)&gt;=AE45/2,15+5*(AE45/2-SUM($E45:G45))/H45,IF(SUM($E45:I45)&gt;=AE45/2,20+5*(AE45/2-SUM($E45:H45))/I45,IF(SUM($E45:J45)&gt;=AE45/2,25+5*(AE45/2-SUM($E45:I45))/J45,IF(SUM($E45:K45)&gt;=AE45/2,30+5*(AE45/2-SUM($E45:J45))/K45,IF(SUM($E45:L45)&gt;=AE45/2,35+5*(AE45/2-SUM($E45:K45))/L45,IF(SUM($E45:M45)&gt;=AE45/2,40+5*(AE45/2-SUM($E45:L45))/M45,IF(SUM($E45:N45)&gt;=AE45/2,45+5*(AE45/2-SUM($E45:M45))/N45,IF(SUM($E45:O45)&gt;=AE45/2,50+5*(AE45/2-SUM($E45:N45))/O45,IF(SUM($E45:P45)&gt;=AE45/2,55+5*(AE45/2-SUM($E45:O45))/P45,IF(SUM($E45:Q45)&gt;=AE45/2,60+5*(AE45/2-SUM($E45:P45))/Q45,IF(SUM($E45:R45)&gt;=AE45/2,65+5*(AE45/2-SUM($E45:Q45))/R45,IF(SUM($E45:S45)&gt;=AE45/2,70+5*(AE45/2-SUM($E45:R45))/S45,IF(SUM($E45:T45)&gt;=AE45/2,75+5*(AE45/2-SUM($E45:S45))/T45,""))))))))))))))))</f>
        <v/>
      </c>
      <c r="AL45" s="30">
        <f>SUM(H45:Q45)</f>
        <v/>
      </c>
      <c r="AM45" s="24" t="n">
        <v>0.105</v>
      </c>
      <c r="AN45" s="24" t="n">
        <v>0.12</v>
      </c>
      <c r="AO45" s="33">
        <f>IF(AND(ISNUMBER(AN45),ISNUMBER(AM45)),(AN45-AM45)*100,"")</f>
        <v/>
      </c>
      <c r="AP45" s="30">
        <f>IF(ISNUMBER(AN45),AN45*AL45,"")</f>
        <v/>
      </c>
      <c r="AQ45" s="30">
        <f>IF(ISNUMBER(AN45),AL45,0)</f>
        <v/>
      </c>
      <c r="AR45" s="24" t="n">
        <v>0.275</v>
      </c>
      <c r="AS45" s="6" t="inlineStr">
        <is>
          <t>population</t>
        </is>
      </c>
      <c r="AT45" s="6" t="inlineStr">
        <is>
          <t>5+</t>
        </is>
      </c>
      <c r="AU45" s="24" t="n">
        <v>1</v>
      </c>
      <c r="AV45" s="30">
        <f>F45+G45+H45+I45+J45+K45+L45+M45+N45+O45+P45+Q45+R45+S45+T45+U45</f>
        <v/>
      </c>
      <c r="AX45" s="30">
        <f>IF(ISNUMBER(AW45),AW45,AR45*AU45*AV45)</f>
        <v/>
      </c>
      <c r="AY45" s="34">
        <f>AX45/AV45</f>
        <v/>
      </c>
      <c r="AZ45" s="6" t="inlineStr">
        <is>
          <t>A</t>
        </is>
      </c>
      <c r="BA45" s="6" t="inlineStr">
        <is>
          <t>Yes</t>
        </is>
      </c>
      <c r="BB45" s="30">
        <f>IF(BA45="Yes",AX45,0)</f>
        <v/>
      </c>
      <c r="BC45" s="30">
        <f>IF(AND(BA45="Yes",ISNUMBER(AP45)),AP45,0)</f>
        <v/>
      </c>
      <c r="BD45" s="30">
        <f>IF(BA45="Yes",AX45,IF(ISNUMBER(AP45),AP45,0))</f>
        <v/>
      </c>
      <c r="BE45" s="6" t="inlineStr">
        <is>
          <t>Used an artificial-intelligence application (last 3 months of 2024)</t>
        </is>
      </c>
      <c r="BF45" s="6" t="inlineStr">
        <is>
          <t>Fieldwork 14 Jan - 14 Feb 2025 (probability sample, 5,760 individuals)</t>
        </is>
      </c>
      <c r="BG45" s="6" t="inlineStr">
        <is>
          <t>ANRT (National Telecommunications Regulatory Agency): ICT indicators survey of households and individuals 2024-2025, p. 46</t>
        </is>
      </c>
      <c r="BH45" s="6" t="inlineStr">
        <is>
          <t>https://www.anrt.ma/sites/default/files/2025-10/Enqu%C3%AAte%20TIC%202024-2025.pdf</t>
        </is>
      </c>
    </row>
    <row r="46">
      <c r="A46" s="6" t="inlineStr">
        <is>
          <t>UZB</t>
        </is>
      </c>
      <c r="B46" s="6" t="inlineStr">
        <is>
          <t>Uzbekistan</t>
        </is>
      </c>
      <c r="C46" s="6" t="inlineStr">
        <is>
          <t>Europe &amp; Central Asia</t>
        </is>
      </c>
      <c r="D46" s="6" t="inlineStr">
        <is>
          <t>Lower middle income</t>
        </is>
      </c>
      <c r="E46" s="29" t="n">
        <v>4532515</v>
      </c>
      <c r="F46" s="29" t="n">
        <v>3792270</v>
      </c>
      <c r="G46" s="29" t="n">
        <v>3269407</v>
      </c>
      <c r="H46" s="29" t="n">
        <v>2891857</v>
      </c>
      <c r="I46" s="29" t="n">
        <v>2467434</v>
      </c>
      <c r="J46" s="29" t="n">
        <v>2719859</v>
      </c>
      <c r="K46" s="29" t="n">
        <v>3091130</v>
      </c>
      <c r="L46" s="29" t="n">
        <v>2938198</v>
      </c>
      <c r="M46" s="29" t="n">
        <v>2466656</v>
      </c>
      <c r="N46" s="29" t="n">
        <v>2017754</v>
      </c>
      <c r="O46" s="29" t="n">
        <v>1749700</v>
      </c>
      <c r="P46" s="29" t="n">
        <v>1511133</v>
      </c>
      <c r="Q46" s="29" t="n">
        <v>1356626</v>
      </c>
      <c r="R46" s="29" t="n">
        <v>978701</v>
      </c>
      <c r="S46" s="29" t="n">
        <v>642230</v>
      </c>
      <c r="T46" s="29" t="n">
        <v>322690</v>
      </c>
      <c r="U46" s="29" t="n">
        <v>305268</v>
      </c>
      <c r="V46" s="29" t="n">
        <v>18359302</v>
      </c>
      <c r="W46" s="29" t="n">
        <v>18694126</v>
      </c>
      <c r="X46" s="30">
        <f>SUM(E46:G46)</f>
        <v/>
      </c>
      <c r="Y46" s="30">
        <f>SUM(H46:I46)</f>
        <v/>
      </c>
      <c r="Z46" s="30">
        <f>SUM(J46:K46)</f>
        <v/>
      </c>
      <c r="AA46" s="30">
        <f>SUM(L46:M46)</f>
        <v/>
      </c>
      <c r="AB46" s="30">
        <f>SUM(N46:O46)</f>
        <v/>
      </c>
      <c r="AC46" s="30">
        <f>SUM(P46:Q46)</f>
        <v/>
      </c>
      <c r="AD46" s="30">
        <f>SUM(R46:U46)</f>
        <v/>
      </c>
      <c r="AE46" s="31">
        <f>SUM(X46:AD46)</f>
        <v/>
      </c>
      <c r="AF46" s="32">
        <f>AE46/SUM($AE$5:$AE$222)</f>
        <v/>
      </c>
      <c r="AG46" s="10">
        <f>RANK(AE46,$AE$5:$AE$222)</f>
        <v/>
      </c>
      <c r="AH46" s="29" t="n">
        <v>36361859</v>
      </c>
      <c r="AI46" s="9">
        <f>IF(AH46&gt;0,AE46/AH46-1,"")</f>
        <v/>
      </c>
      <c r="AJ46" s="29" t="n">
        <v>3968</v>
      </c>
      <c r="AK46" s="19">
        <f>IF(SUM($E46:E46)&gt;=AE46/2,0+5*(AE46/2-0)/E46,IF(SUM($E46:F46)&gt;=AE46/2,5+5*(AE46/2-SUM($E46:E46))/F46,IF(SUM($E46:G46)&gt;=AE46/2,10+5*(AE46/2-SUM($E46:F46))/G46,IF(SUM($E46:H46)&gt;=AE46/2,15+5*(AE46/2-SUM($E46:G46))/H46,IF(SUM($E46:I46)&gt;=AE46/2,20+5*(AE46/2-SUM($E46:H46))/I46,IF(SUM($E46:J46)&gt;=AE46/2,25+5*(AE46/2-SUM($E46:I46))/J46,IF(SUM($E46:K46)&gt;=AE46/2,30+5*(AE46/2-SUM($E46:J46))/K46,IF(SUM($E46:L46)&gt;=AE46/2,35+5*(AE46/2-SUM($E46:K46))/L46,IF(SUM($E46:M46)&gt;=AE46/2,40+5*(AE46/2-SUM($E46:L46))/M46,IF(SUM($E46:N46)&gt;=AE46/2,45+5*(AE46/2-SUM($E46:M46))/N46,IF(SUM($E46:O46)&gt;=AE46/2,50+5*(AE46/2-SUM($E46:N46))/O46,IF(SUM($E46:P46)&gt;=AE46/2,55+5*(AE46/2-SUM($E46:O46))/P46,IF(SUM($E46:Q46)&gt;=AE46/2,60+5*(AE46/2-SUM($E46:P46))/Q46,IF(SUM($E46:R46)&gt;=AE46/2,65+5*(AE46/2-SUM($E46:Q46))/R46,IF(SUM($E46:S46)&gt;=AE46/2,70+5*(AE46/2-SUM($E46:R46))/S46,IF(SUM($E46:T46)&gt;=AE46/2,75+5*(AE46/2-SUM($E46:S46))/T46,""))))))))))))))))</f>
        <v/>
      </c>
      <c r="AL46" s="30">
        <f>SUM(H46:Q46)</f>
        <v/>
      </c>
      <c r="AM46" s="24" t="n">
        <v>0.057</v>
      </c>
      <c r="AN46" s="24" t="n">
        <v>0.076</v>
      </c>
      <c r="AO46" s="33">
        <f>IF(AND(ISNUMBER(AN46),ISNUMBER(AM46)),(AN46-AM46)*100,"")</f>
        <v/>
      </c>
      <c r="AP46" s="30">
        <f>IF(ISNUMBER(AN46),AN46*AL46,"")</f>
        <v/>
      </c>
      <c r="AQ46" s="30">
        <f>IF(ISNUMBER(AN46),AL46,0)</f>
        <v/>
      </c>
      <c r="BB46" s="30">
        <f>IF(BA46="Yes",AX46,0)</f>
        <v/>
      </c>
      <c r="BC46" s="30">
        <f>IF(AND(BA46="Yes",ISNUMBER(AP46)),AP46,0)</f>
        <v/>
      </c>
      <c r="BD46" s="30">
        <f>IF(BA46="Yes",AX46,IF(ISNUMBER(AP46),AP46,0))</f>
        <v/>
      </c>
    </row>
    <row r="47">
      <c r="A47" s="6" t="inlineStr">
        <is>
          <t>SAU</t>
        </is>
      </c>
      <c r="B47" s="6" t="inlineStr">
        <is>
          <t>Saudi Arabia</t>
        </is>
      </c>
      <c r="C47" s="6" t="inlineStr">
        <is>
          <t>Middle East, North Africa, Afghanistan &amp; Pakistan</t>
        </is>
      </c>
      <c r="D47" s="6" t="inlineStr">
        <is>
          <t>High income</t>
        </is>
      </c>
      <c r="E47" s="29" t="n">
        <v>2899660</v>
      </c>
      <c r="F47" s="29" t="n">
        <v>2948636</v>
      </c>
      <c r="G47" s="29" t="n">
        <v>2885258</v>
      </c>
      <c r="H47" s="29" t="n">
        <v>2658278</v>
      </c>
      <c r="I47" s="29" t="n">
        <v>2884546</v>
      </c>
      <c r="J47" s="29" t="n">
        <v>3692033</v>
      </c>
      <c r="K47" s="29" t="n">
        <v>4281788</v>
      </c>
      <c r="L47" s="29" t="n">
        <v>4088779</v>
      </c>
      <c r="M47" s="29" t="n">
        <v>3325266</v>
      </c>
      <c r="N47" s="29" t="n">
        <v>2384492</v>
      </c>
      <c r="O47" s="29" t="n">
        <v>1700276</v>
      </c>
      <c r="P47" s="29" t="n">
        <v>1246043</v>
      </c>
      <c r="Q47" s="29" t="n">
        <v>848300</v>
      </c>
      <c r="R47" s="29" t="n">
        <v>504567</v>
      </c>
      <c r="S47" s="29" t="n">
        <v>273706</v>
      </c>
      <c r="T47" s="29" t="n">
        <v>186403</v>
      </c>
      <c r="U47" s="29" t="n">
        <v>165524</v>
      </c>
      <c r="V47" s="29" t="n">
        <v>14632159</v>
      </c>
      <c r="W47" s="29" t="n">
        <v>22341396</v>
      </c>
      <c r="X47" s="30">
        <f>SUM(E47:G47)</f>
        <v/>
      </c>
      <c r="Y47" s="30">
        <f>SUM(H47:I47)</f>
        <v/>
      </c>
      <c r="Z47" s="30">
        <f>SUM(J47:K47)</f>
        <v/>
      </c>
      <c r="AA47" s="30">
        <f>SUM(L47:M47)</f>
        <v/>
      </c>
      <c r="AB47" s="30">
        <f>SUM(N47:O47)</f>
        <v/>
      </c>
      <c r="AC47" s="30">
        <f>SUM(P47:Q47)</f>
        <v/>
      </c>
      <c r="AD47" s="30">
        <f>SUM(R47:U47)</f>
        <v/>
      </c>
      <c r="AE47" s="31">
        <f>SUM(X47:AD47)</f>
        <v/>
      </c>
      <c r="AF47" s="32">
        <f>AE47/SUM($AE$5:$AE$222)</f>
        <v/>
      </c>
      <c r="AG47" s="10">
        <f>RANK(AE47,$AE$5:$AE$222)</f>
        <v/>
      </c>
      <c r="AH47" s="29" t="n">
        <v>35300280</v>
      </c>
      <c r="AI47" s="9">
        <f>IF(AH47&gt;0,AE47/AH47-1,"")</f>
        <v/>
      </c>
      <c r="AJ47" s="29" t="n">
        <v>34537</v>
      </c>
      <c r="AK47" s="19">
        <f>IF(SUM($E47:E47)&gt;=AE47/2,0+5*(AE47/2-0)/E47,IF(SUM($E47:F47)&gt;=AE47/2,5+5*(AE47/2-SUM($E47:E47))/F47,IF(SUM($E47:G47)&gt;=AE47/2,10+5*(AE47/2-SUM($E47:F47))/G47,IF(SUM($E47:H47)&gt;=AE47/2,15+5*(AE47/2-SUM($E47:G47))/H47,IF(SUM($E47:I47)&gt;=AE47/2,20+5*(AE47/2-SUM($E47:H47))/I47,IF(SUM($E47:J47)&gt;=AE47/2,25+5*(AE47/2-SUM($E47:I47))/J47,IF(SUM($E47:K47)&gt;=AE47/2,30+5*(AE47/2-SUM($E47:J47))/K47,IF(SUM($E47:L47)&gt;=AE47/2,35+5*(AE47/2-SUM($E47:K47))/L47,IF(SUM($E47:M47)&gt;=AE47/2,40+5*(AE47/2-SUM($E47:L47))/M47,IF(SUM($E47:N47)&gt;=AE47/2,45+5*(AE47/2-SUM($E47:M47))/N47,IF(SUM($E47:O47)&gt;=AE47/2,50+5*(AE47/2-SUM($E47:N47))/O47,IF(SUM($E47:P47)&gt;=AE47/2,55+5*(AE47/2-SUM($E47:O47))/P47,IF(SUM($E47:Q47)&gt;=AE47/2,60+5*(AE47/2-SUM($E47:P47))/Q47,IF(SUM($E47:R47)&gt;=AE47/2,65+5*(AE47/2-SUM($E47:Q47))/R47,IF(SUM($E47:S47)&gt;=AE47/2,70+5*(AE47/2-SUM($E47:R47))/S47,IF(SUM($E47:T47)&gt;=AE47/2,75+5*(AE47/2-SUM($E47:S47))/T47,""))))))))))))))))</f>
        <v/>
      </c>
      <c r="AL47" s="30">
        <f>SUM(H47:Q47)</f>
        <v/>
      </c>
      <c r="AM47" s="24" t="n">
        <v>0.237</v>
      </c>
      <c r="AN47" s="24" t="n">
        <v>0.314</v>
      </c>
      <c r="AO47" s="33">
        <f>IF(AND(ISNUMBER(AN47),ISNUMBER(AM47)),(AN47-AM47)*100,"")</f>
        <v/>
      </c>
      <c r="AP47" s="30">
        <f>IF(ISNUMBER(AN47),AN47*AL47,"")</f>
        <v/>
      </c>
      <c r="AQ47" s="30">
        <f>IF(ISNUMBER(AN47),AL47,0)</f>
        <v/>
      </c>
      <c r="AR47" s="24" t="n">
        <v>0.452</v>
      </c>
      <c r="AS47" s="6" t="inlineStr">
        <is>
          <t>internet users</t>
        </is>
      </c>
      <c r="AT47" s="6" t="inlineStr">
        <is>
          <t>10-74</t>
        </is>
      </c>
      <c r="AU47" s="24" t="n">
        <v>0.996</v>
      </c>
      <c r="AV47" s="30">
        <f>G47+H47+I47+J47+K47+L47+M47+N47+O47+P47+Q47+R47+S47</f>
        <v/>
      </c>
      <c r="AX47" s="30">
        <f>IF(ISNUMBER(AW47),AW47,AR47*AU47*AV47)</f>
        <v/>
      </c>
      <c r="AY47" s="34">
        <f>AX47/AV47</f>
        <v/>
      </c>
      <c r="AZ47" s="6" t="inlineStr">
        <is>
          <t>A</t>
        </is>
      </c>
      <c r="BA47" s="6" t="inlineStr">
        <is>
          <t>Yes</t>
        </is>
      </c>
      <c r="BB47" s="30">
        <f>IF(BA47="Yes",AX47,0)</f>
        <v/>
      </c>
      <c r="BC47" s="30">
        <f>IF(AND(BA47="Yes",ISNUMBER(AP47)),AP47,0)</f>
        <v/>
      </c>
      <c r="BD47" s="30">
        <f>IF(BA47="Yes",AX47,IF(ISNUMBER(AP47),AP47,0))</f>
        <v/>
      </c>
      <c r="BE47" s="6" t="inlineStr">
        <is>
          <t>Adoption rate of AI tools among internet users</t>
        </is>
      </c>
      <c r="BF47" s="6" t="inlineStr">
        <is>
          <t>2025</t>
        </is>
      </c>
      <c r="BG47" s="6" t="inlineStr">
        <is>
          <t>Communications, Space and Technology Commission (CST): Saudi Internet Report 2025</t>
        </is>
      </c>
      <c r="BH47" s="6" t="inlineStr">
        <is>
          <t>https://www.cst.gov.sa/en/media-center/news/N2026071901</t>
        </is>
      </c>
    </row>
    <row r="48">
      <c r="A48" s="6" t="inlineStr">
        <is>
          <t>POL</t>
        </is>
      </c>
      <c r="B48" s="6" t="inlineStr">
        <is>
          <t>Poland</t>
        </is>
      </c>
      <c r="C48" s="6" t="inlineStr">
        <is>
          <t>Europe &amp; Central Asia</t>
        </is>
      </c>
      <c r="D48" s="6" t="inlineStr">
        <is>
          <t>High income</t>
        </is>
      </c>
      <c r="E48" s="29" t="n">
        <v>1507251</v>
      </c>
      <c r="F48" s="29" t="n">
        <v>1828568</v>
      </c>
      <c r="G48" s="29" t="n">
        <v>1932946</v>
      </c>
      <c r="H48" s="29" t="n">
        <v>1955698</v>
      </c>
      <c r="I48" s="29" t="n">
        <v>1676536</v>
      </c>
      <c r="J48" s="29" t="n">
        <v>1938746</v>
      </c>
      <c r="K48" s="29" t="n">
        <v>2385472</v>
      </c>
      <c r="L48" s="29" t="n">
        <v>2818983</v>
      </c>
      <c r="M48" s="29" t="n">
        <v>3127115</v>
      </c>
      <c r="N48" s="29" t="n">
        <v>2918020</v>
      </c>
      <c r="O48" s="29" t="n">
        <v>2508850</v>
      </c>
      <c r="P48" s="29" t="n">
        <v>2109919</v>
      </c>
      <c r="Q48" s="29" t="n">
        <v>2165920</v>
      </c>
      <c r="R48" s="29" t="n">
        <v>2374629</v>
      </c>
      <c r="S48" s="29" t="n">
        <v>2129933</v>
      </c>
      <c r="T48" s="29" t="n">
        <v>1473570</v>
      </c>
      <c r="U48" s="29" t="n">
        <v>1583702</v>
      </c>
      <c r="V48" s="29" t="n">
        <v>18790637</v>
      </c>
      <c r="W48" s="29" t="n">
        <v>17645221</v>
      </c>
      <c r="X48" s="30">
        <f>SUM(E48:G48)</f>
        <v/>
      </c>
      <c r="Y48" s="30">
        <f>SUM(H48:I48)</f>
        <v/>
      </c>
      <c r="Z48" s="30">
        <f>SUM(J48:K48)</f>
        <v/>
      </c>
      <c r="AA48" s="30">
        <f>SUM(L48:M48)</f>
        <v/>
      </c>
      <c r="AB48" s="30">
        <f>SUM(N48:O48)</f>
        <v/>
      </c>
      <c r="AC48" s="30">
        <f>SUM(P48:Q48)</f>
        <v/>
      </c>
      <c r="AD48" s="30">
        <f>SUM(R48:U48)</f>
        <v/>
      </c>
      <c r="AE48" s="31">
        <f>SUM(X48:AD48)</f>
        <v/>
      </c>
      <c r="AF48" s="32">
        <f>AE48/SUM($AE$5:$AE$222)</f>
        <v/>
      </c>
      <c r="AG48" s="10">
        <f>RANK(AE48,$AE$5:$AE$222)</f>
        <v/>
      </c>
      <c r="AH48" s="29" t="n">
        <v>36559233</v>
      </c>
      <c r="AI48" s="9">
        <f>IF(AH48&gt;0,AE48/AH48-1,"")</f>
        <v/>
      </c>
      <c r="AJ48" s="29" t="n">
        <v>28420</v>
      </c>
      <c r="AK48" s="19">
        <f>IF(SUM($E48:E48)&gt;=AE48/2,0+5*(AE48/2-0)/E48,IF(SUM($E48:F48)&gt;=AE48/2,5+5*(AE48/2-SUM($E48:E48))/F48,IF(SUM($E48:G48)&gt;=AE48/2,10+5*(AE48/2-SUM($E48:F48))/G48,IF(SUM($E48:H48)&gt;=AE48/2,15+5*(AE48/2-SUM($E48:G48))/H48,IF(SUM($E48:I48)&gt;=AE48/2,20+5*(AE48/2-SUM($E48:H48))/I48,IF(SUM($E48:J48)&gt;=AE48/2,25+5*(AE48/2-SUM($E48:I48))/J48,IF(SUM($E48:K48)&gt;=AE48/2,30+5*(AE48/2-SUM($E48:J48))/K48,IF(SUM($E48:L48)&gt;=AE48/2,35+5*(AE48/2-SUM($E48:K48))/L48,IF(SUM($E48:M48)&gt;=AE48/2,40+5*(AE48/2-SUM($E48:L48))/M48,IF(SUM($E48:N48)&gt;=AE48/2,45+5*(AE48/2-SUM($E48:M48))/N48,IF(SUM($E48:O48)&gt;=AE48/2,50+5*(AE48/2-SUM($E48:N48))/O48,IF(SUM($E48:P48)&gt;=AE48/2,55+5*(AE48/2-SUM($E48:O48))/P48,IF(SUM($E48:Q48)&gt;=AE48/2,60+5*(AE48/2-SUM($E48:P48))/Q48,IF(SUM($E48:R48)&gt;=AE48/2,65+5*(AE48/2-SUM($E48:Q48))/R48,IF(SUM($E48:S48)&gt;=AE48/2,70+5*(AE48/2-SUM($E48:R48))/S48,IF(SUM($E48:T48)&gt;=AE48/2,75+5*(AE48/2-SUM($E48:S48))/T48,""))))))))))))))))</f>
        <v/>
      </c>
      <c r="AL48" s="30">
        <f>SUM(H48:Q48)</f>
        <v/>
      </c>
      <c r="AM48" s="24" t="n">
        <v>0.264</v>
      </c>
      <c r="AN48" s="24" t="n">
        <v>0.323</v>
      </c>
      <c r="AO48" s="33">
        <f>IF(AND(ISNUMBER(AN48),ISNUMBER(AM48)),(AN48-AM48)*100,"")</f>
        <v/>
      </c>
      <c r="AP48" s="30">
        <f>IF(ISNUMBER(AN48),AN48*AL48,"")</f>
        <v/>
      </c>
      <c r="AQ48" s="30">
        <f>IF(ISNUMBER(AN48),AL48,0)</f>
        <v/>
      </c>
      <c r="AR48" s="24" t="n">
        <v>0.2268</v>
      </c>
      <c r="AS48" s="6" t="inlineStr">
        <is>
          <t>population</t>
        </is>
      </c>
      <c r="AT48" s="6" t="inlineStr">
        <is>
          <t>16-74</t>
        </is>
      </c>
      <c r="AU48" s="24" t="n">
        <v>1</v>
      </c>
      <c r="AV48" s="30">
        <f>H48*0.8+I48+J48+K48+L48+M48+N48+O48+P48+Q48+R48+S48</f>
        <v/>
      </c>
      <c r="AX48" s="30">
        <f>IF(ISNUMBER(AW48),AW48,AR48*AU48*AV48)</f>
        <v/>
      </c>
      <c r="AY48" s="34">
        <f>AX48/AV48</f>
        <v/>
      </c>
      <c r="AZ48" s="6" t="inlineStr">
        <is>
          <t>A</t>
        </is>
      </c>
      <c r="BA48" s="6" t="inlineStr">
        <is>
          <t>Yes</t>
        </is>
      </c>
      <c r="BB48" s="30">
        <f>IF(BA48="Yes",AX48,0)</f>
        <v/>
      </c>
      <c r="BC48" s="30">
        <f>IF(AND(BA48="Yes",ISNUMBER(AP48)),AP48,0)</f>
        <v/>
      </c>
      <c r="BD48" s="30">
        <f>IF(BA48="Yes",AX48,IF(ISNUMBER(AP48),AP48,0))</f>
        <v/>
      </c>
      <c r="BE48" s="6" t="inlineStr">
        <is>
          <t>Used generative AI tools in the last 3 months</t>
        </is>
      </c>
      <c r="BF48" s="6" t="inlineStr">
        <is>
          <t>2025 survey (Q2, most countries)</t>
        </is>
      </c>
      <c r="BG48" s="6" t="inlineStr">
        <is>
          <t>Eurostat: ICT usage in households and by individuals 2025, dataset isoc_ai_iaiu</t>
        </is>
      </c>
      <c r="BH48" s="6" t="inlineStr">
        <is>
          <t>https://ec.europa.eu/eurostat/databrowser/view/isoc_ai_iaiu/default/table</t>
        </is>
      </c>
    </row>
    <row r="49">
      <c r="A49" s="6" t="inlineStr">
        <is>
          <t>MYS</t>
        </is>
      </c>
      <c r="B49" s="6" t="inlineStr">
        <is>
          <t>Malaysia</t>
        </is>
      </c>
      <c r="C49" s="6" t="inlineStr">
        <is>
          <t>East Asia &amp; Pacific</t>
        </is>
      </c>
      <c r="D49" s="6" t="inlineStr">
        <is>
          <t>Upper middle income</t>
        </is>
      </c>
      <c r="E49" s="29" t="n">
        <v>2208542</v>
      </c>
      <c r="F49" s="29" t="n">
        <v>2636772</v>
      </c>
      <c r="G49" s="29" t="n">
        <v>2821263</v>
      </c>
      <c r="H49" s="29" t="n">
        <v>2786271</v>
      </c>
      <c r="I49" s="29" t="n">
        <v>3134488</v>
      </c>
      <c r="J49" s="29" t="n">
        <v>3167066</v>
      </c>
      <c r="K49" s="29" t="n">
        <v>3172849</v>
      </c>
      <c r="L49" s="29" t="n">
        <v>3113633</v>
      </c>
      <c r="M49" s="29" t="n">
        <v>2848391</v>
      </c>
      <c r="N49" s="29" t="n">
        <v>2299878</v>
      </c>
      <c r="O49" s="29" t="n">
        <v>1890364</v>
      </c>
      <c r="P49" s="29" t="n">
        <v>1603407</v>
      </c>
      <c r="Q49" s="29" t="n">
        <v>1404750</v>
      </c>
      <c r="R49" s="29" t="n">
        <v>1113918</v>
      </c>
      <c r="S49" s="29" t="n">
        <v>823460</v>
      </c>
      <c r="T49" s="29" t="n">
        <v>504337</v>
      </c>
      <c r="U49" s="29" t="n">
        <v>448450</v>
      </c>
      <c r="V49" s="29" t="n">
        <v>17156766</v>
      </c>
      <c r="W49" s="29" t="n">
        <v>18821073</v>
      </c>
      <c r="X49" s="30">
        <f>SUM(E49:G49)</f>
        <v/>
      </c>
      <c r="Y49" s="30">
        <f>SUM(H49:I49)</f>
        <v/>
      </c>
      <c r="Z49" s="30">
        <f>SUM(J49:K49)</f>
        <v/>
      </c>
      <c r="AA49" s="30">
        <f>SUM(L49:M49)</f>
        <v/>
      </c>
      <c r="AB49" s="30">
        <f>SUM(N49:O49)</f>
        <v/>
      </c>
      <c r="AC49" s="30">
        <f>SUM(P49:Q49)</f>
        <v/>
      </c>
      <c r="AD49" s="30">
        <f>SUM(R49:U49)</f>
        <v/>
      </c>
      <c r="AE49" s="31">
        <f>SUM(X49:AD49)</f>
        <v/>
      </c>
      <c r="AF49" s="32">
        <f>AE49/SUM($AE$5:$AE$222)</f>
        <v/>
      </c>
      <c r="AG49" s="10">
        <f>RANK(AE49,$AE$5:$AE$222)</f>
        <v/>
      </c>
      <c r="AH49" s="29" t="n">
        <v>35557673</v>
      </c>
      <c r="AI49" s="9">
        <f>IF(AH49&gt;0,AE49/AH49-1,"")</f>
        <v/>
      </c>
      <c r="AJ49" s="29" t="n">
        <v>13125</v>
      </c>
      <c r="AK49" s="19">
        <f>IF(SUM($E49:E49)&gt;=AE49/2,0+5*(AE49/2-0)/E49,IF(SUM($E49:F49)&gt;=AE49/2,5+5*(AE49/2-SUM($E49:E49))/F49,IF(SUM($E49:G49)&gt;=AE49/2,10+5*(AE49/2-SUM($E49:F49))/G49,IF(SUM($E49:H49)&gt;=AE49/2,15+5*(AE49/2-SUM($E49:G49))/H49,IF(SUM($E49:I49)&gt;=AE49/2,20+5*(AE49/2-SUM($E49:H49))/I49,IF(SUM($E49:J49)&gt;=AE49/2,25+5*(AE49/2-SUM($E49:I49))/J49,IF(SUM($E49:K49)&gt;=AE49/2,30+5*(AE49/2-SUM($E49:J49))/K49,IF(SUM($E49:L49)&gt;=AE49/2,35+5*(AE49/2-SUM($E49:K49))/L49,IF(SUM($E49:M49)&gt;=AE49/2,40+5*(AE49/2-SUM($E49:L49))/M49,IF(SUM($E49:N49)&gt;=AE49/2,45+5*(AE49/2-SUM($E49:M49))/N49,IF(SUM($E49:O49)&gt;=AE49/2,50+5*(AE49/2-SUM($E49:N49))/O49,IF(SUM($E49:P49)&gt;=AE49/2,55+5*(AE49/2-SUM($E49:O49))/P49,IF(SUM($E49:Q49)&gt;=AE49/2,60+5*(AE49/2-SUM($E49:P49))/Q49,IF(SUM($E49:R49)&gt;=AE49/2,65+5*(AE49/2-SUM($E49:Q49))/R49,IF(SUM($E49:S49)&gt;=AE49/2,70+5*(AE49/2-SUM($E49:R49))/S49,IF(SUM($E49:T49)&gt;=AE49/2,75+5*(AE49/2-SUM($E49:S49))/T49,""))))))))))))))))</f>
        <v/>
      </c>
      <c r="AL49" s="30">
        <f>SUM(H49:Q49)</f>
        <v/>
      </c>
      <c r="AM49" s="24" t="n">
        <v>0.183</v>
      </c>
      <c r="AN49" s="24" t="n">
        <v>0.226</v>
      </c>
      <c r="AO49" s="33">
        <f>IF(AND(ISNUMBER(AN49),ISNUMBER(AM49)),(AN49-AM49)*100,"")</f>
        <v/>
      </c>
      <c r="AP49" s="30">
        <f>IF(ISNUMBER(AN49),AN49*AL49,"")</f>
        <v/>
      </c>
      <c r="AQ49" s="30">
        <f>IF(ISNUMBER(AN49),AL49,0)</f>
        <v/>
      </c>
      <c r="BB49" s="30">
        <f>IF(BA49="Yes",AX49,0)</f>
        <v/>
      </c>
      <c r="BC49" s="30">
        <f>IF(AND(BA49="Yes",ISNUMBER(AP49)),AP49,0)</f>
        <v/>
      </c>
      <c r="BD49" s="30">
        <f>IF(BA49="Yes",AX49,IF(ISNUMBER(AP49),AP49,0))</f>
        <v/>
      </c>
    </row>
    <row r="50">
      <c r="A50" s="6" t="inlineStr">
        <is>
          <t>MOZ</t>
        </is>
      </c>
      <c r="B50" s="6" t="inlineStr">
        <is>
          <t>Mozambique</t>
        </is>
      </c>
      <c r="C50" s="6" t="inlineStr">
        <is>
          <t>Sub-Saharan Africa</t>
        </is>
      </c>
      <c r="D50" s="6" t="inlineStr">
        <is>
          <t>Low income</t>
        </is>
      </c>
      <c r="E50" s="29" t="n">
        <v>5895851</v>
      </c>
      <c r="F50" s="29" t="n">
        <v>5213206</v>
      </c>
      <c r="G50" s="29" t="n">
        <v>4628919</v>
      </c>
      <c r="H50" s="29" t="n">
        <v>3916296</v>
      </c>
      <c r="I50" s="29" t="n">
        <v>3291032</v>
      </c>
      <c r="J50" s="29" t="n">
        <v>2810167</v>
      </c>
      <c r="K50" s="29" t="n">
        <v>2301883</v>
      </c>
      <c r="L50" s="29" t="n">
        <v>1873778</v>
      </c>
      <c r="M50" s="29" t="n">
        <v>1480813</v>
      </c>
      <c r="N50" s="29" t="n">
        <v>1152307</v>
      </c>
      <c r="O50" s="29" t="n">
        <v>925113</v>
      </c>
      <c r="P50" s="29" t="n">
        <v>683346</v>
      </c>
      <c r="Q50" s="29" t="n">
        <v>484816</v>
      </c>
      <c r="R50" s="29" t="n">
        <v>405267</v>
      </c>
      <c r="S50" s="29" t="n">
        <v>303968</v>
      </c>
      <c r="T50" s="29" t="n">
        <v>167396</v>
      </c>
      <c r="U50" s="29" t="n">
        <v>97497</v>
      </c>
      <c r="V50" s="29" t="n">
        <v>18330891</v>
      </c>
      <c r="W50" s="29" t="n">
        <v>17300764</v>
      </c>
      <c r="X50" s="30">
        <f>SUM(E50:G50)</f>
        <v/>
      </c>
      <c r="Y50" s="30">
        <f>SUM(H50:I50)</f>
        <v/>
      </c>
      <c r="Z50" s="30">
        <f>SUM(J50:K50)</f>
        <v/>
      </c>
      <c r="AA50" s="30">
        <f>SUM(L50:M50)</f>
        <v/>
      </c>
      <c r="AB50" s="30">
        <f>SUM(N50:O50)</f>
        <v/>
      </c>
      <c r="AC50" s="30">
        <f>SUM(P50:Q50)</f>
        <v/>
      </c>
      <c r="AD50" s="30">
        <f>SUM(R50:U50)</f>
        <v/>
      </c>
      <c r="AE50" s="31">
        <f>SUM(X50:AD50)</f>
        <v/>
      </c>
      <c r="AF50" s="32">
        <f>AE50/SUM($AE$5:$AE$222)</f>
        <v/>
      </c>
      <c r="AG50" s="10">
        <f>RANK(AE50,$AE$5:$AE$222)</f>
        <v/>
      </c>
      <c r="AH50" s="29" t="n">
        <v>34631766</v>
      </c>
      <c r="AI50" s="9">
        <f>IF(AH50&gt;0,AE50/AH50-1,"")</f>
        <v/>
      </c>
      <c r="AJ50" s="29" t="n">
        <v>627</v>
      </c>
      <c r="AK50" s="19">
        <f>IF(SUM($E50:E50)&gt;=AE50/2,0+5*(AE50/2-0)/E50,IF(SUM($E50:F50)&gt;=AE50/2,5+5*(AE50/2-SUM($E50:E50))/F50,IF(SUM($E50:G50)&gt;=AE50/2,10+5*(AE50/2-SUM($E50:F50))/G50,IF(SUM($E50:H50)&gt;=AE50/2,15+5*(AE50/2-SUM($E50:G50))/H50,IF(SUM($E50:I50)&gt;=AE50/2,20+5*(AE50/2-SUM($E50:H50))/I50,IF(SUM($E50:J50)&gt;=AE50/2,25+5*(AE50/2-SUM($E50:I50))/J50,IF(SUM($E50:K50)&gt;=AE50/2,30+5*(AE50/2-SUM($E50:J50))/K50,IF(SUM($E50:L50)&gt;=AE50/2,35+5*(AE50/2-SUM($E50:K50))/L50,IF(SUM($E50:M50)&gt;=AE50/2,40+5*(AE50/2-SUM($E50:L50))/M50,IF(SUM($E50:N50)&gt;=AE50/2,45+5*(AE50/2-SUM($E50:M50))/N50,IF(SUM($E50:O50)&gt;=AE50/2,50+5*(AE50/2-SUM($E50:N50))/O50,IF(SUM($E50:P50)&gt;=AE50/2,55+5*(AE50/2-SUM($E50:O50))/P50,IF(SUM($E50:Q50)&gt;=AE50/2,60+5*(AE50/2-SUM($E50:P50))/Q50,IF(SUM($E50:R50)&gt;=AE50/2,65+5*(AE50/2-SUM($E50:Q50))/R50,IF(SUM($E50:S50)&gt;=AE50/2,70+5*(AE50/2-SUM($E50:R50))/S50,IF(SUM($E50:T50)&gt;=AE50/2,75+5*(AE50/2-SUM($E50:S50))/T50,""))))))))))))))))</f>
        <v/>
      </c>
      <c r="AL50" s="30">
        <f>SUM(H50:Q50)</f>
        <v/>
      </c>
      <c r="AM50" s="24" t="n">
        <v>0.08900000000000001</v>
      </c>
      <c r="AN50" s="24" t="n">
        <v>0.114</v>
      </c>
      <c r="AO50" s="33">
        <f>IF(AND(ISNUMBER(AN50),ISNUMBER(AM50)),(AN50-AM50)*100,"")</f>
        <v/>
      </c>
      <c r="AP50" s="30">
        <f>IF(ISNUMBER(AN50),AN50*AL50,"")</f>
        <v/>
      </c>
      <c r="AQ50" s="30">
        <f>IF(ISNUMBER(AN50),AL50,0)</f>
        <v/>
      </c>
      <c r="BB50" s="30">
        <f>IF(BA50="Yes",AX50,0)</f>
        <v/>
      </c>
      <c r="BC50" s="30">
        <f>IF(AND(BA50="Yes",ISNUMBER(AP50)),AP50,0)</f>
        <v/>
      </c>
      <c r="BD50" s="30">
        <f>IF(BA50="Yes",AX50,IF(ISNUMBER(AP50),AP50,0))</f>
        <v/>
      </c>
    </row>
    <row r="51">
      <c r="A51" s="6" t="inlineStr">
        <is>
          <t>GHA</t>
        </is>
      </c>
      <c r="B51" s="6" t="inlineStr">
        <is>
          <t>Ghana</t>
        </is>
      </c>
      <c r="C51" s="6" t="inlineStr">
        <is>
          <t>Sub-Saharan Africa</t>
        </is>
      </c>
      <c r="D51" s="6" t="inlineStr">
        <is>
          <t>Lower middle income</t>
        </is>
      </c>
      <c r="E51" s="29" t="n">
        <v>4273808</v>
      </c>
      <c r="F51" s="29" t="n">
        <v>4134341</v>
      </c>
      <c r="G51" s="29" t="n">
        <v>4015010</v>
      </c>
      <c r="H51" s="29" t="n">
        <v>3568158</v>
      </c>
      <c r="I51" s="29" t="n">
        <v>3184896</v>
      </c>
      <c r="J51" s="29" t="n">
        <v>2742668</v>
      </c>
      <c r="K51" s="29" t="n">
        <v>2522562</v>
      </c>
      <c r="L51" s="29" t="n">
        <v>2304729</v>
      </c>
      <c r="M51" s="29" t="n">
        <v>2012249</v>
      </c>
      <c r="N51" s="29" t="n">
        <v>1682557</v>
      </c>
      <c r="O51" s="29" t="n">
        <v>1332983</v>
      </c>
      <c r="P51" s="29" t="n">
        <v>1099583</v>
      </c>
      <c r="Q51" s="29" t="n">
        <v>862597</v>
      </c>
      <c r="R51" s="29" t="n">
        <v>562352</v>
      </c>
      <c r="S51" s="29" t="n">
        <v>363769</v>
      </c>
      <c r="T51" s="29" t="n">
        <v>220384</v>
      </c>
      <c r="U51" s="29" t="n">
        <v>181622</v>
      </c>
      <c r="V51" s="29" t="n">
        <v>17554889</v>
      </c>
      <c r="W51" s="29" t="n">
        <v>17509379</v>
      </c>
      <c r="X51" s="30">
        <f>SUM(E51:G51)</f>
        <v/>
      </c>
      <c r="Y51" s="30">
        <f>SUM(H51:I51)</f>
        <v/>
      </c>
      <c r="Z51" s="30">
        <f>SUM(J51:K51)</f>
        <v/>
      </c>
      <c r="AA51" s="30">
        <f>SUM(L51:M51)</f>
        <v/>
      </c>
      <c r="AB51" s="30">
        <f>SUM(N51:O51)</f>
        <v/>
      </c>
      <c r="AC51" s="30">
        <f>SUM(P51:Q51)</f>
        <v/>
      </c>
      <c r="AD51" s="30">
        <f>SUM(R51:U51)</f>
        <v/>
      </c>
      <c r="AE51" s="31">
        <f>SUM(X51:AD51)</f>
        <v/>
      </c>
      <c r="AF51" s="32">
        <f>AE51/SUM($AE$5:$AE$222)</f>
        <v/>
      </c>
      <c r="AG51" s="10">
        <f>RANK(AE51,$AE$5:$AE$222)</f>
        <v/>
      </c>
      <c r="AH51" s="29" t="n">
        <v>34427414</v>
      </c>
      <c r="AI51" s="9">
        <f>IF(AH51&gt;0,AE51/AH51-1,"")</f>
        <v/>
      </c>
      <c r="AJ51" s="29" t="n">
        <v>3257</v>
      </c>
      <c r="AK51" s="19">
        <f>IF(SUM($E51:E51)&gt;=AE51/2,0+5*(AE51/2-0)/E51,IF(SUM($E51:F51)&gt;=AE51/2,5+5*(AE51/2-SUM($E51:E51))/F51,IF(SUM($E51:G51)&gt;=AE51/2,10+5*(AE51/2-SUM($E51:F51))/G51,IF(SUM($E51:H51)&gt;=AE51/2,15+5*(AE51/2-SUM($E51:G51))/H51,IF(SUM($E51:I51)&gt;=AE51/2,20+5*(AE51/2-SUM($E51:H51))/I51,IF(SUM($E51:J51)&gt;=AE51/2,25+5*(AE51/2-SUM($E51:I51))/J51,IF(SUM($E51:K51)&gt;=AE51/2,30+5*(AE51/2-SUM($E51:J51))/K51,IF(SUM($E51:L51)&gt;=AE51/2,35+5*(AE51/2-SUM($E51:K51))/L51,IF(SUM($E51:M51)&gt;=AE51/2,40+5*(AE51/2-SUM($E51:L51))/M51,IF(SUM($E51:N51)&gt;=AE51/2,45+5*(AE51/2-SUM($E51:M51))/N51,IF(SUM($E51:O51)&gt;=AE51/2,50+5*(AE51/2-SUM($E51:N51))/O51,IF(SUM($E51:P51)&gt;=AE51/2,55+5*(AE51/2-SUM($E51:O51))/P51,IF(SUM($E51:Q51)&gt;=AE51/2,60+5*(AE51/2-SUM($E51:P51))/Q51,IF(SUM($E51:R51)&gt;=AE51/2,65+5*(AE51/2-SUM($E51:Q51))/R51,IF(SUM($E51:S51)&gt;=AE51/2,70+5*(AE51/2-SUM($E51:R51))/S51,IF(SUM($E51:T51)&gt;=AE51/2,75+5*(AE51/2-SUM($E51:S51))/T51,""))))))))))))))))</f>
        <v/>
      </c>
      <c r="AL51" s="30">
        <f>SUM(H51:Q51)</f>
        <v/>
      </c>
      <c r="AM51" s="24" t="n">
        <v>0.08699999999999999</v>
      </c>
      <c r="AN51" s="24" t="n">
        <v>0.104</v>
      </c>
      <c r="AO51" s="33">
        <f>IF(AND(ISNUMBER(AN51),ISNUMBER(AM51)),(AN51-AM51)*100,"")</f>
        <v/>
      </c>
      <c r="AP51" s="30">
        <f>IF(ISNUMBER(AN51),AN51*AL51,"")</f>
        <v/>
      </c>
      <c r="AQ51" s="30">
        <f>IF(ISNUMBER(AN51),AL51,0)</f>
        <v/>
      </c>
      <c r="AR51" s="24" t="n">
        <v>0.259</v>
      </c>
      <c r="AS51" s="6" t="inlineStr">
        <is>
          <t>population</t>
        </is>
      </c>
      <c r="AT51" s="6" t="inlineStr">
        <is>
          <t>15+</t>
        </is>
      </c>
      <c r="AU51" s="24" t="n">
        <v>1</v>
      </c>
      <c r="AV51" s="30">
        <f>H51+I51+J51+K51+L51+M51+N51+O51+P51+Q51+R51+S51+T51+U51</f>
        <v/>
      </c>
      <c r="AX51" s="30">
        <f>IF(ISNUMBER(AW51),AW51,AR51*AU51*AV51)</f>
        <v/>
      </c>
      <c r="AY51" s="34">
        <f>AX51/AV51</f>
        <v/>
      </c>
      <c r="AZ51" s="6" t="inlineStr">
        <is>
          <t>C</t>
        </is>
      </c>
      <c r="BA51" s="6" t="inlineStr">
        <is>
          <t>No</t>
        </is>
      </c>
      <c r="BB51" s="30">
        <f>IF(BA51="Yes",AX51,0)</f>
        <v/>
      </c>
      <c r="BC51" s="30">
        <f>IF(AND(BA51="Yes",ISNUMBER(AP51)),AP51,0)</f>
        <v/>
      </c>
      <c r="BD51" s="30">
        <f>IF(BA51="Yes",AX51,IF(ISNUMBER(AP51),AP51,0))</f>
        <v/>
      </c>
      <c r="BE51" s="6" t="inlineStr">
        <is>
          <t>Have ever used AI (daily, weekly or monthly or less)</t>
        </is>
      </c>
      <c r="BF51" s="6" t="inlineStr">
        <is>
          <t>April-July 2026 (Gallup World Poll, probability sample ~1,000)</t>
        </is>
      </c>
      <c r="BG51" s="6" t="inlineStr">
        <is>
          <t>Gallup (World Poll; research run with Microsoft): AI Optimism Globally Widespread Despite Uneven Use</t>
        </is>
      </c>
      <c r="BH51" s="6" t="inlineStr">
        <is>
          <t>https://news.gallup.com/poll/714593/optimism-globally-widespread-despite-uneven.aspx</t>
        </is>
      </c>
    </row>
    <row r="52">
      <c r="A52" s="6" t="inlineStr">
        <is>
          <t>PER</t>
        </is>
      </c>
      <c r="B52" s="6" t="inlineStr">
        <is>
          <t>Peru</t>
        </is>
      </c>
      <c r="C52" s="6" t="inlineStr">
        <is>
          <t>Latin America &amp; Caribbean</t>
        </is>
      </c>
      <c r="D52" s="6" t="inlineStr">
        <is>
          <t>Upper middle income</t>
        </is>
      </c>
      <c r="E52" s="29" t="n">
        <v>2677059</v>
      </c>
      <c r="F52" s="29" t="n">
        <v>2703558</v>
      </c>
      <c r="G52" s="29" t="n">
        <v>2784341</v>
      </c>
      <c r="H52" s="29" t="n">
        <v>2887423</v>
      </c>
      <c r="I52" s="29" t="n">
        <v>2811516</v>
      </c>
      <c r="J52" s="29" t="n">
        <v>2770084</v>
      </c>
      <c r="K52" s="29" t="n">
        <v>2747299</v>
      </c>
      <c r="L52" s="29" t="n">
        <v>2618686</v>
      </c>
      <c r="M52" s="29" t="n">
        <v>2348477</v>
      </c>
      <c r="N52" s="29" t="n">
        <v>2115821</v>
      </c>
      <c r="O52" s="29" t="n">
        <v>1908680</v>
      </c>
      <c r="P52" s="29" t="n">
        <v>1606481</v>
      </c>
      <c r="Q52" s="29" t="n">
        <v>1324019</v>
      </c>
      <c r="R52" s="29" t="n">
        <v>1081705</v>
      </c>
      <c r="S52" s="29" t="n">
        <v>851706</v>
      </c>
      <c r="T52" s="29" t="n">
        <v>613861</v>
      </c>
      <c r="U52" s="29" t="n">
        <v>725951</v>
      </c>
      <c r="V52" s="29" t="n">
        <v>17383433</v>
      </c>
      <c r="W52" s="29" t="n">
        <v>17193234</v>
      </c>
      <c r="X52" s="30">
        <f>SUM(E52:G52)</f>
        <v/>
      </c>
      <c r="Y52" s="30">
        <f>SUM(H52:I52)</f>
        <v/>
      </c>
      <c r="Z52" s="30">
        <f>SUM(J52:K52)</f>
        <v/>
      </c>
      <c r="AA52" s="30">
        <f>SUM(L52:M52)</f>
        <v/>
      </c>
      <c r="AB52" s="30">
        <f>SUM(N52:O52)</f>
        <v/>
      </c>
      <c r="AC52" s="30">
        <f>SUM(P52:Q52)</f>
        <v/>
      </c>
      <c r="AD52" s="30">
        <f>SUM(R52:U52)</f>
        <v/>
      </c>
      <c r="AE52" s="31">
        <f>SUM(X52:AD52)</f>
        <v/>
      </c>
      <c r="AF52" s="32">
        <f>AE52/SUM($AE$5:$AE$222)</f>
        <v/>
      </c>
      <c r="AG52" s="10">
        <f>RANK(AE52,$AE$5:$AE$222)</f>
        <v/>
      </c>
      <c r="AH52" s="29" t="n">
        <v>34217848</v>
      </c>
      <c r="AI52" s="9">
        <f>IF(AH52&gt;0,AE52/AH52-1,"")</f>
        <v/>
      </c>
      <c r="AJ52" s="29" t="n">
        <v>9684</v>
      </c>
      <c r="AK52" s="19">
        <f>IF(SUM($E52:E52)&gt;=AE52/2,0+5*(AE52/2-0)/E52,IF(SUM($E52:F52)&gt;=AE52/2,5+5*(AE52/2-SUM($E52:E52))/F52,IF(SUM($E52:G52)&gt;=AE52/2,10+5*(AE52/2-SUM($E52:F52))/G52,IF(SUM($E52:H52)&gt;=AE52/2,15+5*(AE52/2-SUM($E52:G52))/H52,IF(SUM($E52:I52)&gt;=AE52/2,20+5*(AE52/2-SUM($E52:H52))/I52,IF(SUM($E52:J52)&gt;=AE52/2,25+5*(AE52/2-SUM($E52:I52))/J52,IF(SUM($E52:K52)&gt;=AE52/2,30+5*(AE52/2-SUM($E52:J52))/K52,IF(SUM($E52:L52)&gt;=AE52/2,35+5*(AE52/2-SUM($E52:K52))/L52,IF(SUM($E52:M52)&gt;=AE52/2,40+5*(AE52/2-SUM($E52:L52))/M52,IF(SUM($E52:N52)&gt;=AE52/2,45+5*(AE52/2-SUM($E52:M52))/N52,IF(SUM($E52:O52)&gt;=AE52/2,50+5*(AE52/2-SUM($E52:N52))/O52,IF(SUM($E52:P52)&gt;=AE52/2,55+5*(AE52/2-SUM($E52:O52))/P52,IF(SUM($E52:Q52)&gt;=AE52/2,60+5*(AE52/2-SUM($E52:P52))/Q52,IF(SUM($E52:R52)&gt;=AE52/2,65+5*(AE52/2-SUM($E52:Q52))/R52,IF(SUM($E52:S52)&gt;=AE52/2,70+5*(AE52/2-SUM($E52:R52))/S52,IF(SUM($E52:T52)&gt;=AE52/2,75+5*(AE52/2-SUM($E52:S52))/T52,""))))))))))))))))</f>
        <v/>
      </c>
      <c r="AL52" s="30">
        <f>SUM(H52:Q52)</f>
        <v/>
      </c>
      <c r="AM52" s="24" t="n">
        <v>0.134</v>
      </c>
      <c r="AN52" s="24" t="n">
        <v>0.173</v>
      </c>
      <c r="AO52" s="33">
        <f>IF(AND(ISNUMBER(AN52),ISNUMBER(AM52)),(AN52-AM52)*100,"")</f>
        <v/>
      </c>
      <c r="AP52" s="30">
        <f>IF(ISNUMBER(AN52),AN52*AL52,"")</f>
        <v/>
      </c>
      <c r="AQ52" s="30">
        <f>IF(ISNUMBER(AN52),AL52,0)</f>
        <v/>
      </c>
      <c r="AR52" s="24" t="n">
        <v>0.163</v>
      </c>
      <c r="AS52" s="6" t="inlineStr">
        <is>
          <t>population</t>
        </is>
      </c>
      <c r="AT52" s="6" t="inlineStr">
        <is>
          <t>12+</t>
        </is>
      </c>
      <c r="AU52" s="24" t="n">
        <v>1</v>
      </c>
      <c r="AV52" s="30">
        <f>G52*0.6+H52+I52+J52+K52+L52+M52+N52+O52+P52+Q52+R52+S52+T52+U52</f>
        <v/>
      </c>
      <c r="AX52" s="30">
        <f>IF(ISNUMBER(AW52),AW52,AR52*AU52*AV52)</f>
        <v/>
      </c>
      <c r="AY52" s="34">
        <f>AX52/AV52</f>
        <v/>
      </c>
      <c r="AZ52" s="6" t="inlineStr">
        <is>
          <t>A</t>
        </is>
      </c>
      <c r="BA52" s="6" t="inlineStr">
        <is>
          <t>Yes</t>
        </is>
      </c>
      <c r="BB52" s="30">
        <f>IF(BA52="Yes",AX52,0)</f>
        <v/>
      </c>
      <c r="BC52" s="30">
        <f>IF(AND(BA52="Yes",ISNUMBER(AP52)),AP52,0)</f>
        <v/>
      </c>
      <c r="BD52" s="30">
        <f>IF(BA52="Yes",AX52,IF(ISNUMBER(AP52),AP52,0))</f>
        <v/>
      </c>
      <c r="BE52" s="6" t="inlineStr">
        <is>
          <t>Used AI tools (ChatGPT, Copilot, Gemini, etc.); share of all people aged 12+</t>
        </is>
      </c>
      <c r="BF52" s="6" t="inlineStr">
        <is>
          <t>End of 2025</t>
        </is>
      </c>
      <c r="BG52" s="6" t="inlineStr">
        <is>
          <t>OSIPTEL (telecoms regulator): Residential Telecommunications Services Survey (ERESTEL) 2025</t>
        </is>
      </c>
      <c r="BH52" s="6" t="inlineStr">
        <is>
          <t>https://www.gob.pe/institucion/osiptel/noticias/1399737</t>
        </is>
      </c>
    </row>
    <row r="53">
      <c r="A53" s="6" t="inlineStr">
        <is>
          <t>MDG</t>
        </is>
      </c>
      <c r="B53" s="6" t="inlineStr">
        <is>
          <t>Madagascar</t>
        </is>
      </c>
      <c r="C53" s="6" t="inlineStr">
        <is>
          <t>Sub-Saharan Africa</t>
        </is>
      </c>
      <c r="D53" s="6" t="inlineStr">
        <is>
          <t>Low income</t>
        </is>
      </c>
      <c r="E53" s="29" t="n">
        <v>4717036</v>
      </c>
      <c r="F53" s="29" t="n">
        <v>4227027</v>
      </c>
      <c r="G53" s="29" t="n">
        <v>3804391</v>
      </c>
      <c r="H53" s="29" t="n">
        <v>3488560</v>
      </c>
      <c r="I53" s="29" t="n">
        <v>3087447</v>
      </c>
      <c r="J53" s="29" t="n">
        <v>2777911</v>
      </c>
      <c r="K53" s="29" t="n">
        <v>2263383</v>
      </c>
      <c r="L53" s="29" t="n">
        <v>1823901</v>
      </c>
      <c r="M53" s="29" t="n">
        <v>1545896</v>
      </c>
      <c r="N53" s="29" t="n">
        <v>1320372</v>
      </c>
      <c r="O53" s="29" t="n">
        <v>1075039</v>
      </c>
      <c r="P53" s="29" t="n">
        <v>828954</v>
      </c>
      <c r="Q53" s="29" t="n">
        <v>643708</v>
      </c>
      <c r="R53" s="29" t="n">
        <v>493733</v>
      </c>
      <c r="S53" s="29" t="n">
        <v>342650</v>
      </c>
      <c r="T53" s="29" t="n">
        <v>178831</v>
      </c>
      <c r="U53" s="29" t="n">
        <v>121838</v>
      </c>
      <c r="V53" s="29" t="n">
        <v>16318886</v>
      </c>
      <c r="W53" s="29" t="n">
        <v>16421791</v>
      </c>
      <c r="X53" s="30">
        <f>SUM(E53:G53)</f>
        <v/>
      </c>
      <c r="Y53" s="30">
        <f>SUM(H53:I53)</f>
        <v/>
      </c>
      <c r="Z53" s="30">
        <f>SUM(J53:K53)</f>
        <v/>
      </c>
      <c r="AA53" s="30">
        <f>SUM(L53:M53)</f>
        <v/>
      </c>
      <c r="AB53" s="30">
        <f>SUM(N53:O53)</f>
        <v/>
      </c>
      <c r="AC53" s="30">
        <f>SUM(P53:Q53)</f>
        <v/>
      </c>
      <c r="AD53" s="30">
        <f>SUM(R53:U53)</f>
        <v/>
      </c>
      <c r="AE53" s="31">
        <f>SUM(X53:AD53)</f>
        <v/>
      </c>
      <c r="AF53" s="32">
        <f>AE53/SUM($AE$5:$AE$222)</f>
        <v/>
      </c>
      <c r="AG53" s="10">
        <f>RANK(AE53,$AE$5:$AE$222)</f>
        <v/>
      </c>
      <c r="AH53" s="29" t="n">
        <v>31964956</v>
      </c>
      <c r="AI53" s="9">
        <f>IF(AH53&gt;0,AE53/AH53-1,"")</f>
        <v/>
      </c>
      <c r="AJ53" s="29" t="n">
        <v>599</v>
      </c>
      <c r="AK53" s="19">
        <f>IF(SUM($E53:E53)&gt;=AE53/2,0+5*(AE53/2-0)/E53,IF(SUM($E53:F53)&gt;=AE53/2,5+5*(AE53/2-SUM($E53:E53))/F53,IF(SUM($E53:G53)&gt;=AE53/2,10+5*(AE53/2-SUM($E53:F53))/G53,IF(SUM($E53:H53)&gt;=AE53/2,15+5*(AE53/2-SUM($E53:G53))/H53,IF(SUM($E53:I53)&gt;=AE53/2,20+5*(AE53/2-SUM($E53:H53))/I53,IF(SUM($E53:J53)&gt;=AE53/2,25+5*(AE53/2-SUM($E53:I53))/J53,IF(SUM($E53:K53)&gt;=AE53/2,30+5*(AE53/2-SUM($E53:J53))/K53,IF(SUM($E53:L53)&gt;=AE53/2,35+5*(AE53/2-SUM($E53:K53))/L53,IF(SUM($E53:M53)&gt;=AE53/2,40+5*(AE53/2-SUM($E53:L53))/M53,IF(SUM($E53:N53)&gt;=AE53/2,45+5*(AE53/2-SUM($E53:M53))/N53,IF(SUM($E53:O53)&gt;=AE53/2,50+5*(AE53/2-SUM($E53:N53))/O53,IF(SUM($E53:P53)&gt;=AE53/2,55+5*(AE53/2-SUM($E53:O53))/P53,IF(SUM($E53:Q53)&gt;=AE53/2,60+5*(AE53/2-SUM($E53:P53))/Q53,IF(SUM($E53:R53)&gt;=AE53/2,65+5*(AE53/2-SUM($E53:Q53))/R53,IF(SUM($E53:S53)&gt;=AE53/2,70+5*(AE53/2-SUM($E53:R53))/S53,IF(SUM($E53:T53)&gt;=AE53/2,75+5*(AE53/2-SUM($E53:S53))/T53,""))))))))))))))))</f>
        <v/>
      </c>
      <c r="AL53" s="30">
        <f>SUM(H53:Q53)</f>
        <v/>
      </c>
      <c r="AM53" s="24" t="n">
        <v>0.08900000000000001</v>
      </c>
      <c r="AN53" s="24" t="n">
        <v>0.114</v>
      </c>
      <c r="AO53" s="33">
        <f>IF(AND(ISNUMBER(AN53),ISNUMBER(AM53)),(AN53-AM53)*100,"")</f>
        <v/>
      </c>
      <c r="AP53" s="30">
        <f>IF(ISNUMBER(AN53),AN53*AL53,"")</f>
        <v/>
      </c>
      <c r="AQ53" s="30">
        <f>IF(ISNUMBER(AN53),AL53,0)</f>
        <v/>
      </c>
      <c r="BB53" s="30">
        <f>IF(BA53="Yes",AX53,0)</f>
        <v/>
      </c>
      <c r="BC53" s="30">
        <f>IF(AND(BA53="Yes",ISNUMBER(AP53)),AP53,0)</f>
        <v/>
      </c>
      <c r="BD53" s="30">
        <f>IF(BA53="Yes",AX53,IF(ISNUMBER(AP53),AP53,0))</f>
        <v/>
      </c>
    </row>
    <row r="54">
      <c r="A54" s="6" t="inlineStr">
        <is>
          <t>CIV</t>
        </is>
      </c>
      <c r="B54" s="6" t="inlineStr">
        <is>
          <t>Cote d'Ivoire</t>
        </is>
      </c>
      <c r="C54" s="6" t="inlineStr">
        <is>
          <t>Sub-Saharan Africa</t>
        </is>
      </c>
      <c r="D54" s="6" t="inlineStr">
        <is>
          <t>Lower middle income</t>
        </is>
      </c>
      <c r="E54" s="29" t="n">
        <v>4684557</v>
      </c>
      <c r="F54" s="29" t="n">
        <v>4475574</v>
      </c>
      <c r="G54" s="29" t="n">
        <v>4073455</v>
      </c>
      <c r="H54" s="29" t="n">
        <v>3553342</v>
      </c>
      <c r="I54" s="29" t="n">
        <v>2892760</v>
      </c>
      <c r="J54" s="29" t="n">
        <v>2375926</v>
      </c>
      <c r="K54" s="29" t="n">
        <v>2175293</v>
      </c>
      <c r="L54" s="29" t="n">
        <v>2068588</v>
      </c>
      <c r="M54" s="29" t="n">
        <v>1798784</v>
      </c>
      <c r="N54" s="29" t="n">
        <v>1411558</v>
      </c>
      <c r="O54" s="29" t="n">
        <v>1030432</v>
      </c>
      <c r="P54" s="29" t="n">
        <v>750730</v>
      </c>
      <c r="Q54" s="29" t="n">
        <v>552560</v>
      </c>
      <c r="R54" s="29" t="n">
        <v>380469</v>
      </c>
      <c r="S54" s="29" t="n">
        <v>239055</v>
      </c>
      <c r="T54" s="29" t="n">
        <v>138523</v>
      </c>
      <c r="U54" s="29" t="n">
        <v>109940</v>
      </c>
      <c r="V54" s="29" t="n">
        <v>16083182</v>
      </c>
      <c r="W54" s="29" t="n">
        <v>16628364</v>
      </c>
      <c r="X54" s="30">
        <f>SUM(E54:G54)</f>
        <v/>
      </c>
      <c r="Y54" s="30">
        <f>SUM(H54:I54)</f>
        <v/>
      </c>
      <c r="Z54" s="30">
        <f>SUM(J54:K54)</f>
        <v/>
      </c>
      <c r="AA54" s="30">
        <f>SUM(L54:M54)</f>
        <v/>
      </c>
      <c r="AB54" s="30">
        <f>SUM(N54:O54)</f>
        <v/>
      </c>
      <c r="AC54" s="30">
        <f>SUM(P54:Q54)</f>
        <v/>
      </c>
      <c r="AD54" s="30">
        <f>SUM(R54:U54)</f>
        <v/>
      </c>
      <c r="AE54" s="31">
        <f>SUM(X54:AD54)</f>
        <v/>
      </c>
      <c r="AF54" s="32">
        <f>AE54/SUM($AE$5:$AE$222)</f>
        <v/>
      </c>
      <c r="AG54" s="10">
        <f>RANK(AE54,$AE$5:$AE$222)</f>
        <v/>
      </c>
      <c r="AH54" s="29" t="n">
        <v>31934230</v>
      </c>
      <c r="AI54" s="9">
        <f>IF(AH54&gt;0,AE54/AH54-1,"")</f>
        <v/>
      </c>
      <c r="AJ54" s="29" t="n">
        <v>3050</v>
      </c>
      <c r="AK54" s="19">
        <f>IF(SUM($E54:E54)&gt;=AE54/2,0+5*(AE54/2-0)/E54,IF(SUM($E54:F54)&gt;=AE54/2,5+5*(AE54/2-SUM($E54:E54))/F54,IF(SUM($E54:G54)&gt;=AE54/2,10+5*(AE54/2-SUM($E54:F54))/G54,IF(SUM($E54:H54)&gt;=AE54/2,15+5*(AE54/2-SUM($E54:G54))/H54,IF(SUM($E54:I54)&gt;=AE54/2,20+5*(AE54/2-SUM($E54:H54))/I54,IF(SUM($E54:J54)&gt;=AE54/2,25+5*(AE54/2-SUM($E54:I54))/J54,IF(SUM($E54:K54)&gt;=AE54/2,30+5*(AE54/2-SUM($E54:J54))/K54,IF(SUM($E54:L54)&gt;=AE54/2,35+5*(AE54/2-SUM($E54:K54))/L54,IF(SUM($E54:M54)&gt;=AE54/2,40+5*(AE54/2-SUM($E54:L54))/M54,IF(SUM($E54:N54)&gt;=AE54/2,45+5*(AE54/2-SUM($E54:M54))/N54,IF(SUM($E54:O54)&gt;=AE54/2,50+5*(AE54/2-SUM($E54:N54))/O54,IF(SUM($E54:P54)&gt;=AE54/2,55+5*(AE54/2-SUM($E54:O54))/P54,IF(SUM($E54:Q54)&gt;=AE54/2,60+5*(AE54/2-SUM($E54:P54))/Q54,IF(SUM($E54:R54)&gt;=AE54/2,65+5*(AE54/2-SUM($E54:Q54))/R54,IF(SUM($E54:S54)&gt;=AE54/2,70+5*(AE54/2-SUM($E54:R54))/S54,IF(SUM($E54:T54)&gt;=AE54/2,75+5*(AE54/2-SUM($E54:S54))/T54,""))))))))))))))))</f>
        <v/>
      </c>
      <c r="AL54" s="30">
        <f>SUM(H54:Q54)</f>
        <v/>
      </c>
      <c r="AM54" s="24" t="n">
        <v>0.108</v>
      </c>
      <c r="AN54" s="24" t="n">
        <v>0.137</v>
      </c>
      <c r="AO54" s="33">
        <f>IF(AND(ISNUMBER(AN54),ISNUMBER(AM54)),(AN54-AM54)*100,"")</f>
        <v/>
      </c>
      <c r="AP54" s="30">
        <f>IF(ISNUMBER(AN54),AN54*AL54,"")</f>
        <v/>
      </c>
      <c r="AQ54" s="30">
        <f>IF(ISNUMBER(AN54),AL54,0)</f>
        <v/>
      </c>
      <c r="BB54" s="30">
        <f>IF(BA54="Yes",AX54,0)</f>
        <v/>
      </c>
      <c r="BC54" s="30">
        <f>IF(AND(BA54="Yes",ISNUMBER(AP54)),AP54,0)</f>
        <v/>
      </c>
      <c r="BD54" s="30">
        <f>IF(BA54="Yes",AX54,IF(ISNUMBER(AP54),AP54,0))</f>
        <v/>
      </c>
    </row>
    <row r="55">
      <c r="A55" s="6" t="inlineStr">
        <is>
          <t>CMR</t>
        </is>
      </c>
      <c r="B55" s="6" t="inlineStr">
        <is>
          <t>Cameroon</t>
        </is>
      </c>
      <c r="C55" s="6" t="inlineStr">
        <is>
          <t>Sub-Saharan Africa</t>
        </is>
      </c>
      <c r="D55" s="6" t="inlineStr">
        <is>
          <t>Lower middle income</t>
        </is>
      </c>
      <c r="E55" s="29" t="n">
        <v>4497816</v>
      </c>
      <c r="F55" s="29" t="n">
        <v>4147179</v>
      </c>
      <c r="G55" s="29" t="n">
        <v>3640612</v>
      </c>
      <c r="H55" s="29" t="n">
        <v>3231484</v>
      </c>
      <c r="I55" s="29" t="n">
        <v>2719357</v>
      </c>
      <c r="J55" s="29" t="n">
        <v>2306421</v>
      </c>
      <c r="K55" s="29" t="n">
        <v>2045751</v>
      </c>
      <c r="L55" s="29" t="n">
        <v>1767045</v>
      </c>
      <c r="M55" s="29" t="n">
        <v>1456692</v>
      </c>
      <c r="N55" s="29" t="n">
        <v>1152155</v>
      </c>
      <c r="O55" s="29" t="n">
        <v>900180</v>
      </c>
      <c r="P55" s="29" t="n">
        <v>676549</v>
      </c>
      <c r="Q55" s="29" t="n">
        <v>496221</v>
      </c>
      <c r="R55" s="29" t="n">
        <v>361102</v>
      </c>
      <c r="S55" s="29" t="n">
        <v>238169</v>
      </c>
      <c r="T55" s="29" t="n">
        <v>138363</v>
      </c>
      <c r="U55" s="29" t="n">
        <v>104244</v>
      </c>
      <c r="V55" s="29" t="n">
        <v>14989112</v>
      </c>
      <c r="W55" s="29" t="n">
        <v>14890228</v>
      </c>
      <c r="X55" s="30">
        <f>SUM(E55:G55)</f>
        <v/>
      </c>
      <c r="Y55" s="30">
        <f>SUM(H55:I55)</f>
        <v/>
      </c>
      <c r="Z55" s="30">
        <f>SUM(J55:K55)</f>
        <v/>
      </c>
      <c r="AA55" s="30">
        <f>SUM(L55:M55)</f>
        <v/>
      </c>
      <c r="AB55" s="30">
        <f>SUM(N55:O55)</f>
        <v/>
      </c>
      <c r="AC55" s="30">
        <f>SUM(P55:Q55)</f>
        <v/>
      </c>
      <c r="AD55" s="30">
        <f>SUM(R55:U55)</f>
        <v/>
      </c>
      <c r="AE55" s="31">
        <f>SUM(X55:AD55)</f>
        <v/>
      </c>
      <c r="AF55" s="32">
        <f>AE55/SUM($AE$5:$AE$222)</f>
        <v/>
      </c>
      <c r="AG55" s="10">
        <f>RANK(AE55,$AE$5:$AE$222)</f>
        <v/>
      </c>
      <c r="AH55" s="29" t="n">
        <v>29123744</v>
      </c>
      <c r="AI55" s="9">
        <f>IF(AH55&gt;0,AE55/AH55-1,"")</f>
        <v/>
      </c>
      <c r="AJ55" s="29" t="n">
        <v>1972</v>
      </c>
      <c r="AK55" s="19">
        <f>IF(SUM($E55:E55)&gt;=AE55/2,0+5*(AE55/2-0)/E55,IF(SUM($E55:F55)&gt;=AE55/2,5+5*(AE55/2-SUM($E55:E55))/F55,IF(SUM($E55:G55)&gt;=AE55/2,10+5*(AE55/2-SUM($E55:F55))/G55,IF(SUM($E55:H55)&gt;=AE55/2,15+5*(AE55/2-SUM($E55:G55))/H55,IF(SUM($E55:I55)&gt;=AE55/2,20+5*(AE55/2-SUM($E55:H55))/I55,IF(SUM($E55:J55)&gt;=AE55/2,25+5*(AE55/2-SUM($E55:I55))/J55,IF(SUM($E55:K55)&gt;=AE55/2,30+5*(AE55/2-SUM($E55:J55))/K55,IF(SUM($E55:L55)&gt;=AE55/2,35+5*(AE55/2-SUM($E55:K55))/L55,IF(SUM($E55:M55)&gt;=AE55/2,40+5*(AE55/2-SUM($E55:L55))/M55,IF(SUM($E55:N55)&gt;=AE55/2,45+5*(AE55/2-SUM($E55:M55))/N55,IF(SUM($E55:O55)&gt;=AE55/2,50+5*(AE55/2-SUM($E55:N55))/O55,IF(SUM($E55:P55)&gt;=AE55/2,55+5*(AE55/2-SUM($E55:O55))/P55,IF(SUM($E55:Q55)&gt;=AE55/2,60+5*(AE55/2-SUM($E55:P55))/Q55,IF(SUM($E55:R55)&gt;=AE55/2,65+5*(AE55/2-SUM($E55:Q55))/R55,IF(SUM($E55:S55)&gt;=AE55/2,70+5*(AE55/2-SUM($E55:R55))/S55,IF(SUM($E55:T55)&gt;=AE55/2,75+5*(AE55/2-SUM($E55:S55))/T55,""))))))))))))))))</f>
        <v/>
      </c>
      <c r="AL55" s="30">
        <f>SUM(H55:Q55)</f>
        <v/>
      </c>
      <c r="AM55" s="24" t="n">
        <v>0.07000000000000001</v>
      </c>
      <c r="AN55" s="24" t="n">
        <v>0.091</v>
      </c>
      <c r="AO55" s="33">
        <f>IF(AND(ISNUMBER(AN55),ISNUMBER(AM55)),(AN55-AM55)*100,"")</f>
        <v/>
      </c>
      <c r="AP55" s="30">
        <f>IF(ISNUMBER(AN55),AN55*AL55,"")</f>
        <v/>
      </c>
      <c r="AQ55" s="30">
        <f>IF(ISNUMBER(AN55),AL55,0)</f>
        <v/>
      </c>
      <c r="BB55" s="30">
        <f>IF(BA55="Yes",AX55,0)</f>
        <v/>
      </c>
      <c r="BC55" s="30">
        <f>IF(AND(BA55="Yes",ISNUMBER(AP55)),AP55,0)</f>
        <v/>
      </c>
      <c r="BD55" s="30">
        <f>IF(BA55="Yes",AX55,IF(ISNUMBER(AP55),AP55,0))</f>
        <v/>
      </c>
    </row>
    <row r="56">
      <c r="A56" s="6" t="inlineStr">
        <is>
          <t>NPL</t>
        </is>
      </c>
      <c r="B56" s="6" t="inlineStr">
        <is>
          <t>Nepal</t>
        </is>
      </c>
      <c r="C56" s="6" t="inlineStr">
        <is>
          <t>South Asia</t>
        </is>
      </c>
      <c r="D56" s="6" t="inlineStr">
        <is>
          <t>Lower middle income</t>
        </is>
      </c>
      <c r="E56" s="29" t="n">
        <v>2717881</v>
      </c>
      <c r="F56" s="29" t="n">
        <v>2750942</v>
      </c>
      <c r="G56" s="29" t="n">
        <v>2839644</v>
      </c>
      <c r="H56" s="29" t="n">
        <v>2898715</v>
      </c>
      <c r="I56" s="29" t="n">
        <v>2863114</v>
      </c>
      <c r="J56" s="29" t="n">
        <v>2644652</v>
      </c>
      <c r="K56" s="29" t="n">
        <v>2295115</v>
      </c>
      <c r="L56" s="29" t="n">
        <v>1968407</v>
      </c>
      <c r="M56" s="29" t="n">
        <v>1774607</v>
      </c>
      <c r="N56" s="29" t="n">
        <v>1528953</v>
      </c>
      <c r="O56" s="29" t="n">
        <v>1349838</v>
      </c>
      <c r="P56" s="29" t="n">
        <v>1101136</v>
      </c>
      <c r="Q56" s="29" t="n">
        <v>923155</v>
      </c>
      <c r="R56" s="29" t="n">
        <v>753979</v>
      </c>
      <c r="S56" s="29" t="n">
        <v>570728</v>
      </c>
      <c r="T56" s="29" t="n">
        <v>371369</v>
      </c>
      <c r="U56" s="29" t="n">
        <v>265885</v>
      </c>
      <c r="V56" s="29" t="n">
        <v>15487911</v>
      </c>
      <c r="W56" s="29" t="n">
        <v>14130209</v>
      </c>
      <c r="X56" s="30">
        <f>SUM(E56:G56)</f>
        <v/>
      </c>
      <c r="Y56" s="30">
        <f>SUM(H56:I56)</f>
        <v/>
      </c>
      <c r="Z56" s="30">
        <f>SUM(J56:K56)</f>
        <v/>
      </c>
      <c r="AA56" s="30">
        <f>SUM(L56:M56)</f>
        <v/>
      </c>
      <c r="AB56" s="30">
        <f>SUM(N56:O56)</f>
        <v/>
      </c>
      <c r="AC56" s="30">
        <f>SUM(P56:Q56)</f>
        <v/>
      </c>
      <c r="AD56" s="30">
        <f>SUM(R56:U56)</f>
        <v/>
      </c>
      <c r="AE56" s="31">
        <f>SUM(X56:AD56)</f>
        <v/>
      </c>
      <c r="AF56" s="32">
        <f>AE56/SUM($AE$5:$AE$222)</f>
        <v/>
      </c>
      <c r="AG56" s="10">
        <f>RANK(AE56,$AE$5:$AE$222)</f>
        <v/>
      </c>
      <c r="AH56" s="29" t="n">
        <v>29651054</v>
      </c>
      <c r="AI56" s="9">
        <f>IF(AH56&gt;0,AE56/AH56-1,"")</f>
        <v/>
      </c>
      <c r="AJ56" s="29" t="n">
        <v>1536</v>
      </c>
      <c r="AK56" s="19">
        <f>IF(SUM($E56:E56)&gt;=AE56/2,0+5*(AE56/2-0)/E56,IF(SUM($E56:F56)&gt;=AE56/2,5+5*(AE56/2-SUM($E56:E56))/F56,IF(SUM($E56:G56)&gt;=AE56/2,10+5*(AE56/2-SUM($E56:F56))/G56,IF(SUM($E56:H56)&gt;=AE56/2,15+5*(AE56/2-SUM($E56:G56))/H56,IF(SUM($E56:I56)&gt;=AE56/2,20+5*(AE56/2-SUM($E56:H56))/I56,IF(SUM($E56:J56)&gt;=AE56/2,25+5*(AE56/2-SUM($E56:I56))/J56,IF(SUM($E56:K56)&gt;=AE56/2,30+5*(AE56/2-SUM($E56:J56))/K56,IF(SUM($E56:L56)&gt;=AE56/2,35+5*(AE56/2-SUM($E56:K56))/L56,IF(SUM($E56:M56)&gt;=AE56/2,40+5*(AE56/2-SUM($E56:L56))/M56,IF(SUM($E56:N56)&gt;=AE56/2,45+5*(AE56/2-SUM($E56:M56))/N56,IF(SUM($E56:O56)&gt;=AE56/2,50+5*(AE56/2-SUM($E56:N56))/O56,IF(SUM($E56:P56)&gt;=AE56/2,55+5*(AE56/2-SUM($E56:O56))/P56,IF(SUM($E56:Q56)&gt;=AE56/2,60+5*(AE56/2-SUM($E56:P56))/Q56,IF(SUM($E56:R56)&gt;=AE56/2,65+5*(AE56/2-SUM($E56:Q56))/R56,IF(SUM($E56:S56)&gt;=AE56/2,70+5*(AE56/2-SUM($E56:R56))/S56,IF(SUM($E56:T56)&gt;=AE56/2,75+5*(AE56/2-SUM($E56:S56))/T56,""))))))))))))))))</f>
        <v/>
      </c>
      <c r="AL56" s="30">
        <f>SUM(H56:Q56)</f>
        <v/>
      </c>
      <c r="AM56" s="24" t="n">
        <v>0.123</v>
      </c>
      <c r="AN56" s="24" t="n">
        <v>0.146</v>
      </c>
      <c r="AO56" s="33">
        <f>IF(AND(ISNUMBER(AN56),ISNUMBER(AM56)),(AN56-AM56)*100,"")</f>
        <v/>
      </c>
      <c r="AP56" s="30">
        <f>IF(ISNUMBER(AN56),AN56*AL56,"")</f>
        <v/>
      </c>
      <c r="AQ56" s="30">
        <f>IF(ISNUMBER(AN56),AL56,0)</f>
        <v/>
      </c>
      <c r="BB56" s="30">
        <f>IF(BA56="Yes",AX56,0)</f>
        <v/>
      </c>
      <c r="BC56" s="30">
        <f>IF(AND(BA56="Yes",ISNUMBER(AP56)),AP56,0)</f>
        <v/>
      </c>
      <c r="BD56" s="30">
        <f>IF(BA56="Yes",AX56,IF(ISNUMBER(AP56),AP56,0))</f>
        <v/>
      </c>
    </row>
    <row r="57">
      <c r="A57" s="6" t="inlineStr">
        <is>
          <t>VEN</t>
        </is>
      </c>
      <c r="B57" s="6" t="inlineStr">
        <is>
          <t>Venezuela, RB</t>
        </is>
      </c>
      <c r="C57" s="6" t="inlineStr">
        <is>
          <t>Latin America &amp; Caribbean</t>
        </is>
      </c>
      <c r="D57" s="6" t="inlineStr">
        <is>
          <t>Lower middle income</t>
        </is>
      </c>
      <c r="E57" s="29" t="n">
        <v>2079904</v>
      </c>
      <c r="F57" s="29" t="n">
        <v>2336553</v>
      </c>
      <c r="G57" s="29" t="n">
        <v>2688812</v>
      </c>
      <c r="H57" s="29" t="n">
        <v>2743062</v>
      </c>
      <c r="I57" s="29" t="n">
        <v>2399774</v>
      </c>
      <c r="J57" s="29" t="n">
        <v>1876897</v>
      </c>
      <c r="K57" s="29" t="n">
        <v>1728205</v>
      </c>
      <c r="L57" s="29" t="n">
        <v>1799037</v>
      </c>
      <c r="M57" s="29" t="n">
        <v>1792536</v>
      </c>
      <c r="N57" s="29" t="n">
        <v>1755658</v>
      </c>
      <c r="O57" s="29" t="n">
        <v>1629011</v>
      </c>
      <c r="P57" s="29" t="n">
        <v>1507117</v>
      </c>
      <c r="Q57" s="29" t="n">
        <v>1323439</v>
      </c>
      <c r="R57" s="29" t="n">
        <v>1089374</v>
      </c>
      <c r="S57" s="29" t="n">
        <v>782479</v>
      </c>
      <c r="T57" s="29" t="n">
        <v>517317</v>
      </c>
      <c r="U57" s="29" t="n">
        <v>467726</v>
      </c>
      <c r="V57" s="29" t="n">
        <v>14433913</v>
      </c>
      <c r="W57" s="29" t="n">
        <v>14082988</v>
      </c>
      <c r="X57" s="30">
        <f>SUM(E57:G57)</f>
        <v/>
      </c>
      <c r="Y57" s="30">
        <f>SUM(H57:I57)</f>
        <v/>
      </c>
      <c r="Z57" s="30">
        <f>SUM(J57:K57)</f>
        <v/>
      </c>
      <c r="AA57" s="30">
        <f>SUM(L57:M57)</f>
        <v/>
      </c>
      <c r="AB57" s="30">
        <f>SUM(N57:O57)</f>
        <v/>
      </c>
      <c r="AC57" s="30">
        <f>SUM(P57:Q57)</f>
        <v/>
      </c>
      <c r="AD57" s="30">
        <f>SUM(R57:U57)</f>
        <v/>
      </c>
      <c r="AE57" s="31">
        <f>SUM(X57:AD57)</f>
        <v/>
      </c>
      <c r="AF57" s="32">
        <f>AE57/SUM($AE$5:$AE$222)</f>
        <v/>
      </c>
      <c r="AG57" s="10">
        <f>RANK(AE57,$AE$5:$AE$222)</f>
        <v/>
      </c>
      <c r="AH57" s="29" t="n">
        <v>28405543</v>
      </c>
      <c r="AI57" s="9">
        <f>IF(AH57&gt;0,AE57/AH57-1,"")</f>
        <v/>
      </c>
      <c r="AJ57" s="29" t="n">
        <v>3495</v>
      </c>
      <c r="AK57" s="19">
        <f>IF(SUM($E57:E57)&gt;=AE57/2,0+5*(AE57/2-0)/E57,IF(SUM($E57:F57)&gt;=AE57/2,5+5*(AE57/2-SUM($E57:E57))/F57,IF(SUM($E57:G57)&gt;=AE57/2,10+5*(AE57/2-SUM($E57:F57))/G57,IF(SUM($E57:H57)&gt;=AE57/2,15+5*(AE57/2-SUM($E57:G57))/H57,IF(SUM($E57:I57)&gt;=AE57/2,20+5*(AE57/2-SUM($E57:H57))/I57,IF(SUM($E57:J57)&gt;=AE57/2,25+5*(AE57/2-SUM($E57:I57))/J57,IF(SUM($E57:K57)&gt;=AE57/2,30+5*(AE57/2-SUM($E57:J57))/K57,IF(SUM($E57:L57)&gt;=AE57/2,35+5*(AE57/2-SUM($E57:K57))/L57,IF(SUM($E57:M57)&gt;=AE57/2,40+5*(AE57/2-SUM($E57:L57))/M57,IF(SUM($E57:N57)&gt;=AE57/2,45+5*(AE57/2-SUM($E57:M57))/N57,IF(SUM($E57:O57)&gt;=AE57/2,50+5*(AE57/2-SUM($E57:N57))/O57,IF(SUM($E57:P57)&gt;=AE57/2,55+5*(AE57/2-SUM($E57:O57))/P57,IF(SUM($E57:Q57)&gt;=AE57/2,60+5*(AE57/2-SUM($E57:P57))/Q57,IF(SUM($E57:R57)&gt;=AE57/2,65+5*(AE57/2-SUM($E57:Q57))/R57,IF(SUM($E57:S57)&gt;=AE57/2,70+5*(AE57/2-SUM($E57:R57))/S57,IF(SUM($E57:T57)&gt;=AE57/2,75+5*(AE57/2-SUM($E57:S57))/T57,""))))))))))))))))</f>
        <v/>
      </c>
      <c r="AL57" s="30">
        <f>SUM(H57:Q57)</f>
        <v/>
      </c>
      <c r="AM57" s="24" t="n">
        <v>0.083</v>
      </c>
      <c r="AN57" s="24" t="n">
        <v>0.113</v>
      </c>
      <c r="AO57" s="33">
        <f>IF(AND(ISNUMBER(AN57),ISNUMBER(AM57)),(AN57-AM57)*100,"")</f>
        <v/>
      </c>
      <c r="AP57" s="30">
        <f>IF(ISNUMBER(AN57),AN57*AL57,"")</f>
        <v/>
      </c>
      <c r="AQ57" s="30">
        <f>IF(ISNUMBER(AN57),AL57,0)</f>
        <v/>
      </c>
      <c r="BB57" s="30">
        <f>IF(BA57="Yes",AX57,0)</f>
        <v/>
      </c>
      <c r="BC57" s="30">
        <f>IF(AND(BA57="Yes",ISNUMBER(AP57)),AP57,0)</f>
        <v/>
      </c>
      <c r="BD57" s="30">
        <f>IF(BA57="Yes",AX57,IF(ISNUMBER(AP57),AP57,0))</f>
        <v/>
      </c>
    </row>
    <row r="58">
      <c r="A58" s="6" t="inlineStr">
        <is>
          <t>NER</t>
        </is>
      </c>
      <c r="B58" s="6" t="inlineStr">
        <is>
          <t>Niger</t>
        </is>
      </c>
      <c r="C58" s="6" t="inlineStr">
        <is>
          <t>Sub-Saharan Africa</t>
        </is>
      </c>
      <c r="D58" s="6" t="inlineStr">
        <is>
          <t>Low income</t>
        </is>
      </c>
      <c r="E58" s="29" t="n">
        <v>4904082</v>
      </c>
      <c r="F58" s="29" t="n">
        <v>4245516</v>
      </c>
      <c r="G58" s="29" t="n">
        <v>3755801</v>
      </c>
      <c r="H58" s="29" t="n">
        <v>3178935</v>
      </c>
      <c r="I58" s="29" t="n">
        <v>2583591</v>
      </c>
      <c r="J58" s="29" t="n">
        <v>2048649</v>
      </c>
      <c r="K58" s="29" t="n">
        <v>1593890</v>
      </c>
      <c r="L58" s="29" t="n">
        <v>1273558</v>
      </c>
      <c r="M58" s="29" t="n">
        <v>1056879</v>
      </c>
      <c r="N58" s="29" t="n">
        <v>859807</v>
      </c>
      <c r="O58" s="29" t="n">
        <v>687301</v>
      </c>
      <c r="P58" s="29" t="n">
        <v>556771</v>
      </c>
      <c r="Q58" s="29" t="n">
        <v>442164</v>
      </c>
      <c r="R58" s="29" t="n">
        <v>325324</v>
      </c>
      <c r="S58" s="29" t="n">
        <v>216111</v>
      </c>
      <c r="T58" s="29" t="n">
        <v>120109</v>
      </c>
      <c r="U58" s="29" t="n">
        <v>69345</v>
      </c>
      <c r="V58" s="29" t="n">
        <v>13742978</v>
      </c>
      <c r="W58" s="29" t="n">
        <v>14174855</v>
      </c>
      <c r="X58" s="30">
        <f>SUM(E58:G58)</f>
        <v/>
      </c>
      <c r="Y58" s="30">
        <f>SUM(H58:I58)</f>
        <v/>
      </c>
      <c r="Z58" s="30">
        <f>SUM(J58:K58)</f>
        <v/>
      </c>
      <c r="AA58" s="30">
        <f>SUM(L58:M58)</f>
        <v/>
      </c>
      <c r="AB58" s="30">
        <f>SUM(N58:O58)</f>
        <v/>
      </c>
      <c r="AC58" s="30">
        <f>SUM(P58:Q58)</f>
        <v/>
      </c>
      <c r="AD58" s="30">
        <f>SUM(R58:U58)</f>
        <v/>
      </c>
      <c r="AE58" s="31">
        <f>SUM(X58:AD58)</f>
        <v/>
      </c>
      <c r="AF58" s="32">
        <f>AE58/SUM($AE$5:$AE$222)</f>
        <v/>
      </c>
      <c r="AG58" s="10">
        <f>RANK(AE58,$AE$5:$AE$222)</f>
        <v/>
      </c>
      <c r="AH58" s="29" t="n">
        <v>27032412</v>
      </c>
      <c r="AI58" s="9">
        <f>IF(AH58&gt;0,AE58/AH58-1,"")</f>
        <v/>
      </c>
      <c r="AJ58" s="29" t="n">
        <v>775</v>
      </c>
      <c r="AK58" s="19">
        <f>IF(SUM($E58:E58)&gt;=AE58/2,0+5*(AE58/2-0)/E58,IF(SUM($E58:F58)&gt;=AE58/2,5+5*(AE58/2-SUM($E58:E58))/F58,IF(SUM($E58:G58)&gt;=AE58/2,10+5*(AE58/2-SUM($E58:F58))/G58,IF(SUM($E58:H58)&gt;=AE58/2,15+5*(AE58/2-SUM($E58:G58))/H58,IF(SUM($E58:I58)&gt;=AE58/2,20+5*(AE58/2-SUM($E58:H58))/I58,IF(SUM($E58:J58)&gt;=AE58/2,25+5*(AE58/2-SUM($E58:I58))/J58,IF(SUM($E58:K58)&gt;=AE58/2,30+5*(AE58/2-SUM($E58:J58))/K58,IF(SUM($E58:L58)&gt;=AE58/2,35+5*(AE58/2-SUM($E58:K58))/L58,IF(SUM($E58:M58)&gt;=AE58/2,40+5*(AE58/2-SUM($E58:L58))/M58,IF(SUM($E58:N58)&gt;=AE58/2,45+5*(AE58/2-SUM($E58:M58))/N58,IF(SUM($E58:O58)&gt;=AE58/2,50+5*(AE58/2-SUM($E58:N58))/O58,IF(SUM($E58:P58)&gt;=AE58/2,55+5*(AE58/2-SUM($E58:O58))/P58,IF(SUM($E58:Q58)&gt;=AE58/2,60+5*(AE58/2-SUM($E58:P58))/Q58,IF(SUM($E58:R58)&gt;=AE58/2,65+5*(AE58/2-SUM($E58:Q58))/R58,IF(SUM($E58:S58)&gt;=AE58/2,70+5*(AE58/2-SUM($E58:R58))/S58,IF(SUM($E58:T58)&gt;=AE58/2,75+5*(AE58/2-SUM($E58:S58))/T58,""))))))))))))))))</f>
        <v/>
      </c>
      <c r="AL58" s="30">
        <f>SUM(H58:Q58)</f>
        <v/>
      </c>
      <c r="AM58" s="24" t="n">
        <v>0.08699999999999999</v>
      </c>
      <c r="AN58" s="24" t="n">
        <v>0.104</v>
      </c>
      <c r="AO58" s="33">
        <f>IF(AND(ISNUMBER(AN58),ISNUMBER(AM58)),(AN58-AM58)*100,"")</f>
        <v/>
      </c>
      <c r="AP58" s="30">
        <f>IF(ISNUMBER(AN58),AN58*AL58,"")</f>
        <v/>
      </c>
      <c r="AQ58" s="30">
        <f>IF(ISNUMBER(AN58),AL58,0)</f>
        <v/>
      </c>
      <c r="BB58" s="30">
        <f>IF(BA58="Yes",AX58,0)</f>
        <v/>
      </c>
      <c r="BC58" s="30">
        <f>IF(AND(BA58="Yes",ISNUMBER(AP58)),AP58,0)</f>
        <v/>
      </c>
      <c r="BD58" s="30">
        <f>IF(BA58="Yes",AX58,IF(ISNUMBER(AP58),AP58,0))</f>
        <v/>
      </c>
    </row>
    <row r="59">
      <c r="A59" s="6" t="inlineStr">
        <is>
          <t>AUS</t>
        </is>
      </c>
      <c r="B59" s="6" t="inlineStr">
        <is>
          <t>Australia</t>
        </is>
      </c>
      <c r="C59" s="6" t="inlineStr">
        <is>
          <t>East Asia &amp; Pacific</t>
        </is>
      </c>
      <c r="D59" s="6" t="inlineStr">
        <is>
          <t>High income</t>
        </is>
      </c>
      <c r="E59" s="29" t="n">
        <v>1585229</v>
      </c>
      <c r="F59" s="29" t="n">
        <v>1610133</v>
      </c>
      <c r="G59" s="29" t="n">
        <v>1686757</v>
      </c>
      <c r="H59" s="29" t="n">
        <v>1699303</v>
      </c>
      <c r="I59" s="29" t="n">
        <v>1663028</v>
      </c>
      <c r="J59" s="29" t="n">
        <v>1847290</v>
      </c>
      <c r="K59" s="29" t="n">
        <v>1999513</v>
      </c>
      <c r="L59" s="29" t="n">
        <v>2009259</v>
      </c>
      <c r="M59" s="29" t="n">
        <v>1921839</v>
      </c>
      <c r="N59" s="29" t="n">
        <v>1690102</v>
      </c>
      <c r="O59" s="29" t="n">
        <v>1726643</v>
      </c>
      <c r="P59" s="29" t="n">
        <v>1607282</v>
      </c>
      <c r="Q59" s="29" t="n">
        <v>1571755</v>
      </c>
      <c r="R59" s="29" t="n">
        <v>1429687</v>
      </c>
      <c r="S59" s="29" t="n">
        <v>1234873</v>
      </c>
      <c r="T59" s="29" t="n">
        <v>1041650</v>
      </c>
      <c r="U59" s="29" t="n">
        <v>1290069</v>
      </c>
      <c r="V59" s="29" t="n">
        <v>13911644</v>
      </c>
      <c r="W59" s="29" t="n">
        <v>13702768</v>
      </c>
      <c r="X59" s="30">
        <f>SUM(E59:G59)</f>
        <v/>
      </c>
      <c r="Y59" s="30">
        <f>SUM(H59:I59)</f>
        <v/>
      </c>
      <c r="Z59" s="30">
        <f>SUM(J59:K59)</f>
        <v/>
      </c>
      <c r="AA59" s="30">
        <f>SUM(L59:M59)</f>
        <v/>
      </c>
      <c r="AB59" s="30">
        <f>SUM(N59:O59)</f>
        <v/>
      </c>
      <c r="AC59" s="30">
        <f>SUM(P59:Q59)</f>
        <v/>
      </c>
      <c r="AD59" s="30">
        <f>SUM(R59:U59)</f>
        <v/>
      </c>
      <c r="AE59" s="31">
        <f>SUM(X59:AD59)</f>
        <v/>
      </c>
      <c r="AF59" s="32">
        <f>AE59/SUM($AE$5:$AE$222)</f>
        <v/>
      </c>
      <c r="AG59" s="10">
        <f>RANK(AE59,$AE$5:$AE$222)</f>
        <v/>
      </c>
      <c r="AH59" s="29" t="n">
        <v>27194286</v>
      </c>
      <c r="AI59" s="9">
        <f>IF(AH59&gt;0,AE59/AH59-1,"")</f>
        <v/>
      </c>
      <c r="AJ59" s="29" t="n">
        <v>65130</v>
      </c>
      <c r="AK59" s="19">
        <f>IF(SUM($E59:E59)&gt;=AE59/2,0+5*(AE59/2-0)/E59,IF(SUM($E59:F59)&gt;=AE59/2,5+5*(AE59/2-SUM($E59:E59))/F59,IF(SUM($E59:G59)&gt;=AE59/2,10+5*(AE59/2-SUM($E59:F59))/G59,IF(SUM($E59:H59)&gt;=AE59/2,15+5*(AE59/2-SUM($E59:G59))/H59,IF(SUM($E59:I59)&gt;=AE59/2,20+5*(AE59/2-SUM($E59:H59))/I59,IF(SUM($E59:J59)&gt;=AE59/2,25+5*(AE59/2-SUM($E59:I59))/J59,IF(SUM($E59:K59)&gt;=AE59/2,30+5*(AE59/2-SUM($E59:J59))/K59,IF(SUM($E59:L59)&gt;=AE59/2,35+5*(AE59/2-SUM($E59:K59))/L59,IF(SUM($E59:M59)&gt;=AE59/2,40+5*(AE59/2-SUM($E59:L59))/M59,IF(SUM($E59:N59)&gt;=AE59/2,45+5*(AE59/2-SUM($E59:M59))/N59,IF(SUM($E59:O59)&gt;=AE59/2,50+5*(AE59/2-SUM($E59:N59))/O59,IF(SUM($E59:P59)&gt;=AE59/2,55+5*(AE59/2-SUM($E59:O59))/P59,IF(SUM($E59:Q59)&gt;=AE59/2,60+5*(AE59/2-SUM($E59:P59))/Q59,IF(SUM($E59:R59)&gt;=AE59/2,65+5*(AE59/2-SUM($E59:Q59))/R59,IF(SUM($E59:S59)&gt;=AE59/2,70+5*(AE59/2-SUM($E59:R59))/S59,IF(SUM($E59:T59)&gt;=AE59/2,75+5*(AE59/2-SUM($E59:S59))/T59,""))))))))))))))))</f>
        <v/>
      </c>
      <c r="AL59" s="30">
        <f>SUM(H59:Q59)</f>
        <v/>
      </c>
      <c r="AM59" s="24" t="n">
        <v>0.345</v>
      </c>
      <c r="AN59" s="24" t="n">
        <v>0.407</v>
      </c>
      <c r="AO59" s="33">
        <f>IF(AND(ISNUMBER(AN59),ISNUMBER(AM59)),(AN59-AM59)*100,"")</f>
        <v/>
      </c>
      <c r="AP59" s="30">
        <f>IF(ISNUMBER(AN59),AN59*AL59,"")</f>
        <v/>
      </c>
      <c r="AQ59" s="30">
        <f>IF(ISNUMBER(AN59),AL59,0)</f>
        <v/>
      </c>
      <c r="AR59" s="24" t="n">
        <v>0.486</v>
      </c>
      <c r="AS59" s="6" t="inlineStr">
        <is>
          <t>population</t>
        </is>
      </c>
      <c r="AT59" s="6" t="inlineStr">
        <is>
          <t>18+</t>
        </is>
      </c>
      <c r="AU59" s="24" t="n">
        <v>1</v>
      </c>
      <c r="AV59" s="30">
        <f>H59*0.4+I59+J59+K59+L59+M59+N59+O59+P59+Q59+R59+S59+T59+U59</f>
        <v/>
      </c>
      <c r="AX59" s="30">
        <f>IF(ISNUMBER(AW59),AW59,AR59*AU59*AV59)</f>
        <v/>
      </c>
      <c r="AY59" s="34">
        <f>AX59/AV59</f>
        <v/>
      </c>
      <c r="AZ59" s="6" t="inlineStr">
        <is>
          <t>B</t>
        </is>
      </c>
      <c r="BA59" s="6" t="inlineStr">
        <is>
          <t>Yes</t>
        </is>
      </c>
      <c r="BB59" s="30">
        <f>IF(BA59="Yes",AX59,0)</f>
        <v/>
      </c>
      <c r="BC59" s="30">
        <f>IF(AND(BA59="Yes",ISNUMBER(AP59)),AP59,0)</f>
        <v/>
      </c>
      <c r="BD59" s="30">
        <f>IF(BA59="Yes",AX59,IF(ISNUMBER(AP59),AP59,0))</f>
        <v/>
      </c>
      <c r="BE59" s="6" t="inlineStr">
        <is>
          <t>Have deliberately used generative AI (ever)</t>
        </is>
      </c>
      <c r="BF59" s="6" t="inlineStr">
        <is>
          <t>8-19 October 2025 (ANUpoll, n=3,577, weighted to ABS population)</t>
        </is>
      </c>
      <c r="BG59" s="6" t="inlineStr">
        <is>
          <t>Australian National University (with Google): AI Adoption in Australia (ANUpoll)</t>
        </is>
      </c>
      <c r="BH59" s="6" t="inlineStr">
        <is>
          <t>https://cybernetics.anu.edu.au/assets/ANU_AIAdoptionInAustralia_APartnershipbetweenGoogleandANU.pdf</t>
        </is>
      </c>
    </row>
    <row r="60">
      <c r="A60" s="6" t="inlineStr">
        <is>
          <t>PRK</t>
        </is>
      </c>
      <c r="B60" s="6" t="inlineStr">
        <is>
          <t>Korea, Dem. People's Rep.</t>
        </is>
      </c>
      <c r="C60" s="6" t="inlineStr">
        <is>
          <t>East Asia &amp; Pacific</t>
        </is>
      </c>
      <c r="D60" s="6" t="inlineStr">
        <is>
          <t>Low income</t>
        </is>
      </c>
      <c r="E60" s="29" t="n">
        <v>1692959</v>
      </c>
      <c r="F60" s="29" t="n">
        <v>1700712</v>
      </c>
      <c r="G60" s="29" t="n">
        <v>1635766</v>
      </c>
      <c r="H60" s="29" t="n">
        <v>1628226</v>
      </c>
      <c r="I60" s="29" t="n">
        <v>1749642</v>
      </c>
      <c r="J60" s="29" t="n">
        <v>1931860</v>
      </c>
      <c r="K60" s="29" t="n">
        <v>1983196</v>
      </c>
      <c r="L60" s="29" t="n">
        <v>1863531</v>
      </c>
      <c r="M60" s="29" t="n">
        <v>1736740</v>
      </c>
      <c r="N60" s="29" t="n">
        <v>1600409</v>
      </c>
      <c r="O60" s="29" t="n">
        <v>2028187</v>
      </c>
      <c r="P60" s="29" t="n">
        <v>2072678</v>
      </c>
      <c r="Q60" s="29" t="n">
        <v>1569929</v>
      </c>
      <c r="R60" s="29" t="n">
        <v>1296185</v>
      </c>
      <c r="S60" s="29" t="n">
        <v>730159</v>
      </c>
      <c r="T60" s="29" t="n">
        <v>674543</v>
      </c>
      <c r="U60" s="29" t="n">
        <v>676313</v>
      </c>
      <c r="V60" s="29" t="n">
        <v>13416493</v>
      </c>
      <c r="W60" s="29" t="n">
        <v>13154542</v>
      </c>
      <c r="X60" s="30">
        <f>SUM(E60:G60)</f>
        <v/>
      </c>
      <c r="Y60" s="30">
        <f>SUM(H60:I60)</f>
        <v/>
      </c>
      <c r="Z60" s="30">
        <f>SUM(J60:K60)</f>
        <v/>
      </c>
      <c r="AA60" s="30">
        <f>SUM(L60:M60)</f>
        <v/>
      </c>
      <c r="AB60" s="30">
        <f>SUM(N60:O60)</f>
        <v/>
      </c>
      <c r="AC60" s="30">
        <f>SUM(P60:Q60)</f>
        <v/>
      </c>
      <c r="AD60" s="30">
        <f>SUM(R60:U60)</f>
        <v/>
      </c>
      <c r="AE60" s="31">
        <f>SUM(X60:AD60)</f>
        <v/>
      </c>
      <c r="AF60" s="32">
        <f>AE60/SUM($AE$5:$AE$222)</f>
        <v/>
      </c>
      <c r="AG60" s="10">
        <f>RANK(AE60,$AE$5:$AE$222)</f>
        <v/>
      </c>
      <c r="AH60" s="29" t="n">
        <v>26498823</v>
      </c>
      <c r="AI60" s="9">
        <f>IF(AH60&gt;0,AE60/AH60-1,"")</f>
        <v/>
      </c>
      <c r="AJ60" s="35" t="n"/>
      <c r="AK60" s="19">
        <f>IF(SUM($E60:E60)&gt;=AE60/2,0+5*(AE60/2-0)/E60,IF(SUM($E60:F60)&gt;=AE60/2,5+5*(AE60/2-SUM($E60:E60))/F60,IF(SUM($E60:G60)&gt;=AE60/2,10+5*(AE60/2-SUM($E60:F60))/G60,IF(SUM($E60:H60)&gt;=AE60/2,15+5*(AE60/2-SUM($E60:G60))/H60,IF(SUM($E60:I60)&gt;=AE60/2,20+5*(AE60/2-SUM($E60:H60))/I60,IF(SUM($E60:J60)&gt;=AE60/2,25+5*(AE60/2-SUM($E60:I60))/J60,IF(SUM($E60:K60)&gt;=AE60/2,30+5*(AE60/2-SUM($E60:J60))/K60,IF(SUM($E60:L60)&gt;=AE60/2,35+5*(AE60/2-SUM($E60:K60))/L60,IF(SUM($E60:M60)&gt;=AE60/2,40+5*(AE60/2-SUM($E60:L60))/M60,IF(SUM($E60:N60)&gt;=AE60/2,45+5*(AE60/2-SUM($E60:M60))/N60,IF(SUM($E60:O60)&gt;=AE60/2,50+5*(AE60/2-SUM($E60:N60))/O60,IF(SUM($E60:P60)&gt;=AE60/2,55+5*(AE60/2-SUM($E60:O60))/P60,IF(SUM($E60:Q60)&gt;=AE60/2,60+5*(AE60/2-SUM($E60:P60))/Q60,IF(SUM($E60:R60)&gt;=AE60/2,65+5*(AE60/2-SUM($E60:Q60))/R60,IF(SUM($E60:S60)&gt;=AE60/2,70+5*(AE60/2-SUM($E60:R60))/S60,IF(SUM($E60:T60)&gt;=AE60/2,75+5*(AE60/2-SUM($E60:S60))/T60,""))))))))))))))))</f>
        <v/>
      </c>
      <c r="AL60" s="30">
        <f>SUM(H60:Q60)</f>
        <v/>
      </c>
      <c r="AM60" s="36" t="n"/>
      <c r="AN60" s="36" t="n"/>
      <c r="AO60" s="33">
        <f>IF(AND(ISNUMBER(AN60),ISNUMBER(AM60)),(AN60-AM60)*100,"")</f>
        <v/>
      </c>
      <c r="AP60" s="30">
        <f>IF(ISNUMBER(AN60),AN60*AL60,"")</f>
        <v/>
      </c>
      <c r="AQ60" s="30">
        <f>IF(ISNUMBER(AN60),AL60,0)</f>
        <v/>
      </c>
      <c r="BB60" s="30">
        <f>IF(BA60="Yes",AX60,0)</f>
        <v/>
      </c>
      <c r="BC60" s="30">
        <f>IF(AND(BA60="Yes",ISNUMBER(AP60)),AP60,0)</f>
        <v/>
      </c>
      <c r="BD60" s="30">
        <f>IF(BA60="Yes",AX60,IF(ISNUMBER(AP60),AP60,0))</f>
        <v/>
      </c>
    </row>
    <row r="61">
      <c r="A61" s="6" t="inlineStr">
        <is>
          <t>SYR</t>
        </is>
      </c>
      <c r="B61" s="6" t="inlineStr">
        <is>
          <t>Syrian Arab Republic</t>
        </is>
      </c>
      <c r="C61" s="6" t="inlineStr">
        <is>
          <t>Middle East, North Africa, Afghanistan &amp; Pakistan</t>
        </is>
      </c>
      <c r="D61" s="6" t="inlineStr">
        <is>
          <t>Low income</t>
        </is>
      </c>
      <c r="E61" s="29" t="n">
        <v>2641560</v>
      </c>
      <c r="F61" s="29" t="n">
        <v>2057752</v>
      </c>
      <c r="G61" s="29" t="n">
        <v>2587327</v>
      </c>
      <c r="H61" s="29" t="n">
        <v>2964668</v>
      </c>
      <c r="I61" s="29" t="n">
        <v>2949365</v>
      </c>
      <c r="J61" s="29" t="n">
        <v>2581051</v>
      </c>
      <c r="K61" s="29" t="n">
        <v>1791669</v>
      </c>
      <c r="L61" s="29" t="n">
        <v>1519365</v>
      </c>
      <c r="M61" s="29" t="n">
        <v>1393481</v>
      </c>
      <c r="N61" s="29" t="n">
        <v>1255876</v>
      </c>
      <c r="O61" s="29" t="n">
        <v>1064703</v>
      </c>
      <c r="P61" s="29" t="n">
        <v>883911</v>
      </c>
      <c r="Q61" s="29" t="n">
        <v>689883</v>
      </c>
      <c r="R61" s="29" t="n">
        <v>512695</v>
      </c>
      <c r="S61" s="29" t="n">
        <v>352940</v>
      </c>
      <c r="T61" s="29" t="n">
        <v>216173</v>
      </c>
      <c r="U61" s="29" t="n">
        <v>158012</v>
      </c>
      <c r="V61" s="29" t="n">
        <v>12794817</v>
      </c>
      <c r="W61" s="29" t="n">
        <v>12825614</v>
      </c>
      <c r="X61" s="30">
        <f>SUM(E61:G61)</f>
        <v/>
      </c>
      <c r="Y61" s="30">
        <f>SUM(H61:I61)</f>
        <v/>
      </c>
      <c r="Z61" s="30">
        <f>SUM(J61:K61)</f>
        <v/>
      </c>
      <c r="AA61" s="30">
        <f>SUM(L61:M61)</f>
        <v/>
      </c>
      <c r="AB61" s="30">
        <f>SUM(N61:O61)</f>
        <v/>
      </c>
      <c r="AC61" s="30">
        <f>SUM(P61:Q61)</f>
        <v/>
      </c>
      <c r="AD61" s="30">
        <f>SUM(R61:U61)</f>
        <v/>
      </c>
      <c r="AE61" s="31">
        <f>SUM(X61:AD61)</f>
        <v/>
      </c>
      <c r="AF61" s="32">
        <f>AE61/SUM($AE$5:$AE$222)</f>
        <v/>
      </c>
      <c r="AG61" s="10">
        <f>RANK(AE61,$AE$5:$AE$222)</f>
        <v/>
      </c>
      <c r="AH61" s="29" t="n">
        <v>24672760</v>
      </c>
      <c r="AI61" s="9">
        <f>IF(AH61&gt;0,AE61/AH61-1,"")</f>
        <v/>
      </c>
      <c r="AJ61" s="35" t="n"/>
      <c r="AK61" s="19">
        <f>IF(SUM($E61:E61)&gt;=AE61/2,0+5*(AE61/2-0)/E61,IF(SUM($E61:F61)&gt;=AE61/2,5+5*(AE61/2-SUM($E61:E61))/F61,IF(SUM($E61:G61)&gt;=AE61/2,10+5*(AE61/2-SUM($E61:F61))/G61,IF(SUM($E61:H61)&gt;=AE61/2,15+5*(AE61/2-SUM($E61:G61))/H61,IF(SUM($E61:I61)&gt;=AE61/2,20+5*(AE61/2-SUM($E61:H61))/I61,IF(SUM($E61:J61)&gt;=AE61/2,25+5*(AE61/2-SUM($E61:I61))/J61,IF(SUM($E61:K61)&gt;=AE61/2,30+5*(AE61/2-SUM($E61:J61))/K61,IF(SUM($E61:L61)&gt;=AE61/2,35+5*(AE61/2-SUM($E61:K61))/L61,IF(SUM($E61:M61)&gt;=AE61/2,40+5*(AE61/2-SUM($E61:L61))/M61,IF(SUM($E61:N61)&gt;=AE61/2,45+5*(AE61/2-SUM($E61:M61))/N61,IF(SUM($E61:O61)&gt;=AE61/2,50+5*(AE61/2-SUM($E61:N61))/O61,IF(SUM($E61:P61)&gt;=AE61/2,55+5*(AE61/2-SUM($E61:O61))/P61,IF(SUM($E61:Q61)&gt;=AE61/2,60+5*(AE61/2-SUM($E61:P61))/Q61,IF(SUM($E61:R61)&gt;=AE61/2,65+5*(AE61/2-SUM($E61:Q61))/R61,IF(SUM($E61:S61)&gt;=AE61/2,70+5*(AE61/2-SUM($E61:R61))/S61,IF(SUM($E61:T61)&gt;=AE61/2,75+5*(AE61/2-SUM($E61:S61))/T61,""))))))))))))))))</f>
        <v/>
      </c>
      <c r="AL61" s="30">
        <f>SUM(H61:Q61)</f>
        <v/>
      </c>
      <c r="AM61" s="24" t="n">
        <v>0.067</v>
      </c>
      <c r="AN61" s="24" t="n">
        <v>0.07400000000000001</v>
      </c>
      <c r="AO61" s="33">
        <f>IF(AND(ISNUMBER(AN61),ISNUMBER(AM61)),(AN61-AM61)*100,"")</f>
        <v/>
      </c>
      <c r="AP61" s="30">
        <f>IF(ISNUMBER(AN61),AN61*AL61,"")</f>
        <v/>
      </c>
      <c r="AQ61" s="30">
        <f>IF(ISNUMBER(AN61),AL61,0)</f>
        <v/>
      </c>
      <c r="BB61" s="30">
        <f>IF(BA61="Yes",AX61,0)</f>
        <v/>
      </c>
      <c r="BC61" s="30">
        <f>IF(AND(BA61="Yes",ISNUMBER(AP61)),AP61,0)</f>
        <v/>
      </c>
      <c r="BD61" s="30">
        <f>IF(BA61="Yes",AX61,IF(ISNUMBER(AP61),AP61,0))</f>
        <v/>
      </c>
    </row>
    <row r="62">
      <c r="A62" s="6" t="inlineStr">
        <is>
          <t>MLI</t>
        </is>
      </c>
      <c r="B62" s="6" t="inlineStr">
        <is>
          <t>Mali</t>
        </is>
      </c>
      <c r="C62" s="6" t="inlineStr">
        <is>
          <t>Sub-Saharan Africa</t>
        </is>
      </c>
      <c r="D62" s="6" t="inlineStr">
        <is>
          <t>Low income</t>
        </is>
      </c>
      <c r="E62" s="29" t="n">
        <v>4343295</v>
      </c>
      <c r="F62" s="29" t="n">
        <v>3810119</v>
      </c>
      <c r="G62" s="29" t="n">
        <v>3386111</v>
      </c>
      <c r="H62" s="29" t="n">
        <v>2876124</v>
      </c>
      <c r="I62" s="29" t="n">
        <v>2309664</v>
      </c>
      <c r="J62" s="29" t="n">
        <v>1795847</v>
      </c>
      <c r="K62" s="29" t="n">
        <v>1466358</v>
      </c>
      <c r="L62" s="29" t="n">
        <v>1254418</v>
      </c>
      <c r="M62" s="29" t="n">
        <v>1071589</v>
      </c>
      <c r="N62" s="29" t="n">
        <v>860905</v>
      </c>
      <c r="O62" s="29" t="n">
        <v>637174</v>
      </c>
      <c r="P62" s="29" t="n">
        <v>457187</v>
      </c>
      <c r="Q62" s="29" t="n">
        <v>334558</v>
      </c>
      <c r="R62" s="29" t="n">
        <v>249268</v>
      </c>
      <c r="S62" s="29" t="n">
        <v>176809</v>
      </c>
      <c r="T62" s="29" t="n">
        <v>104941</v>
      </c>
      <c r="U62" s="29" t="n">
        <v>64448</v>
      </c>
      <c r="V62" s="29" t="n">
        <v>12487183</v>
      </c>
      <c r="W62" s="29" t="n">
        <v>12711632</v>
      </c>
      <c r="X62" s="30">
        <f>SUM(E62:G62)</f>
        <v/>
      </c>
      <c r="Y62" s="30">
        <f>SUM(H62:I62)</f>
        <v/>
      </c>
      <c r="Z62" s="30">
        <f>SUM(J62:K62)</f>
        <v/>
      </c>
      <c r="AA62" s="30">
        <f>SUM(L62:M62)</f>
        <v/>
      </c>
      <c r="AB62" s="30">
        <f>SUM(N62:O62)</f>
        <v/>
      </c>
      <c r="AC62" s="30">
        <f>SUM(P62:Q62)</f>
        <v/>
      </c>
      <c r="AD62" s="30">
        <f>SUM(R62:U62)</f>
        <v/>
      </c>
      <c r="AE62" s="31">
        <f>SUM(X62:AD62)</f>
        <v/>
      </c>
      <c r="AF62" s="32">
        <f>AE62/SUM($AE$5:$AE$222)</f>
        <v/>
      </c>
      <c r="AG62" s="10">
        <f>RANK(AE62,$AE$5:$AE$222)</f>
        <v/>
      </c>
      <c r="AH62" s="29" t="n">
        <v>24478595</v>
      </c>
      <c r="AI62" s="9">
        <f>IF(AH62&gt;0,AE62/AH62-1,"")</f>
        <v/>
      </c>
      <c r="AJ62" s="29" t="n">
        <v>1193</v>
      </c>
      <c r="AK62" s="19">
        <f>IF(SUM($E62:E62)&gt;=AE62/2,0+5*(AE62/2-0)/E62,IF(SUM($E62:F62)&gt;=AE62/2,5+5*(AE62/2-SUM($E62:E62))/F62,IF(SUM($E62:G62)&gt;=AE62/2,10+5*(AE62/2-SUM($E62:F62))/G62,IF(SUM($E62:H62)&gt;=AE62/2,15+5*(AE62/2-SUM($E62:G62))/H62,IF(SUM($E62:I62)&gt;=AE62/2,20+5*(AE62/2-SUM($E62:H62))/I62,IF(SUM($E62:J62)&gt;=AE62/2,25+5*(AE62/2-SUM($E62:I62))/J62,IF(SUM($E62:K62)&gt;=AE62/2,30+5*(AE62/2-SUM($E62:J62))/K62,IF(SUM($E62:L62)&gt;=AE62/2,35+5*(AE62/2-SUM($E62:K62))/L62,IF(SUM($E62:M62)&gt;=AE62/2,40+5*(AE62/2-SUM($E62:L62))/M62,IF(SUM($E62:N62)&gt;=AE62/2,45+5*(AE62/2-SUM($E62:M62))/N62,IF(SUM($E62:O62)&gt;=AE62/2,50+5*(AE62/2-SUM($E62:N62))/O62,IF(SUM($E62:P62)&gt;=AE62/2,55+5*(AE62/2-SUM($E62:O62))/P62,IF(SUM($E62:Q62)&gt;=AE62/2,60+5*(AE62/2-SUM($E62:P62))/Q62,IF(SUM($E62:R62)&gt;=AE62/2,65+5*(AE62/2-SUM($E62:Q62))/R62,IF(SUM($E62:S62)&gt;=AE62/2,70+5*(AE62/2-SUM($E62:R62))/S62,IF(SUM($E62:T62)&gt;=AE62/2,75+5*(AE62/2-SUM($E62:S62))/T62,""))))))))))))))))</f>
        <v/>
      </c>
      <c r="AL62" s="30">
        <f>SUM(H62:Q62)</f>
        <v/>
      </c>
      <c r="AM62" s="24" t="n">
        <v>0.08699999999999999</v>
      </c>
      <c r="AN62" s="24" t="n">
        <v>0.104</v>
      </c>
      <c r="AO62" s="33">
        <f>IF(AND(ISNUMBER(AN62),ISNUMBER(AM62)),(AN62-AM62)*100,"")</f>
        <v/>
      </c>
      <c r="AP62" s="30">
        <f>IF(ISNUMBER(AN62),AN62*AL62,"")</f>
        <v/>
      </c>
      <c r="AQ62" s="30">
        <f>IF(ISNUMBER(AN62),AL62,0)</f>
        <v/>
      </c>
      <c r="BB62" s="30">
        <f>IF(BA62="Yes",AX62,0)</f>
        <v/>
      </c>
      <c r="BC62" s="30">
        <f>IF(AND(BA62="Yes",ISNUMBER(AP62)),AP62,0)</f>
        <v/>
      </c>
      <c r="BD62" s="30">
        <f>IF(BA62="Yes",AX62,IF(ISNUMBER(AP62),AP62,0))</f>
        <v/>
      </c>
    </row>
    <row r="63">
      <c r="A63" s="6" t="inlineStr">
        <is>
          <t>BFA</t>
        </is>
      </c>
      <c r="B63" s="6" t="inlineStr">
        <is>
          <t>Burkina Faso</t>
        </is>
      </c>
      <c r="C63" s="6" t="inlineStr">
        <is>
          <t>Sub-Saharan Africa</t>
        </is>
      </c>
      <c r="D63" s="6" t="inlineStr">
        <is>
          <t>Low income</t>
        </is>
      </c>
      <c r="E63" s="29" t="n">
        <v>3386805</v>
      </c>
      <c r="F63" s="29" t="n">
        <v>3327484</v>
      </c>
      <c r="G63" s="29" t="n">
        <v>3197199</v>
      </c>
      <c r="H63" s="29" t="n">
        <v>2777975</v>
      </c>
      <c r="I63" s="29" t="n">
        <v>2272564</v>
      </c>
      <c r="J63" s="29" t="n">
        <v>1883765</v>
      </c>
      <c r="K63" s="29" t="n">
        <v>1576723</v>
      </c>
      <c r="L63" s="29" t="n">
        <v>1354824</v>
      </c>
      <c r="M63" s="29" t="n">
        <v>1140665</v>
      </c>
      <c r="N63" s="29" t="n">
        <v>903964</v>
      </c>
      <c r="O63" s="29" t="n">
        <v>677676</v>
      </c>
      <c r="P63" s="29" t="n">
        <v>525684</v>
      </c>
      <c r="Q63" s="29" t="n">
        <v>403040</v>
      </c>
      <c r="R63" s="29" t="n">
        <v>290148</v>
      </c>
      <c r="S63" s="29" t="n">
        <v>184737</v>
      </c>
      <c r="T63" s="29" t="n">
        <v>106073</v>
      </c>
      <c r="U63" s="29" t="n">
        <v>65254</v>
      </c>
      <c r="V63" s="29" t="n">
        <v>12080402</v>
      </c>
      <c r="W63" s="29" t="n">
        <v>11994178</v>
      </c>
      <c r="X63" s="30">
        <f>SUM(E63:G63)</f>
        <v/>
      </c>
      <c r="Y63" s="30">
        <f>SUM(H63:I63)</f>
        <v/>
      </c>
      <c r="Z63" s="30">
        <f>SUM(J63:K63)</f>
        <v/>
      </c>
      <c r="AA63" s="30">
        <f>SUM(L63:M63)</f>
        <v/>
      </c>
      <c r="AB63" s="30">
        <f>SUM(N63:O63)</f>
        <v/>
      </c>
      <c r="AC63" s="30">
        <f>SUM(P63:Q63)</f>
        <v/>
      </c>
      <c r="AD63" s="30">
        <f>SUM(R63:U63)</f>
        <v/>
      </c>
      <c r="AE63" s="31">
        <f>SUM(X63:AD63)</f>
        <v/>
      </c>
      <c r="AF63" s="32">
        <f>AE63/SUM($AE$5:$AE$222)</f>
        <v/>
      </c>
      <c r="AG63" s="10">
        <f>RANK(AE63,$AE$5:$AE$222)</f>
        <v/>
      </c>
      <c r="AH63" s="29" t="n">
        <v>23548781</v>
      </c>
      <c r="AI63" s="9">
        <f>IF(AH63&gt;0,AE63/AH63-1,"")</f>
        <v/>
      </c>
      <c r="AJ63" s="29" t="n">
        <v>1148</v>
      </c>
      <c r="AK63" s="19">
        <f>IF(SUM($E63:E63)&gt;=AE63/2,0+5*(AE63/2-0)/E63,IF(SUM($E63:F63)&gt;=AE63/2,5+5*(AE63/2-SUM($E63:E63))/F63,IF(SUM($E63:G63)&gt;=AE63/2,10+5*(AE63/2-SUM($E63:F63))/G63,IF(SUM($E63:H63)&gt;=AE63/2,15+5*(AE63/2-SUM($E63:G63))/H63,IF(SUM($E63:I63)&gt;=AE63/2,20+5*(AE63/2-SUM($E63:H63))/I63,IF(SUM($E63:J63)&gt;=AE63/2,25+5*(AE63/2-SUM($E63:I63))/J63,IF(SUM($E63:K63)&gt;=AE63/2,30+5*(AE63/2-SUM($E63:J63))/K63,IF(SUM($E63:L63)&gt;=AE63/2,35+5*(AE63/2-SUM($E63:K63))/L63,IF(SUM($E63:M63)&gt;=AE63/2,40+5*(AE63/2-SUM($E63:L63))/M63,IF(SUM($E63:N63)&gt;=AE63/2,45+5*(AE63/2-SUM($E63:M63))/N63,IF(SUM($E63:O63)&gt;=AE63/2,50+5*(AE63/2-SUM($E63:N63))/O63,IF(SUM($E63:P63)&gt;=AE63/2,55+5*(AE63/2-SUM($E63:O63))/P63,IF(SUM($E63:Q63)&gt;=AE63/2,60+5*(AE63/2-SUM($E63:P63))/Q63,IF(SUM($E63:R63)&gt;=AE63/2,65+5*(AE63/2-SUM($E63:Q63))/R63,IF(SUM($E63:S63)&gt;=AE63/2,70+5*(AE63/2-SUM($E63:R63))/S63,IF(SUM($E63:T63)&gt;=AE63/2,75+5*(AE63/2-SUM($E63:S63))/T63,""))))))))))))))))</f>
        <v/>
      </c>
      <c r="AL63" s="30">
        <f>SUM(H63:Q63)</f>
        <v/>
      </c>
      <c r="AM63" s="24" t="n">
        <v>0.08699999999999999</v>
      </c>
      <c r="AN63" s="24" t="n">
        <v>0.104</v>
      </c>
      <c r="AO63" s="33">
        <f>IF(AND(ISNUMBER(AN63),ISNUMBER(AM63)),(AN63-AM63)*100,"")</f>
        <v/>
      </c>
      <c r="AP63" s="30">
        <f>IF(ISNUMBER(AN63),AN63*AL63,"")</f>
        <v/>
      </c>
      <c r="AQ63" s="30">
        <f>IF(ISNUMBER(AN63),AL63,0)</f>
        <v/>
      </c>
      <c r="BB63" s="30">
        <f>IF(BA63="Yes",AX63,0)</f>
        <v/>
      </c>
      <c r="BC63" s="30">
        <f>IF(AND(BA63="Yes",ISNUMBER(AP63)),AP63,0)</f>
        <v/>
      </c>
      <c r="BD63" s="30">
        <f>IF(BA63="Yes",AX63,IF(ISNUMBER(AP63),AP63,0))</f>
        <v/>
      </c>
    </row>
    <row r="64">
      <c r="A64" s="6" t="inlineStr">
        <is>
          <t>TWN</t>
        </is>
      </c>
      <c r="B64" s="6" t="inlineStr">
        <is>
          <t>Taiwan</t>
        </is>
      </c>
      <c r="C64" s="6" t="inlineStr">
        <is>
          <t>East Asia &amp; Pacific</t>
        </is>
      </c>
      <c r="D64" s="6" t="inlineStr">
        <is>
          <t>High income</t>
        </is>
      </c>
      <c r="E64" s="29" t="n">
        <v>687369</v>
      </c>
      <c r="F64" s="29" t="n">
        <v>955090</v>
      </c>
      <c r="G64" s="29" t="n">
        <v>1043005</v>
      </c>
      <c r="H64" s="29" t="n">
        <v>997216</v>
      </c>
      <c r="I64" s="29" t="n">
        <v>1225615</v>
      </c>
      <c r="J64" s="29" t="n">
        <v>1378135</v>
      </c>
      <c r="K64" s="29" t="n">
        <v>1560308</v>
      </c>
      <c r="L64" s="29" t="n">
        <v>1579139</v>
      </c>
      <c r="M64" s="29" t="n">
        <v>1927643</v>
      </c>
      <c r="N64" s="29" t="n">
        <v>1964647</v>
      </c>
      <c r="O64" s="29" t="n">
        <v>1742077</v>
      </c>
      <c r="P64" s="29" t="n">
        <v>1802014</v>
      </c>
      <c r="Q64" s="29" t="n">
        <v>1801554</v>
      </c>
      <c r="R64" s="29" t="n">
        <v>1622144</v>
      </c>
      <c r="S64" s="29" t="n">
        <v>1331679</v>
      </c>
      <c r="T64" s="29" t="n">
        <v>766352</v>
      </c>
      <c r="U64" s="29" t="n">
        <v>962752</v>
      </c>
      <c r="V64" s="29" t="n">
        <v>11800566</v>
      </c>
      <c r="W64" s="29" t="n">
        <v>11546173</v>
      </c>
      <c r="X64" s="30">
        <f>SUM(E64:G64)</f>
        <v/>
      </c>
      <c r="Y64" s="30">
        <f>SUM(H64:I64)</f>
        <v/>
      </c>
      <c r="Z64" s="30">
        <f>SUM(J64:K64)</f>
        <v/>
      </c>
      <c r="AA64" s="30">
        <f>SUM(L64:M64)</f>
        <v/>
      </c>
      <c r="AB64" s="30">
        <f>SUM(N64:O64)</f>
        <v/>
      </c>
      <c r="AC64" s="30">
        <f>SUM(P64:Q64)</f>
        <v/>
      </c>
      <c r="AD64" s="30">
        <f>SUM(R64:U64)</f>
        <v/>
      </c>
      <c r="AE64" s="31">
        <f>SUM(X64:AD64)</f>
        <v/>
      </c>
      <c r="AF64" s="32">
        <f>AE64/SUM($AE$5:$AE$222)</f>
        <v/>
      </c>
      <c r="AG64" s="10">
        <f>RANK(AE64,$AE$5:$AE$222)</f>
        <v/>
      </c>
      <c r="AH64" s="29" t="n">
        <v>23412899</v>
      </c>
      <c r="AI64" s="9">
        <f>IF(AH64&gt;0,AE64/AH64-1,"")</f>
        <v/>
      </c>
      <c r="AJ64" s="35" t="n"/>
      <c r="AK64" s="19">
        <f>IF(SUM($E64:E64)&gt;=AE64/2,0+5*(AE64/2-0)/E64,IF(SUM($E64:F64)&gt;=AE64/2,5+5*(AE64/2-SUM($E64:E64))/F64,IF(SUM($E64:G64)&gt;=AE64/2,10+5*(AE64/2-SUM($E64:F64))/G64,IF(SUM($E64:H64)&gt;=AE64/2,15+5*(AE64/2-SUM($E64:G64))/H64,IF(SUM($E64:I64)&gt;=AE64/2,20+5*(AE64/2-SUM($E64:H64))/I64,IF(SUM($E64:J64)&gt;=AE64/2,25+5*(AE64/2-SUM($E64:I64))/J64,IF(SUM($E64:K64)&gt;=AE64/2,30+5*(AE64/2-SUM($E64:J64))/K64,IF(SUM($E64:L64)&gt;=AE64/2,35+5*(AE64/2-SUM($E64:K64))/L64,IF(SUM($E64:M64)&gt;=AE64/2,40+5*(AE64/2-SUM($E64:L64))/M64,IF(SUM($E64:N64)&gt;=AE64/2,45+5*(AE64/2-SUM($E64:M64))/N64,IF(SUM($E64:O64)&gt;=AE64/2,50+5*(AE64/2-SUM($E64:N64))/O64,IF(SUM($E64:P64)&gt;=AE64/2,55+5*(AE64/2-SUM($E64:O64))/P64,IF(SUM($E64:Q64)&gt;=AE64/2,60+5*(AE64/2-SUM($E64:P64))/Q64,IF(SUM($E64:R64)&gt;=AE64/2,65+5*(AE64/2-SUM($E64:Q64))/R64,IF(SUM($E64:S64)&gt;=AE64/2,70+5*(AE64/2-SUM($E64:R64))/S64,IF(SUM($E64:T64)&gt;=AE64/2,75+5*(AE64/2-SUM($E64:S64))/T64,""))))))))))))))))</f>
        <v/>
      </c>
      <c r="AL64" s="30">
        <f>SUM(H64:Q64)</f>
        <v/>
      </c>
      <c r="AM64" s="24" t="n">
        <v>0.264</v>
      </c>
      <c r="AN64" s="24" t="n">
        <v>0.338</v>
      </c>
      <c r="AO64" s="33">
        <f>IF(AND(ISNUMBER(AN64),ISNUMBER(AM64)),(AN64-AM64)*100,"")</f>
        <v/>
      </c>
      <c r="AP64" s="30">
        <f>IF(ISNUMBER(AN64),AN64*AL64,"")</f>
        <v/>
      </c>
      <c r="AQ64" s="30">
        <f>IF(ISNUMBER(AN64),AL64,0)</f>
        <v/>
      </c>
      <c r="AR64" s="24" t="n">
        <v>0.4319</v>
      </c>
      <c r="AS64" s="6" t="inlineStr">
        <is>
          <t>population</t>
        </is>
      </c>
      <c r="AT64" s="6" t="inlineStr">
        <is>
          <t>18+</t>
        </is>
      </c>
      <c r="AU64" s="24" t="n">
        <v>1</v>
      </c>
      <c r="AV64" s="30">
        <f>H64*0.4+I64+J64+K64+L64+M64+N64+O64+P64+Q64+R64+S64+T64+U64</f>
        <v/>
      </c>
      <c r="AX64" s="30">
        <f>IF(ISNUMBER(AW64),AW64,AR64*AU64*AV64)</f>
        <v/>
      </c>
      <c r="AY64" s="34">
        <f>AX64/AV64</f>
        <v/>
      </c>
      <c r="AZ64" s="6" t="inlineStr">
        <is>
          <t>A</t>
        </is>
      </c>
      <c r="BA64" s="6" t="inlineStr">
        <is>
          <t>Yes</t>
        </is>
      </c>
      <c r="BB64" s="30">
        <f>IF(BA64="Yes",AX64,0)</f>
        <v/>
      </c>
      <c r="BC64" s="30">
        <f>IF(AND(BA64="Yes",ISNUMBER(AP64)),AP64,0)</f>
        <v/>
      </c>
      <c r="BD64" s="30">
        <f>IF(BA64="Yes",AX64,IF(ISNUMBER(AP64),AP64,0))</f>
        <v/>
      </c>
      <c r="BE64" s="6" t="inlineStr">
        <is>
          <t>Used generative AI (e.g. ChatGPT, Gemini, Copilot) in the past three months</t>
        </is>
      </c>
      <c r="BF64" s="6" t="inlineStr">
        <is>
          <t>28 Jul - 1 Sep 2025 (telephone survey, n=2,142)</t>
        </is>
      </c>
      <c r="BG64" s="6" t="inlineStr">
        <is>
          <t>TWNIC (Taiwan Network Information Center): Taiwan Internet Report 2025, ch. 4</t>
        </is>
      </c>
      <c r="BH64" s="6" t="inlineStr">
        <is>
          <t>https://report.twnic.tw/2025/en/assets/download/TWNIC_TaiwanInternetReport_2025_CH_all.pdf</t>
        </is>
      </c>
    </row>
    <row r="65">
      <c r="A65" s="6" t="inlineStr">
        <is>
          <t>MWI</t>
        </is>
      </c>
      <c r="B65" s="6" t="inlineStr">
        <is>
          <t>Malawi</t>
        </is>
      </c>
      <c r="C65" s="6" t="inlineStr">
        <is>
          <t>Sub-Saharan Africa</t>
        </is>
      </c>
      <c r="D65" s="6" t="inlineStr">
        <is>
          <t>Low income</t>
        </is>
      </c>
      <c r="E65" s="29" t="n">
        <v>3180496</v>
      </c>
      <c r="F65" s="29" t="n">
        <v>2915845</v>
      </c>
      <c r="G65" s="29" t="n">
        <v>2818205</v>
      </c>
      <c r="H65" s="29" t="n">
        <v>2636341</v>
      </c>
      <c r="I65" s="29" t="n">
        <v>2199811</v>
      </c>
      <c r="J65" s="29" t="n">
        <v>1828195</v>
      </c>
      <c r="K65" s="29" t="n">
        <v>1537277</v>
      </c>
      <c r="L65" s="29" t="n">
        <v>1307477</v>
      </c>
      <c r="M65" s="29" t="n">
        <v>1112822</v>
      </c>
      <c r="N65" s="29" t="n">
        <v>816580</v>
      </c>
      <c r="O65" s="29" t="n">
        <v>551454</v>
      </c>
      <c r="P65" s="29" t="n">
        <v>417229</v>
      </c>
      <c r="Q65" s="29" t="n">
        <v>319310</v>
      </c>
      <c r="R65" s="29" t="n">
        <v>220051</v>
      </c>
      <c r="S65" s="29" t="n">
        <v>146296</v>
      </c>
      <c r="T65" s="29" t="n">
        <v>107497</v>
      </c>
      <c r="U65" s="29" t="n">
        <v>101240</v>
      </c>
      <c r="V65" s="29" t="n">
        <v>11372173</v>
      </c>
      <c r="W65" s="29" t="n">
        <v>10843953</v>
      </c>
      <c r="X65" s="30">
        <f>SUM(E65:G65)</f>
        <v/>
      </c>
      <c r="Y65" s="30">
        <f>SUM(H65:I65)</f>
        <v/>
      </c>
      <c r="Z65" s="30">
        <f>SUM(J65:K65)</f>
        <v/>
      </c>
      <c r="AA65" s="30">
        <f>SUM(L65:M65)</f>
        <v/>
      </c>
      <c r="AB65" s="30">
        <f>SUM(N65:O65)</f>
        <v/>
      </c>
      <c r="AC65" s="30">
        <f>SUM(P65:Q65)</f>
        <v/>
      </c>
      <c r="AD65" s="30">
        <f>SUM(R65:U65)</f>
        <v/>
      </c>
      <c r="AE65" s="31">
        <f>SUM(X65:AD65)</f>
        <v/>
      </c>
      <c r="AF65" s="32">
        <f>AE65/SUM($AE$5:$AE$222)</f>
        <v/>
      </c>
      <c r="AG65" s="10">
        <f>RANK(AE65,$AE$5:$AE$222)</f>
        <v/>
      </c>
      <c r="AH65" s="29" t="n">
        <v>21655286</v>
      </c>
      <c r="AI65" s="9">
        <f>IF(AH65&gt;0,AE65/AH65-1,"")</f>
        <v/>
      </c>
      <c r="AJ65" s="29" t="n">
        <v>672</v>
      </c>
      <c r="AK65" s="19">
        <f>IF(SUM($E65:E65)&gt;=AE65/2,0+5*(AE65/2-0)/E65,IF(SUM($E65:F65)&gt;=AE65/2,5+5*(AE65/2-SUM($E65:E65))/F65,IF(SUM($E65:G65)&gt;=AE65/2,10+5*(AE65/2-SUM($E65:F65))/G65,IF(SUM($E65:H65)&gt;=AE65/2,15+5*(AE65/2-SUM($E65:G65))/H65,IF(SUM($E65:I65)&gt;=AE65/2,20+5*(AE65/2-SUM($E65:H65))/I65,IF(SUM($E65:J65)&gt;=AE65/2,25+5*(AE65/2-SUM($E65:I65))/J65,IF(SUM($E65:K65)&gt;=AE65/2,30+5*(AE65/2-SUM($E65:J65))/K65,IF(SUM($E65:L65)&gt;=AE65/2,35+5*(AE65/2-SUM($E65:K65))/L65,IF(SUM($E65:M65)&gt;=AE65/2,40+5*(AE65/2-SUM($E65:L65))/M65,IF(SUM($E65:N65)&gt;=AE65/2,45+5*(AE65/2-SUM($E65:M65))/N65,IF(SUM($E65:O65)&gt;=AE65/2,50+5*(AE65/2-SUM($E65:N65))/O65,IF(SUM($E65:P65)&gt;=AE65/2,55+5*(AE65/2-SUM($E65:O65))/P65,IF(SUM($E65:Q65)&gt;=AE65/2,60+5*(AE65/2-SUM($E65:P65))/Q65,IF(SUM($E65:R65)&gt;=AE65/2,65+5*(AE65/2-SUM($E65:Q65))/R65,IF(SUM($E65:S65)&gt;=AE65/2,70+5*(AE65/2-SUM($E65:R65))/S65,IF(SUM($E65:T65)&gt;=AE65/2,75+5*(AE65/2-SUM($E65:S65))/T65,""))))))))))))))))</f>
        <v/>
      </c>
      <c r="AL65" s="30">
        <f>SUM(H65:Q65)</f>
        <v/>
      </c>
      <c r="AM65" s="24" t="n">
        <v>0.08900000000000001</v>
      </c>
      <c r="AN65" s="24" t="n">
        <v>0.114</v>
      </c>
      <c r="AO65" s="33">
        <f>IF(AND(ISNUMBER(AN65),ISNUMBER(AM65)),(AN65-AM65)*100,"")</f>
        <v/>
      </c>
      <c r="AP65" s="30">
        <f>IF(ISNUMBER(AN65),AN65*AL65,"")</f>
        <v/>
      </c>
      <c r="AQ65" s="30">
        <f>IF(ISNUMBER(AN65),AL65,0)</f>
        <v/>
      </c>
      <c r="BB65" s="30">
        <f>IF(BA65="Yes",AX65,0)</f>
        <v/>
      </c>
      <c r="BC65" s="30">
        <f>IF(AND(BA65="Yes",ISNUMBER(AP65)),AP65,0)</f>
        <v/>
      </c>
      <c r="BD65" s="30">
        <f>IF(BA65="Yes",AX65,IF(ISNUMBER(AP65),AP65,0))</f>
        <v/>
      </c>
    </row>
    <row r="66">
      <c r="A66" s="6" t="inlineStr">
        <is>
          <t>ZMB</t>
        </is>
      </c>
      <c r="B66" s="6" t="inlineStr">
        <is>
          <t>Zambia</t>
        </is>
      </c>
      <c r="C66" s="6" t="inlineStr">
        <is>
          <t>Sub-Saharan Africa</t>
        </is>
      </c>
      <c r="D66" s="6" t="inlineStr">
        <is>
          <t>Lower middle income</t>
        </is>
      </c>
      <c r="E66" s="29" t="n">
        <v>3257631</v>
      </c>
      <c r="F66" s="29" t="n">
        <v>2967027</v>
      </c>
      <c r="G66" s="29" t="n">
        <v>2753679</v>
      </c>
      <c r="H66" s="29" t="n">
        <v>2473743</v>
      </c>
      <c r="I66" s="29" t="n">
        <v>2071708</v>
      </c>
      <c r="J66" s="29" t="n">
        <v>1769557</v>
      </c>
      <c r="K66" s="29" t="n">
        <v>1510231</v>
      </c>
      <c r="L66" s="29" t="n">
        <v>1303321</v>
      </c>
      <c r="M66" s="29" t="n">
        <v>1085023</v>
      </c>
      <c r="N66" s="29" t="n">
        <v>870448</v>
      </c>
      <c r="O66" s="29" t="n">
        <v>646921</v>
      </c>
      <c r="P66" s="29" t="n">
        <v>451670</v>
      </c>
      <c r="Q66" s="29" t="n">
        <v>314626</v>
      </c>
      <c r="R66" s="29" t="n">
        <v>208747</v>
      </c>
      <c r="S66" s="29" t="n">
        <v>126309</v>
      </c>
      <c r="T66" s="29" t="n">
        <v>63212</v>
      </c>
      <c r="U66" s="29" t="n">
        <v>40021</v>
      </c>
      <c r="V66" s="29" t="n">
        <v>11065693</v>
      </c>
      <c r="W66" s="29" t="n">
        <v>10848181</v>
      </c>
      <c r="X66" s="30">
        <f>SUM(E66:G66)</f>
        <v/>
      </c>
      <c r="Y66" s="30">
        <f>SUM(H66:I66)</f>
        <v/>
      </c>
      <c r="Z66" s="30">
        <f>SUM(J66:K66)</f>
        <v/>
      </c>
      <c r="AA66" s="30">
        <f>SUM(L66:M66)</f>
        <v/>
      </c>
      <c r="AB66" s="30">
        <f>SUM(N66:O66)</f>
        <v/>
      </c>
      <c r="AC66" s="30">
        <f>SUM(P66:Q66)</f>
        <v/>
      </c>
      <c r="AD66" s="30">
        <f>SUM(R66:U66)</f>
        <v/>
      </c>
      <c r="AE66" s="31">
        <f>SUM(X66:AD66)</f>
        <v/>
      </c>
      <c r="AF66" s="32">
        <f>AE66/SUM($AE$5:$AE$222)</f>
        <v/>
      </c>
      <c r="AG66" s="10">
        <f>RANK(AE66,$AE$5:$AE$222)</f>
        <v/>
      </c>
      <c r="AH66" s="29" t="n">
        <v>21314956</v>
      </c>
      <c r="AI66" s="9">
        <f>IF(AH66&gt;0,AE66/AH66-1,"")</f>
        <v/>
      </c>
      <c r="AJ66" s="29" t="n">
        <v>1318</v>
      </c>
      <c r="AK66" s="19">
        <f>IF(SUM($E66:E66)&gt;=AE66/2,0+5*(AE66/2-0)/E66,IF(SUM($E66:F66)&gt;=AE66/2,5+5*(AE66/2-SUM($E66:E66))/F66,IF(SUM($E66:G66)&gt;=AE66/2,10+5*(AE66/2-SUM($E66:F66))/G66,IF(SUM($E66:H66)&gt;=AE66/2,15+5*(AE66/2-SUM($E66:G66))/H66,IF(SUM($E66:I66)&gt;=AE66/2,20+5*(AE66/2-SUM($E66:H66))/I66,IF(SUM($E66:J66)&gt;=AE66/2,25+5*(AE66/2-SUM($E66:I66))/J66,IF(SUM($E66:K66)&gt;=AE66/2,30+5*(AE66/2-SUM($E66:J66))/K66,IF(SUM($E66:L66)&gt;=AE66/2,35+5*(AE66/2-SUM($E66:K66))/L66,IF(SUM($E66:M66)&gt;=AE66/2,40+5*(AE66/2-SUM($E66:L66))/M66,IF(SUM($E66:N66)&gt;=AE66/2,45+5*(AE66/2-SUM($E66:M66))/N66,IF(SUM($E66:O66)&gt;=AE66/2,50+5*(AE66/2-SUM($E66:N66))/O66,IF(SUM($E66:P66)&gt;=AE66/2,55+5*(AE66/2-SUM($E66:O66))/P66,IF(SUM($E66:Q66)&gt;=AE66/2,60+5*(AE66/2-SUM($E66:P66))/Q66,IF(SUM($E66:R66)&gt;=AE66/2,65+5*(AE66/2-SUM($E66:Q66))/R66,IF(SUM($E66:S66)&gt;=AE66/2,70+5*(AE66/2-SUM($E66:R66))/S66,IF(SUM($E66:T66)&gt;=AE66/2,75+5*(AE66/2-SUM($E66:S66))/T66,""))))))))))))))))</f>
        <v/>
      </c>
      <c r="AL66" s="30">
        <f>SUM(H66:Q66)</f>
        <v/>
      </c>
      <c r="AM66" s="24" t="n">
        <v>0.117</v>
      </c>
      <c r="AN66" s="24" t="n">
        <v>0.133</v>
      </c>
      <c r="AO66" s="33">
        <f>IF(AND(ISNUMBER(AN66),ISNUMBER(AM66)),(AN66-AM66)*100,"")</f>
        <v/>
      </c>
      <c r="AP66" s="30">
        <f>IF(ISNUMBER(AN66),AN66*AL66,"")</f>
        <v/>
      </c>
      <c r="AQ66" s="30">
        <f>IF(ISNUMBER(AN66),AL66,0)</f>
        <v/>
      </c>
      <c r="BB66" s="30">
        <f>IF(BA66="Yes",AX66,0)</f>
        <v/>
      </c>
      <c r="BC66" s="30">
        <f>IF(AND(BA66="Yes",ISNUMBER(AP66)),AP66,0)</f>
        <v/>
      </c>
      <c r="BD66" s="30">
        <f>IF(BA66="Yes",AX66,IF(ISNUMBER(AP66),AP66,0))</f>
        <v/>
      </c>
    </row>
    <row r="67">
      <c r="A67" s="6" t="inlineStr">
        <is>
          <t>LKA</t>
        </is>
      </c>
      <c r="B67" s="6" t="inlineStr">
        <is>
          <t>Sri Lanka</t>
        </is>
      </c>
      <c r="C67" s="6" t="inlineStr">
        <is>
          <t>South Asia</t>
        </is>
      </c>
      <c r="D67" s="6" t="inlineStr">
        <is>
          <t>Upper middle income</t>
        </is>
      </c>
      <c r="E67" s="29" t="n">
        <v>1505444</v>
      </c>
      <c r="F67" s="29" t="n">
        <v>1561713</v>
      </c>
      <c r="G67" s="29" t="n">
        <v>1654073</v>
      </c>
      <c r="H67" s="29" t="n">
        <v>1691448</v>
      </c>
      <c r="I67" s="29" t="n">
        <v>1615715</v>
      </c>
      <c r="J67" s="29" t="n">
        <v>1531597</v>
      </c>
      <c r="K67" s="29" t="n">
        <v>1510202</v>
      </c>
      <c r="L67" s="29" t="n">
        <v>1439182</v>
      </c>
      <c r="M67" s="29" t="n">
        <v>1509671</v>
      </c>
      <c r="N67" s="29" t="n">
        <v>1462802</v>
      </c>
      <c r="O67" s="29" t="n">
        <v>1252696</v>
      </c>
      <c r="P67" s="29" t="n">
        <v>1205080</v>
      </c>
      <c r="Q67" s="29" t="n">
        <v>1102380</v>
      </c>
      <c r="R67" s="29" t="n">
        <v>964137</v>
      </c>
      <c r="S67" s="29" t="n">
        <v>764168</v>
      </c>
      <c r="T67" s="29" t="n">
        <v>537788</v>
      </c>
      <c r="U67" s="29" t="n">
        <v>447905</v>
      </c>
      <c r="V67" s="29" t="n">
        <v>11231932</v>
      </c>
      <c r="W67" s="29" t="n">
        <v>10524069</v>
      </c>
      <c r="X67" s="30">
        <f>SUM(E67:G67)</f>
        <v/>
      </c>
      <c r="Y67" s="30">
        <f>SUM(H67:I67)</f>
        <v/>
      </c>
      <c r="Z67" s="30">
        <f>SUM(J67:K67)</f>
        <v/>
      </c>
      <c r="AA67" s="30">
        <f>SUM(L67:M67)</f>
        <v/>
      </c>
      <c r="AB67" s="30">
        <f>SUM(N67:O67)</f>
        <v/>
      </c>
      <c r="AC67" s="30">
        <f>SUM(P67:Q67)</f>
        <v/>
      </c>
      <c r="AD67" s="30">
        <f>SUM(R67:U67)</f>
        <v/>
      </c>
      <c r="AE67" s="31">
        <f>SUM(X67:AD67)</f>
        <v/>
      </c>
      <c r="AF67" s="32">
        <f>AE67/SUM($AE$5:$AE$222)</f>
        <v/>
      </c>
      <c r="AG67" s="10">
        <f>RANK(AE67,$AE$5:$AE$222)</f>
        <v/>
      </c>
      <c r="AH67" s="29" t="n">
        <v>21916000</v>
      </c>
      <c r="AI67" s="9">
        <f>IF(AH67&gt;0,AE67/AH67-1,"")</f>
        <v/>
      </c>
      <c r="AJ67" s="29" t="n">
        <v>5002</v>
      </c>
      <c r="AK67" s="19">
        <f>IF(SUM($E67:E67)&gt;=AE67/2,0+5*(AE67/2-0)/E67,IF(SUM($E67:F67)&gt;=AE67/2,5+5*(AE67/2-SUM($E67:E67))/F67,IF(SUM($E67:G67)&gt;=AE67/2,10+5*(AE67/2-SUM($E67:F67))/G67,IF(SUM($E67:H67)&gt;=AE67/2,15+5*(AE67/2-SUM($E67:G67))/H67,IF(SUM($E67:I67)&gt;=AE67/2,20+5*(AE67/2-SUM($E67:H67))/I67,IF(SUM($E67:J67)&gt;=AE67/2,25+5*(AE67/2-SUM($E67:I67))/J67,IF(SUM($E67:K67)&gt;=AE67/2,30+5*(AE67/2-SUM($E67:J67))/K67,IF(SUM($E67:L67)&gt;=AE67/2,35+5*(AE67/2-SUM($E67:K67))/L67,IF(SUM($E67:M67)&gt;=AE67/2,40+5*(AE67/2-SUM($E67:L67))/M67,IF(SUM($E67:N67)&gt;=AE67/2,45+5*(AE67/2-SUM($E67:M67))/N67,IF(SUM($E67:O67)&gt;=AE67/2,50+5*(AE67/2-SUM($E67:N67))/O67,IF(SUM($E67:P67)&gt;=AE67/2,55+5*(AE67/2-SUM($E67:O67))/P67,IF(SUM($E67:Q67)&gt;=AE67/2,60+5*(AE67/2-SUM($E67:P67))/Q67,IF(SUM($E67:R67)&gt;=AE67/2,65+5*(AE67/2-SUM($E67:Q67))/R67,IF(SUM($E67:S67)&gt;=AE67/2,70+5*(AE67/2-SUM($E67:R67))/S67,IF(SUM($E67:T67)&gt;=AE67/2,75+5*(AE67/2-SUM($E67:S67))/T67,""))))))))))))))))</f>
        <v/>
      </c>
      <c r="AL67" s="30">
        <f>SUM(H67:Q67)</f>
        <v/>
      </c>
      <c r="AM67" s="24" t="n">
        <v>0.062</v>
      </c>
      <c r="AN67" s="24" t="n">
        <v>0.076</v>
      </c>
      <c r="AO67" s="33">
        <f>IF(AND(ISNUMBER(AN67),ISNUMBER(AM67)),(AN67-AM67)*100,"")</f>
        <v/>
      </c>
      <c r="AP67" s="30">
        <f>IF(ISNUMBER(AN67),AN67*AL67,"")</f>
        <v/>
      </c>
      <c r="AQ67" s="30">
        <f>IF(ISNUMBER(AN67),AL67,0)</f>
        <v/>
      </c>
      <c r="BB67" s="30">
        <f>IF(BA67="Yes",AX67,0)</f>
        <v/>
      </c>
      <c r="BC67" s="30">
        <f>IF(AND(BA67="Yes",ISNUMBER(AP67)),AP67,0)</f>
        <v/>
      </c>
      <c r="BD67" s="30">
        <f>IF(BA67="Yes",AX67,IF(ISNUMBER(AP67),AP67,0))</f>
        <v/>
      </c>
    </row>
    <row r="68">
      <c r="A68" s="6" t="inlineStr">
        <is>
          <t>TCD</t>
        </is>
      </c>
      <c r="B68" s="6" t="inlineStr">
        <is>
          <t>Chad</t>
        </is>
      </c>
      <c r="C68" s="6" t="inlineStr">
        <is>
          <t>Sub-Saharan Africa</t>
        </is>
      </c>
      <c r="D68" s="6" t="inlineStr">
        <is>
          <t>Low income</t>
        </is>
      </c>
      <c r="E68" s="29" t="n">
        <v>3827329</v>
      </c>
      <c r="F68" s="29" t="n">
        <v>3138699</v>
      </c>
      <c r="G68" s="29" t="n">
        <v>2687614</v>
      </c>
      <c r="H68" s="29" t="n">
        <v>2269002</v>
      </c>
      <c r="I68" s="29" t="n">
        <v>1890559</v>
      </c>
      <c r="J68" s="29" t="n">
        <v>1620129</v>
      </c>
      <c r="K68" s="29" t="n">
        <v>1317338</v>
      </c>
      <c r="L68" s="29" t="n">
        <v>1031948</v>
      </c>
      <c r="M68" s="29" t="n">
        <v>819512</v>
      </c>
      <c r="N68" s="29" t="n">
        <v>685318</v>
      </c>
      <c r="O68" s="29" t="n">
        <v>556880</v>
      </c>
      <c r="P68" s="29" t="n">
        <v>414244</v>
      </c>
      <c r="Q68" s="29" t="n">
        <v>300075</v>
      </c>
      <c r="R68" s="29" t="n">
        <v>203057</v>
      </c>
      <c r="S68" s="29" t="n">
        <v>129001</v>
      </c>
      <c r="T68" s="29" t="n">
        <v>67398</v>
      </c>
      <c r="U68" s="29" t="n">
        <v>45601</v>
      </c>
      <c r="V68" s="29" t="n">
        <v>10469209</v>
      </c>
      <c r="W68" s="29" t="n">
        <v>10534495</v>
      </c>
      <c r="X68" s="30">
        <f>SUM(E68:G68)</f>
        <v/>
      </c>
      <c r="Y68" s="30">
        <f>SUM(H68:I68)</f>
        <v/>
      </c>
      <c r="Z68" s="30">
        <f>SUM(J68:K68)</f>
        <v/>
      </c>
      <c r="AA68" s="30">
        <f>SUM(L68:M68)</f>
        <v/>
      </c>
      <c r="AB68" s="30">
        <f>SUM(N68:O68)</f>
        <v/>
      </c>
      <c r="AC68" s="30">
        <f>SUM(P68:Q68)</f>
        <v/>
      </c>
      <c r="AD68" s="30">
        <f>SUM(R68:U68)</f>
        <v/>
      </c>
      <c r="AE68" s="31">
        <f>SUM(X68:AD68)</f>
        <v/>
      </c>
      <c r="AF68" s="32">
        <f>AE68/SUM($AE$5:$AE$222)</f>
        <v/>
      </c>
      <c r="AG68" s="10">
        <f>RANK(AE68,$AE$5:$AE$222)</f>
        <v/>
      </c>
      <c r="AH68" s="29" t="n">
        <v>20299123</v>
      </c>
      <c r="AI68" s="9">
        <f>IF(AH68&gt;0,AE68/AH68-1,"")</f>
        <v/>
      </c>
      <c r="AJ68" s="29" t="n">
        <v>1022</v>
      </c>
      <c r="AK68" s="19">
        <f>IF(SUM($E68:E68)&gt;=AE68/2,0+5*(AE68/2-0)/E68,IF(SUM($E68:F68)&gt;=AE68/2,5+5*(AE68/2-SUM($E68:E68))/F68,IF(SUM($E68:G68)&gt;=AE68/2,10+5*(AE68/2-SUM($E68:F68))/G68,IF(SUM($E68:H68)&gt;=AE68/2,15+5*(AE68/2-SUM($E68:G68))/H68,IF(SUM($E68:I68)&gt;=AE68/2,20+5*(AE68/2-SUM($E68:H68))/I68,IF(SUM($E68:J68)&gt;=AE68/2,25+5*(AE68/2-SUM($E68:I68))/J68,IF(SUM($E68:K68)&gt;=AE68/2,30+5*(AE68/2-SUM($E68:J68))/K68,IF(SUM($E68:L68)&gt;=AE68/2,35+5*(AE68/2-SUM($E68:K68))/L68,IF(SUM($E68:M68)&gt;=AE68/2,40+5*(AE68/2-SUM($E68:L68))/M68,IF(SUM($E68:N68)&gt;=AE68/2,45+5*(AE68/2-SUM($E68:M68))/N68,IF(SUM($E68:O68)&gt;=AE68/2,50+5*(AE68/2-SUM($E68:N68))/O68,IF(SUM($E68:P68)&gt;=AE68/2,55+5*(AE68/2-SUM($E68:O68))/P68,IF(SUM($E68:Q68)&gt;=AE68/2,60+5*(AE68/2-SUM($E68:P68))/Q68,IF(SUM($E68:R68)&gt;=AE68/2,65+5*(AE68/2-SUM($E68:Q68))/R68,IF(SUM($E68:S68)&gt;=AE68/2,70+5*(AE68/2-SUM($E68:R68))/S68,IF(SUM($E68:T68)&gt;=AE68/2,75+5*(AE68/2-SUM($E68:S68))/T68,""))))))))))))))))</f>
        <v/>
      </c>
      <c r="AL68" s="30">
        <f>SUM(H68:Q68)</f>
        <v/>
      </c>
      <c r="AM68" s="24" t="n">
        <v>0.07000000000000001</v>
      </c>
      <c r="AN68" s="24" t="n">
        <v>0.091</v>
      </c>
      <c r="AO68" s="33">
        <f>IF(AND(ISNUMBER(AN68),ISNUMBER(AM68)),(AN68-AM68)*100,"")</f>
        <v/>
      </c>
      <c r="AP68" s="30">
        <f>IF(ISNUMBER(AN68),AN68*AL68,"")</f>
        <v/>
      </c>
      <c r="AQ68" s="30">
        <f>IF(ISNUMBER(AN68),AL68,0)</f>
        <v/>
      </c>
      <c r="BB68" s="30">
        <f>IF(BA68="Yes",AX68,0)</f>
        <v/>
      </c>
      <c r="BC68" s="30">
        <f>IF(AND(BA68="Yes",ISNUMBER(AP68)),AP68,0)</f>
        <v/>
      </c>
      <c r="BD68" s="30">
        <f>IF(BA68="Yes",AX68,IF(ISNUMBER(AP68),AP68,0))</f>
        <v/>
      </c>
    </row>
    <row r="69">
      <c r="A69" s="6" t="inlineStr">
        <is>
          <t>KAZ</t>
        </is>
      </c>
      <c r="B69" s="6" t="inlineStr">
        <is>
          <t>Kazakhstan</t>
        </is>
      </c>
      <c r="C69" s="6" t="inlineStr">
        <is>
          <t>Europe &amp; Central Asia</t>
        </is>
      </c>
      <c r="D69" s="6" t="inlineStr">
        <is>
          <t>Upper middle income</t>
        </is>
      </c>
      <c r="E69" s="29" t="n">
        <v>2083997</v>
      </c>
      <c r="F69" s="29" t="n">
        <v>2052309</v>
      </c>
      <c r="G69" s="29" t="n">
        <v>1937020</v>
      </c>
      <c r="H69" s="29" t="n">
        <v>1682344</v>
      </c>
      <c r="I69" s="29" t="n">
        <v>1262464</v>
      </c>
      <c r="J69" s="29" t="n">
        <v>1217625</v>
      </c>
      <c r="K69" s="29" t="n">
        <v>1496491</v>
      </c>
      <c r="L69" s="29" t="n">
        <v>1600141</v>
      </c>
      <c r="M69" s="29" t="n">
        <v>1392639</v>
      </c>
      <c r="N69" s="29" t="n">
        <v>1210445</v>
      </c>
      <c r="O69" s="29" t="n">
        <v>1100406</v>
      </c>
      <c r="P69" s="29" t="n">
        <v>994760</v>
      </c>
      <c r="Q69" s="29" t="n">
        <v>936609</v>
      </c>
      <c r="R69" s="29" t="n">
        <v>794629</v>
      </c>
      <c r="S69" s="29" t="n">
        <v>525366</v>
      </c>
      <c r="T69" s="29" t="n">
        <v>297185</v>
      </c>
      <c r="U69" s="29" t="n">
        <v>259321</v>
      </c>
      <c r="V69" s="29" t="n">
        <v>10686970</v>
      </c>
      <c r="W69" s="29" t="n">
        <v>10156781</v>
      </c>
      <c r="X69" s="30">
        <f>SUM(E69:G69)</f>
        <v/>
      </c>
      <c r="Y69" s="30">
        <f>SUM(H69:I69)</f>
        <v/>
      </c>
      <c r="Z69" s="30">
        <f>SUM(J69:K69)</f>
        <v/>
      </c>
      <c r="AA69" s="30">
        <f>SUM(L69:M69)</f>
        <v/>
      </c>
      <c r="AB69" s="30">
        <f>SUM(N69:O69)</f>
        <v/>
      </c>
      <c r="AC69" s="30">
        <f>SUM(P69:Q69)</f>
        <v/>
      </c>
      <c r="AD69" s="30">
        <f>SUM(R69:U69)</f>
        <v/>
      </c>
      <c r="AE69" s="31">
        <f>SUM(X69:AD69)</f>
        <v/>
      </c>
      <c r="AF69" s="32">
        <f>AE69/SUM($AE$5:$AE$222)</f>
        <v/>
      </c>
      <c r="AG69" s="10">
        <f>RANK(AE69,$AE$5:$AE$222)</f>
        <v/>
      </c>
      <c r="AH69" s="29" t="n">
        <v>20592571</v>
      </c>
      <c r="AI69" s="9">
        <f>IF(AH69&gt;0,AE69/AH69-1,"")</f>
        <v/>
      </c>
      <c r="AJ69" s="29" t="n">
        <v>14692</v>
      </c>
      <c r="AK69" s="19">
        <f>IF(SUM($E69:E69)&gt;=AE69/2,0+5*(AE69/2-0)/E69,IF(SUM($E69:F69)&gt;=AE69/2,5+5*(AE69/2-SUM($E69:E69))/F69,IF(SUM($E69:G69)&gt;=AE69/2,10+5*(AE69/2-SUM($E69:F69))/G69,IF(SUM($E69:H69)&gt;=AE69/2,15+5*(AE69/2-SUM($E69:G69))/H69,IF(SUM($E69:I69)&gt;=AE69/2,20+5*(AE69/2-SUM($E69:H69))/I69,IF(SUM($E69:J69)&gt;=AE69/2,25+5*(AE69/2-SUM($E69:I69))/J69,IF(SUM($E69:K69)&gt;=AE69/2,30+5*(AE69/2-SUM($E69:J69))/K69,IF(SUM($E69:L69)&gt;=AE69/2,35+5*(AE69/2-SUM($E69:K69))/L69,IF(SUM($E69:M69)&gt;=AE69/2,40+5*(AE69/2-SUM($E69:L69))/M69,IF(SUM($E69:N69)&gt;=AE69/2,45+5*(AE69/2-SUM($E69:M69))/N69,IF(SUM($E69:O69)&gt;=AE69/2,50+5*(AE69/2-SUM($E69:N69))/O69,IF(SUM($E69:P69)&gt;=AE69/2,55+5*(AE69/2-SUM($E69:O69))/P69,IF(SUM($E69:Q69)&gt;=AE69/2,60+5*(AE69/2-SUM($E69:P69))/Q69,IF(SUM($E69:R69)&gt;=AE69/2,65+5*(AE69/2-SUM($E69:Q69))/R69,IF(SUM($E69:S69)&gt;=AE69/2,70+5*(AE69/2-SUM($E69:R69))/S69,IF(SUM($E69:T69)&gt;=AE69/2,75+5*(AE69/2-SUM($E69:S69))/T69,""))))))))))))))))</f>
        <v/>
      </c>
      <c r="AL69" s="30">
        <f>SUM(H69:Q69)</f>
        <v/>
      </c>
      <c r="AM69" s="24" t="n">
        <v>0.127</v>
      </c>
      <c r="AN69" s="24" t="n">
        <v>0.169</v>
      </c>
      <c r="AO69" s="33">
        <f>IF(AND(ISNUMBER(AN69),ISNUMBER(AM69)),(AN69-AM69)*100,"")</f>
        <v/>
      </c>
      <c r="AP69" s="30">
        <f>IF(ISNUMBER(AN69),AN69*AL69,"")</f>
        <v/>
      </c>
      <c r="AQ69" s="30">
        <f>IF(ISNUMBER(AN69),AL69,0)</f>
        <v/>
      </c>
      <c r="BB69" s="30">
        <f>IF(BA69="Yes",AX69,0)</f>
        <v/>
      </c>
      <c r="BC69" s="30">
        <f>IF(AND(BA69="Yes",ISNUMBER(AP69)),AP69,0)</f>
        <v/>
      </c>
      <c r="BD69" s="30">
        <f>IF(BA69="Yes",AX69,IF(ISNUMBER(AP69),AP69,0))</f>
        <v/>
      </c>
    </row>
    <row r="70">
      <c r="A70" s="6" t="inlineStr">
        <is>
          <t>CHL</t>
        </is>
      </c>
      <c r="B70" s="6" t="inlineStr">
        <is>
          <t>Chile</t>
        </is>
      </c>
      <c r="C70" s="6" t="inlineStr">
        <is>
          <t>Latin America &amp; Caribbean</t>
        </is>
      </c>
      <c r="D70" s="6" t="inlineStr">
        <is>
          <t>High income</t>
        </is>
      </c>
      <c r="E70" s="29" t="n">
        <v>907585</v>
      </c>
      <c r="F70" s="29" t="n">
        <v>1136437</v>
      </c>
      <c r="G70" s="29" t="n">
        <v>1242200</v>
      </c>
      <c r="H70" s="29" t="n">
        <v>1223629</v>
      </c>
      <c r="I70" s="29" t="n">
        <v>1296158</v>
      </c>
      <c r="J70" s="29" t="n">
        <v>1512457</v>
      </c>
      <c r="K70" s="29" t="n">
        <v>1651674</v>
      </c>
      <c r="L70" s="29" t="n">
        <v>1601998</v>
      </c>
      <c r="M70" s="29" t="n">
        <v>1445415</v>
      </c>
      <c r="N70" s="29" t="n">
        <v>1345375</v>
      </c>
      <c r="O70" s="29" t="n">
        <v>1284168</v>
      </c>
      <c r="P70" s="29" t="n">
        <v>1216738</v>
      </c>
      <c r="Q70" s="29" t="n">
        <v>1098574</v>
      </c>
      <c r="R70" s="29" t="n">
        <v>940765</v>
      </c>
      <c r="S70" s="29" t="n">
        <v>751217</v>
      </c>
      <c r="T70" s="29" t="n">
        <v>536723</v>
      </c>
      <c r="U70" s="29" t="n">
        <v>668807</v>
      </c>
      <c r="V70" s="29" t="n">
        <v>9988734</v>
      </c>
      <c r="W70" s="29" t="n">
        <v>9871186</v>
      </c>
      <c r="X70" s="30">
        <f>SUM(E70:G70)</f>
        <v/>
      </c>
      <c r="Y70" s="30">
        <f>SUM(H70:I70)</f>
        <v/>
      </c>
      <c r="Z70" s="30">
        <f>SUM(J70:K70)</f>
        <v/>
      </c>
      <c r="AA70" s="30">
        <f>SUM(L70:M70)</f>
        <v/>
      </c>
      <c r="AB70" s="30">
        <f>SUM(N70:O70)</f>
        <v/>
      </c>
      <c r="AC70" s="30">
        <f>SUM(P70:Q70)</f>
        <v/>
      </c>
      <c r="AD70" s="30">
        <f>SUM(R70:U70)</f>
        <v/>
      </c>
      <c r="AE70" s="31">
        <f>SUM(X70:AD70)</f>
        <v/>
      </c>
      <c r="AF70" s="32">
        <f>AE70/SUM($AE$5:$AE$222)</f>
        <v/>
      </c>
      <c r="AG70" s="10">
        <f>RANK(AE70,$AE$5:$AE$222)</f>
        <v/>
      </c>
      <c r="AH70" s="29" t="n">
        <v>19764771</v>
      </c>
      <c r="AI70" s="9">
        <f>IF(AH70&gt;0,AE70/AH70-1,"")</f>
        <v/>
      </c>
      <c r="AJ70" s="29" t="n">
        <v>17995</v>
      </c>
      <c r="AK70" s="19">
        <f>IF(SUM($E70:E70)&gt;=AE70/2,0+5*(AE70/2-0)/E70,IF(SUM($E70:F70)&gt;=AE70/2,5+5*(AE70/2-SUM($E70:E70))/F70,IF(SUM($E70:G70)&gt;=AE70/2,10+5*(AE70/2-SUM($E70:F70))/G70,IF(SUM($E70:H70)&gt;=AE70/2,15+5*(AE70/2-SUM($E70:G70))/H70,IF(SUM($E70:I70)&gt;=AE70/2,20+5*(AE70/2-SUM($E70:H70))/I70,IF(SUM($E70:J70)&gt;=AE70/2,25+5*(AE70/2-SUM($E70:I70))/J70,IF(SUM($E70:K70)&gt;=AE70/2,30+5*(AE70/2-SUM($E70:J70))/K70,IF(SUM($E70:L70)&gt;=AE70/2,35+5*(AE70/2-SUM($E70:K70))/L70,IF(SUM($E70:M70)&gt;=AE70/2,40+5*(AE70/2-SUM($E70:L70))/M70,IF(SUM($E70:N70)&gt;=AE70/2,45+5*(AE70/2-SUM($E70:M70))/N70,IF(SUM($E70:O70)&gt;=AE70/2,50+5*(AE70/2-SUM($E70:N70))/O70,IF(SUM($E70:P70)&gt;=AE70/2,55+5*(AE70/2-SUM($E70:O70))/P70,IF(SUM($E70:Q70)&gt;=AE70/2,60+5*(AE70/2-SUM($E70:P70))/Q70,IF(SUM($E70:R70)&gt;=AE70/2,65+5*(AE70/2-SUM($E70:Q70))/R70,IF(SUM($E70:S70)&gt;=AE70/2,70+5*(AE70/2-SUM($E70:R70))/S70,IF(SUM($E70:T70)&gt;=AE70/2,75+5*(AE70/2-SUM($E70:S70))/T70,""))))))))))))))))</f>
        <v/>
      </c>
      <c r="AL70" s="30">
        <f>SUM(H70:Q70)</f>
        <v/>
      </c>
      <c r="AM70" s="24" t="n">
        <v>0.196</v>
      </c>
      <c r="AN70" s="24" t="n">
        <v>0.24</v>
      </c>
      <c r="AO70" s="33">
        <f>IF(AND(ISNUMBER(AN70),ISNUMBER(AM70)),(AN70-AM70)*100,"")</f>
        <v/>
      </c>
      <c r="AP70" s="30">
        <f>IF(ISNUMBER(AN70),AN70*AL70,"")</f>
        <v/>
      </c>
      <c r="AQ70" s="30">
        <f>IF(ISNUMBER(AN70),AL70,0)</f>
        <v/>
      </c>
      <c r="AR70" s="24" t="n">
        <v>0.6</v>
      </c>
      <c r="AS70" s="6" t="inlineStr">
        <is>
          <t>population</t>
        </is>
      </c>
      <c r="AT70" s="6" t="inlineStr">
        <is>
          <t>18+</t>
        </is>
      </c>
      <c r="AU70" s="24" t="n">
        <v>1</v>
      </c>
      <c r="AV70" s="30">
        <f>H70*0.4+I70+J70+K70+L70+M70+N70+O70+P70+Q70+R70+S70+T70+U70</f>
        <v/>
      </c>
      <c r="AX70" s="30">
        <f>IF(ISNUMBER(AW70),AW70,AR70*AU70*AV70)</f>
        <v/>
      </c>
      <c r="AY70" s="34">
        <f>AX70/AV70</f>
        <v/>
      </c>
      <c r="AZ70" s="6" t="inlineStr">
        <is>
          <t>C</t>
        </is>
      </c>
      <c r="BA70" s="6" t="inlineStr">
        <is>
          <t>No</t>
        </is>
      </c>
      <c r="BB70" s="30">
        <f>IF(BA70="Yes",AX70,0)</f>
        <v/>
      </c>
      <c r="BC70" s="30">
        <f>IF(AND(BA70="Yes",ISNUMBER(AP70)),AP70,0)</f>
        <v/>
      </c>
      <c r="BD70" s="30">
        <f>IF(BA70="Yes",AX70,IF(ISNUMBER(AP70),AP70,0))</f>
        <v/>
      </c>
      <c r="BE70" s="6" t="inlineStr">
        <is>
          <t>Have used artificial intelligence in daily life (work, study, home)</t>
        </is>
      </c>
      <c r="BF70" s="6" t="inlineStr">
        <is>
          <t>24-29 September 2025 (online panel, n=1,376)</t>
        </is>
      </c>
      <c r="BG70" s="6" t="inlineStr">
        <is>
          <t>Universidad Autonoma de Chile: III Survey on Social Perception of AI in Chile 2025</t>
        </is>
      </c>
      <c r="BH70" s="6" t="inlineStr">
        <is>
          <t>https://www.uautonoma.cl/content/uploads/2025/11/III-Encuesta-de-Percepcion-Social-de-la-Inteligencia-V3_PD.pdf</t>
        </is>
      </c>
    </row>
    <row r="71">
      <c r="A71" s="6" t="inlineStr">
        <is>
          <t>SOM</t>
        </is>
      </c>
      <c r="B71" s="6" t="inlineStr">
        <is>
          <t>Somalia, Fed. Rep.</t>
        </is>
      </c>
      <c r="C71" s="6" t="inlineStr">
        <is>
          <t>Sub-Saharan Africa</t>
        </is>
      </c>
      <c r="D71" s="6" t="inlineStr">
        <is>
          <t>Low income</t>
        </is>
      </c>
      <c r="E71" s="29" t="n">
        <v>3583656</v>
      </c>
      <c r="F71" s="29" t="n">
        <v>3047020</v>
      </c>
      <c r="G71" s="29" t="n">
        <v>2519367</v>
      </c>
      <c r="H71" s="29" t="n">
        <v>2077837</v>
      </c>
      <c r="I71" s="29" t="n">
        <v>1779729</v>
      </c>
      <c r="J71" s="29" t="n">
        <v>1498696</v>
      </c>
      <c r="K71" s="29" t="n">
        <v>1139650</v>
      </c>
      <c r="L71" s="29" t="n">
        <v>932292</v>
      </c>
      <c r="M71" s="29" t="n">
        <v>783898</v>
      </c>
      <c r="N71" s="29" t="n">
        <v>616151</v>
      </c>
      <c r="O71" s="29" t="n">
        <v>481210</v>
      </c>
      <c r="P71" s="29" t="n">
        <v>382065</v>
      </c>
      <c r="Q71" s="29" t="n">
        <v>298713</v>
      </c>
      <c r="R71" s="29" t="n">
        <v>223825</v>
      </c>
      <c r="S71" s="29" t="n">
        <v>155104</v>
      </c>
      <c r="T71" s="29" t="n">
        <v>82894</v>
      </c>
      <c r="U71" s="29" t="n">
        <v>52634</v>
      </c>
      <c r="V71" s="29" t="n">
        <v>9809762</v>
      </c>
      <c r="W71" s="29" t="n">
        <v>9844979</v>
      </c>
      <c r="X71" s="30">
        <f>SUM(E71:G71)</f>
        <v/>
      </c>
      <c r="Y71" s="30">
        <f>SUM(H71:I71)</f>
        <v/>
      </c>
      <c r="Z71" s="30">
        <f>SUM(J71:K71)</f>
        <v/>
      </c>
      <c r="AA71" s="30">
        <f>SUM(L71:M71)</f>
        <v/>
      </c>
      <c r="AB71" s="30">
        <f>SUM(N71:O71)</f>
        <v/>
      </c>
      <c r="AC71" s="30">
        <f>SUM(P71:Q71)</f>
        <v/>
      </c>
      <c r="AD71" s="30">
        <f>SUM(R71:U71)</f>
        <v/>
      </c>
      <c r="AE71" s="31">
        <f>SUM(X71:AD71)</f>
        <v/>
      </c>
      <c r="AF71" s="32">
        <f>AE71/SUM($AE$5:$AE$222)</f>
        <v/>
      </c>
      <c r="AG71" s="10">
        <f>RANK(AE71,$AE$5:$AE$222)</f>
        <v/>
      </c>
      <c r="AH71" s="29" t="n">
        <v>19009151</v>
      </c>
      <c r="AI71" s="9">
        <f>IF(AH71&gt;0,AE71/AH71-1,"")</f>
        <v/>
      </c>
      <c r="AJ71" s="29" t="n">
        <v>661</v>
      </c>
      <c r="AK71" s="19">
        <f>IF(SUM($E71:E71)&gt;=AE71/2,0+5*(AE71/2-0)/E71,IF(SUM($E71:F71)&gt;=AE71/2,5+5*(AE71/2-SUM($E71:E71))/F71,IF(SUM($E71:G71)&gt;=AE71/2,10+5*(AE71/2-SUM($E71:F71))/G71,IF(SUM($E71:H71)&gt;=AE71/2,15+5*(AE71/2-SUM($E71:G71))/H71,IF(SUM($E71:I71)&gt;=AE71/2,20+5*(AE71/2-SUM($E71:H71))/I71,IF(SUM($E71:J71)&gt;=AE71/2,25+5*(AE71/2-SUM($E71:I71))/J71,IF(SUM($E71:K71)&gt;=AE71/2,30+5*(AE71/2-SUM($E71:J71))/K71,IF(SUM($E71:L71)&gt;=AE71/2,35+5*(AE71/2-SUM($E71:K71))/L71,IF(SUM($E71:M71)&gt;=AE71/2,40+5*(AE71/2-SUM($E71:L71))/M71,IF(SUM($E71:N71)&gt;=AE71/2,45+5*(AE71/2-SUM($E71:M71))/N71,IF(SUM($E71:O71)&gt;=AE71/2,50+5*(AE71/2-SUM($E71:N71))/O71,IF(SUM($E71:P71)&gt;=AE71/2,55+5*(AE71/2-SUM($E71:O71))/P71,IF(SUM($E71:Q71)&gt;=AE71/2,60+5*(AE71/2-SUM($E71:P71))/Q71,IF(SUM($E71:R71)&gt;=AE71/2,65+5*(AE71/2-SUM($E71:Q71))/R71,IF(SUM($E71:S71)&gt;=AE71/2,70+5*(AE71/2-SUM($E71:R71))/S71,IF(SUM($E71:T71)&gt;=AE71/2,75+5*(AE71/2-SUM($E71:S71))/T71,""))))))))))))))))</f>
        <v/>
      </c>
      <c r="AL71" s="30">
        <f>SUM(H71:Q71)</f>
        <v/>
      </c>
      <c r="AM71" s="24" t="n">
        <v>0.064</v>
      </c>
      <c r="AN71" s="24" t="n">
        <v>0.08</v>
      </c>
      <c r="AO71" s="33">
        <f>IF(AND(ISNUMBER(AN71),ISNUMBER(AM71)),(AN71-AM71)*100,"")</f>
        <v/>
      </c>
      <c r="AP71" s="30">
        <f>IF(ISNUMBER(AN71),AN71*AL71,"")</f>
        <v/>
      </c>
      <c r="AQ71" s="30">
        <f>IF(ISNUMBER(AN71),AL71,0)</f>
        <v/>
      </c>
      <c r="BB71" s="30">
        <f>IF(BA71="Yes",AX71,0)</f>
        <v/>
      </c>
      <c r="BC71" s="30">
        <f>IF(AND(BA71="Yes",ISNUMBER(AP71)),AP71,0)</f>
        <v/>
      </c>
      <c r="BD71" s="30">
        <f>IF(BA71="Yes",AX71,IF(ISNUMBER(AP71),AP71,0))</f>
        <v/>
      </c>
    </row>
    <row r="72">
      <c r="A72" s="6" t="inlineStr">
        <is>
          <t>ROU</t>
        </is>
      </c>
      <c r="B72" s="6" t="inlineStr">
        <is>
          <t>Romania</t>
        </is>
      </c>
      <c r="C72" s="6" t="inlineStr">
        <is>
          <t>Europe &amp; Central Asia</t>
        </is>
      </c>
      <c r="D72" s="6" t="inlineStr">
        <is>
          <t>High income</t>
        </is>
      </c>
      <c r="E72" s="29" t="n">
        <v>917349</v>
      </c>
      <c r="F72" s="29" t="n">
        <v>1020747</v>
      </c>
      <c r="G72" s="29" t="n">
        <v>1020561</v>
      </c>
      <c r="H72" s="29" t="n">
        <v>1099938</v>
      </c>
      <c r="I72" s="29" t="n">
        <v>1014298</v>
      </c>
      <c r="J72" s="29" t="n">
        <v>1002602</v>
      </c>
      <c r="K72" s="29" t="n">
        <v>1060675</v>
      </c>
      <c r="L72" s="29" t="n">
        <v>1353451</v>
      </c>
      <c r="M72" s="29" t="n">
        <v>1244136</v>
      </c>
      <c r="N72" s="29" t="n">
        <v>1497891</v>
      </c>
      <c r="O72" s="29" t="n">
        <v>1463709</v>
      </c>
      <c r="P72" s="29" t="n">
        <v>1503213</v>
      </c>
      <c r="Q72" s="29" t="n">
        <v>991322</v>
      </c>
      <c r="R72" s="29" t="n">
        <v>1152350</v>
      </c>
      <c r="S72" s="29" t="n">
        <v>1077201</v>
      </c>
      <c r="T72" s="29" t="n">
        <v>762534</v>
      </c>
      <c r="U72" s="29" t="n">
        <v>838294</v>
      </c>
      <c r="V72" s="29" t="n">
        <v>9808458</v>
      </c>
      <c r="W72" s="29" t="n">
        <v>9211813</v>
      </c>
      <c r="X72" s="30">
        <f>SUM(E72:G72)</f>
        <v/>
      </c>
      <c r="Y72" s="30">
        <f>SUM(H72:I72)</f>
        <v/>
      </c>
      <c r="Z72" s="30">
        <f>SUM(J72:K72)</f>
        <v/>
      </c>
      <c r="AA72" s="30">
        <f>SUM(L72:M72)</f>
        <v/>
      </c>
      <c r="AB72" s="30">
        <f>SUM(N72:O72)</f>
        <v/>
      </c>
      <c r="AC72" s="30">
        <f>SUM(P72:Q72)</f>
        <v/>
      </c>
      <c r="AD72" s="30">
        <f>SUM(R72:U72)</f>
        <v/>
      </c>
      <c r="AE72" s="31">
        <f>SUM(X72:AD72)</f>
        <v/>
      </c>
      <c r="AF72" s="32">
        <f>AE72/SUM($AE$5:$AE$222)</f>
        <v/>
      </c>
      <c r="AG72" s="10">
        <f>RANK(AE72,$AE$5:$AE$222)</f>
        <v/>
      </c>
      <c r="AH72" s="29" t="n">
        <v>19051804</v>
      </c>
      <c r="AI72" s="9">
        <f>IF(AH72&gt;0,AE72/AH72-1,"")</f>
        <v/>
      </c>
      <c r="AJ72" s="29" t="n">
        <v>22538</v>
      </c>
      <c r="AK72" s="19">
        <f>IF(SUM($E72:E72)&gt;=AE72/2,0+5*(AE72/2-0)/E72,IF(SUM($E72:F72)&gt;=AE72/2,5+5*(AE72/2-SUM($E72:E72))/F72,IF(SUM($E72:G72)&gt;=AE72/2,10+5*(AE72/2-SUM($E72:F72))/G72,IF(SUM($E72:H72)&gt;=AE72/2,15+5*(AE72/2-SUM($E72:G72))/H72,IF(SUM($E72:I72)&gt;=AE72/2,20+5*(AE72/2-SUM($E72:H72))/I72,IF(SUM($E72:J72)&gt;=AE72/2,25+5*(AE72/2-SUM($E72:I72))/J72,IF(SUM($E72:K72)&gt;=AE72/2,30+5*(AE72/2-SUM($E72:J72))/K72,IF(SUM($E72:L72)&gt;=AE72/2,35+5*(AE72/2-SUM($E72:K72))/L72,IF(SUM($E72:M72)&gt;=AE72/2,40+5*(AE72/2-SUM($E72:L72))/M72,IF(SUM($E72:N72)&gt;=AE72/2,45+5*(AE72/2-SUM($E72:M72))/N72,IF(SUM($E72:O72)&gt;=AE72/2,50+5*(AE72/2-SUM($E72:N72))/O72,IF(SUM($E72:P72)&gt;=AE72/2,55+5*(AE72/2-SUM($E72:O72))/P72,IF(SUM($E72:Q72)&gt;=AE72/2,60+5*(AE72/2-SUM($E72:P72))/Q72,IF(SUM($E72:R72)&gt;=AE72/2,65+5*(AE72/2-SUM($E72:Q72))/R72,IF(SUM($E72:S72)&gt;=AE72/2,70+5*(AE72/2-SUM($E72:R72))/S72,IF(SUM($E72:T72)&gt;=AE72/2,75+5*(AE72/2-SUM($E72:S72))/T72,""))))))))))))))))</f>
        <v/>
      </c>
      <c r="AL72" s="30">
        <f>SUM(H72:Q72)</f>
        <v/>
      </c>
      <c r="AM72" s="24" t="n">
        <v>0.153</v>
      </c>
      <c r="AN72" s="24" t="n">
        <v>0.18</v>
      </c>
      <c r="AO72" s="33">
        <f>IF(AND(ISNUMBER(AN72),ISNUMBER(AM72)),(AN72-AM72)*100,"")</f>
        <v/>
      </c>
      <c r="AP72" s="30">
        <f>IF(ISNUMBER(AN72),AN72*AL72,"")</f>
        <v/>
      </c>
      <c r="AQ72" s="30">
        <f>IF(ISNUMBER(AN72),AL72,0)</f>
        <v/>
      </c>
      <c r="AR72" s="24" t="n">
        <v>0.1776</v>
      </c>
      <c r="AS72" s="6" t="inlineStr">
        <is>
          <t>population</t>
        </is>
      </c>
      <c r="AT72" s="6" t="inlineStr">
        <is>
          <t>16-74</t>
        </is>
      </c>
      <c r="AU72" s="24" t="n">
        <v>1</v>
      </c>
      <c r="AV72" s="30">
        <f>H72*0.8+I72+J72+K72+L72+M72+N72+O72+P72+Q72+R72+S72</f>
        <v/>
      </c>
      <c r="AX72" s="30">
        <f>IF(ISNUMBER(AW72),AW72,AR72*AU72*AV72)</f>
        <v/>
      </c>
      <c r="AY72" s="34">
        <f>AX72/AV72</f>
        <v/>
      </c>
      <c r="AZ72" s="6" t="inlineStr">
        <is>
          <t>A</t>
        </is>
      </c>
      <c r="BA72" s="6" t="inlineStr">
        <is>
          <t>Yes</t>
        </is>
      </c>
      <c r="BB72" s="30">
        <f>IF(BA72="Yes",AX72,0)</f>
        <v/>
      </c>
      <c r="BC72" s="30">
        <f>IF(AND(BA72="Yes",ISNUMBER(AP72)),AP72,0)</f>
        <v/>
      </c>
      <c r="BD72" s="30">
        <f>IF(BA72="Yes",AX72,IF(ISNUMBER(AP72),AP72,0))</f>
        <v/>
      </c>
      <c r="BE72" s="6" t="inlineStr">
        <is>
          <t>Used generative AI tools in the last 3 months</t>
        </is>
      </c>
      <c r="BF72" s="6" t="inlineStr">
        <is>
          <t>2025 survey (Q2, most countries)</t>
        </is>
      </c>
      <c r="BG72" s="6" t="inlineStr">
        <is>
          <t>Eurostat: ICT usage in households and by individuals 2025, dataset isoc_ai_iaiu</t>
        </is>
      </c>
      <c r="BH72" s="6" t="inlineStr">
        <is>
          <t>https://ec.europa.eu/eurostat/databrowser/view/isoc_ai_iaiu/default/table</t>
        </is>
      </c>
    </row>
    <row r="73">
      <c r="A73" s="6" t="inlineStr">
        <is>
          <t>SEN</t>
        </is>
      </c>
      <c r="B73" s="6" t="inlineStr">
        <is>
          <t>Senegal</t>
        </is>
      </c>
      <c r="C73" s="6" t="inlineStr">
        <is>
          <t>Sub-Saharan Africa</t>
        </is>
      </c>
      <c r="D73" s="6" t="inlineStr">
        <is>
          <t>Lower middle income</t>
        </is>
      </c>
      <c r="E73" s="29" t="n">
        <v>2540075</v>
      </c>
      <c r="F73" s="29" t="n">
        <v>2344558</v>
      </c>
      <c r="G73" s="29" t="n">
        <v>2260822</v>
      </c>
      <c r="H73" s="29" t="n">
        <v>2088357</v>
      </c>
      <c r="I73" s="29" t="n">
        <v>1820900</v>
      </c>
      <c r="J73" s="29" t="n">
        <v>1604613</v>
      </c>
      <c r="K73" s="29" t="n">
        <v>1337577</v>
      </c>
      <c r="L73" s="29" t="n">
        <v>1110303</v>
      </c>
      <c r="M73" s="29" t="n">
        <v>926510</v>
      </c>
      <c r="N73" s="29" t="n">
        <v>750140</v>
      </c>
      <c r="O73" s="29" t="n">
        <v>598719</v>
      </c>
      <c r="P73" s="29" t="n">
        <v>482329</v>
      </c>
      <c r="Q73" s="29" t="n">
        <v>376769</v>
      </c>
      <c r="R73" s="29" t="n">
        <v>288064</v>
      </c>
      <c r="S73" s="29" t="n">
        <v>204711</v>
      </c>
      <c r="T73" s="29" t="n">
        <v>113625</v>
      </c>
      <c r="U73" s="29" t="n">
        <v>83889</v>
      </c>
      <c r="V73" s="29" t="n">
        <v>9317273</v>
      </c>
      <c r="W73" s="29" t="n">
        <v>9614688</v>
      </c>
      <c r="X73" s="30">
        <f>SUM(E73:G73)</f>
        <v/>
      </c>
      <c r="Y73" s="30">
        <f>SUM(H73:I73)</f>
        <v/>
      </c>
      <c r="Z73" s="30">
        <f>SUM(J73:K73)</f>
        <v/>
      </c>
      <c r="AA73" s="30">
        <f>SUM(L73:M73)</f>
        <v/>
      </c>
      <c r="AB73" s="30">
        <f>SUM(N73:O73)</f>
        <v/>
      </c>
      <c r="AC73" s="30">
        <f>SUM(P73:Q73)</f>
        <v/>
      </c>
      <c r="AD73" s="30">
        <f>SUM(R73:U73)</f>
        <v/>
      </c>
      <c r="AE73" s="31">
        <f>SUM(X73:AD73)</f>
        <v/>
      </c>
      <c r="AF73" s="32">
        <f>AE73/SUM($AE$5:$AE$222)</f>
        <v/>
      </c>
      <c r="AG73" s="10">
        <f>RANK(AE73,$AE$5:$AE$222)</f>
        <v/>
      </c>
      <c r="AH73" s="29" t="n">
        <v>18501984</v>
      </c>
      <c r="AI73" s="9">
        <f>IF(AH73&gt;0,AE73/AH73-1,"")</f>
        <v/>
      </c>
      <c r="AJ73" s="29" t="n">
        <v>1955</v>
      </c>
      <c r="AK73" s="19">
        <f>IF(SUM($E73:E73)&gt;=AE73/2,0+5*(AE73/2-0)/E73,IF(SUM($E73:F73)&gt;=AE73/2,5+5*(AE73/2-SUM($E73:E73))/F73,IF(SUM($E73:G73)&gt;=AE73/2,10+5*(AE73/2-SUM($E73:F73))/G73,IF(SUM($E73:H73)&gt;=AE73/2,15+5*(AE73/2-SUM($E73:G73))/H73,IF(SUM($E73:I73)&gt;=AE73/2,20+5*(AE73/2-SUM($E73:H73))/I73,IF(SUM($E73:J73)&gt;=AE73/2,25+5*(AE73/2-SUM($E73:I73))/J73,IF(SUM($E73:K73)&gt;=AE73/2,30+5*(AE73/2-SUM($E73:J73))/K73,IF(SUM($E73:L73)&gt;=AE73/2,35+5*(AE73/2-SUM($E73:K73))/L73,IF(SUM($E73:M73)&gt;=AE73/2,40+5*(AE73/2-SUM($E73:L73))/M73,IF(SUM($E73:N73)&gt;=AE73/2,45+5*(AE73/2-SUM($E73:M73))/N73,IF(SUM($E73:O73)&gt;=AE73/2,50+5*(AE73/2-SUM($E73:N73))/O73,IF(SUM($E73:P73)&gt;=AE73/2,55+5*(AE73/2-SUM($E73:O73))/P73,IF(SUM($E73:Q73)&gt;=AE73/2,60+5*(AE73/2-SUM($E73:P73))/Q73,IF(SUM($E73:R73)&gt;=AE73/2,65+5*(AE73/2-SUM($E73:Q73))/R73,IF(SUM($E73:S73)&gt;=AE73/2,70+5*(AE73/2-SUM($E73:R73))/S73,IF(SUM($E73:T73)&gt;=AE73/2,75+5*(AE73/2-SUM($E73:S73))/T73,""))))))))))))))))</f>
        <v/>
      </c>
      <c r="AL73" s="30">
        <f>SUM(H73:Q73)</f>
        <v/>
      </c>
      <c r="AM73" s="24" t="n">
        <v>0.124</v>
      </c>
      <c r="AN73" s="24" t="n">
        <v>0.144</v>
      </c>
      <c r="AO73" s="33">
        <f>IF(AND(ISNUMBER(AN73),ISNUMBER(AM73)),(AN73-AM73)*100,"")</f>
        <v/>
      </c>
      <c r="AP73" s="30">
        <f>IF(ISNUMBER(AN73),AN73*AL73,"")</f>
        <v/>
      </c>
      <c r="AQ73" s="30">
        <f>IF(ISNUMBER(AN73),AL73,0)</f>
        <v/>
      </c>
      <c r="BB73" s="30">
        <f>IF(BA73="Yes",AX73,0)</f>
        <v/>
      </c>
      <c r="BC73" s="30">
        <f>IF(AND(BA73="Yes",ISNUMBER(AP73)),AP73,0)</f>
        <v/>
      </c>
      <c r="BD73" s="30">
        <f>IF(BA73="Yes",AX73,IF(ISNUMBER(AP73),AP73,0))</f>
        <v/>
      </c>
    </row>
    <row r="74">
      <c r="A74" s="6" t="inlineStr">
        <is>
          <t>GTM</t>
        </is>
      </c>
      <c r="B74" s="6" t="inlineStr">
        <is>
          <t>Guatemala</t>
        </is>
      </c>
      <c r="C74" s="6" t="inlineStr">
        <is>
          <t>Latin America &amp; Caribbean</t>
        </is>
      </c>
      <c r="D74" s="6" t="inlineStr">
        <is>
          <t>Upper middle income</t>
        </is>
      </c>
      <c r="E74" s="29" t="n">
        <v>1851093</v>
      </c>
      <c r="F74" s="29" t="n">
        <v>1977899</v>
      </c>
      <c r="G74" s="29" t="n">
        <v>1969102</v>
      </c>
      <c r="H74" s="29" t="n">
        <v>1894894</v>
      </c>
      <c r="I74" s="29" t="n">
        <v>1863552</v>
      </c>
      <c r="J74" s="29" t="n">
        <v>1742627</v>
      </c>
      <c r="K74" s="29" t="n">
        <v>1555295</v>
      </c>
      <c r="L74" s="29" t="n">
        <v>1322582</v>
      </c>
      <c r="M74" s="29" t="n">
        <v>1087020</v>
      </c>
      <c r="N74" s="29" t="n">
        <v>860393</v>
      </c>
      <c r="O74" s="29" t="n">
        <v>667354</v>
      </c>
      <c r="P74" s="29" t="n">
        <v>534003</v>
      </c>
      <c r="Q74" s="29" t="n">
        <v>434532</v>
      </c>
      <c r="R74" s="29" t="n">
        <v>353691</v>
      </c>
      <c r="S74" s="29" t="n">
        <v>262616</v>
      </c>
      <c r="T74" s="29" t="n">
        <v>171435</v>
      </c>
      <c r="U74" s="29" t="n">
        <v>139787</v>
      </c>
      <c r="V74" s="29" t="n">
        <v>9418649</v>
      </c>
      <c r="W74" s="29" t="n">
        <v>9269226</v>
      </c>
      <c r="X74" s="30">
        <f>SUM(E74:G74)</f>
        <v/>
      </c>
      <c r="Y74" s="30">
        <f>SUM(H74:I74)</f>
        <v/>
      </c>
      <c r="Z74" s="30">
        <f>SUM(J74:K74)</f>
        <v/>
      </c>
      <c r="AA74" s="30">
        <f>SUM(L74:M74)</f>
        <v/>
      </c>
      <c r="AB74" s="30">
        <f>SUM(N74:O74)</f>
        <v/>
      </c>
      <c r="AC74" s="30">
        <f>SUM(P74:Q74)</f>
        <v/>
      </c>
      <c r="AD74" s="30">
        <f>SUM(R74:U74)</f>
        <v/>
      </c>
      <c r="AE74" s="31">
        <f>SUM(X74:AD74)</f>
        <v/>
      </c>
      <c r="AF74" s="32">
        <f>AE74/SUM($AE$5:$AE$222)</f>
        <v/>
      </c>
      <c r="AG74" s="10">
        <f>RANK(AE74,$AE$5:$AE$222)</f>
        <v/>
      </c>
      <c r="AH74" s="29" t="n">
        <v>18406359</v>
      </c>
      <c r="AI74" s="9">
        <f>IF(AH74&gt;0,AE74/AH74-1,"")</f>
        <v/>
      </c>
      <c r="AJ74" s="29" t="n">
        <v>6598</v>
      </c>
      <c r="AK74" s="19">
        <f>IF(SUM($E74:E74)&gt;=AE74/2,0+5*(AE74/2-0)/E74,IF(SUM($E74:F74)&gt;=AE74/2,5+5*(AE74/2-SUM($E74:E74))/F74,IF(SUM($E74:G74)&gt;=AE74/2,10+5*(AE74/2-SUM($E74:F74))/G74,IF(SUM($E74:H74)&gt;=AE74/2,15+5*(AE74/2-SUM($E74:G74))/H74,IF(SUM($E74:I74)&gt;=AE74/2,20+5*(AE74/2-SUM($E74:H74))/I74,IF(SUM($E74:J74)&gt;=AE74/2,25+5*(AE74/2-SUM($E74:I74))/J74,IF(SUM($E74:K74)&gt;=AE74/2,30+5*(AE74/2-SUM($E74:J74))/K74,IF(SUM($E74:L74)&gt;=AE74/2,35+5*(AE74/2-SUM($E74:K74))/L74,IF(SUM($E74:M74)&gt;=AE74/2,40+5*(AE74/2-SUM($E74:L74))/M74,IF(SUM($E74:N74)&gt;=AE74/2,45+5*(AE74/2-SUM($E74:M74))/N74,IF(SUM($E74:O74)&gt;=AE74/2,50+5*(AE74/2-SUM($E74:N74))/O74,IF(SUM($E74:P74)&gt;=AE74/2,55+5*(AE74/2-SUM($E74:O74))/P74,IF(SUM($E74:Q74)&gt;=AE74/2,60+5*(AE74/2-SUM($E74:P74))/Q74,IF(SUM($E74:R74)&gt;=AE74/2,65+5*(AE74/2-SUM($E74:Q74))/R74,IF(SUM($E74:S74)&gt;=AE74/2,70+5*(AE74/2-SUM($E74:R74))/S74,IF(SUM($E74:T74)&gt;=AE74/2,75+5*(AE74/2-SUM($E74:S74))/T74,""))))))))))))))))</f>
        <v/>
      </c>
      <c r="AL74" s="30">
        <f>SUM(H74:Q74)</f>
        <v/>
      </c>
      <c r="AM74" s="24" t="n">
        <v>0.137</v>
      </c>
      <c r="AN74" s="24" t="n">
        <v>0.173</v>
      </c>
      <c r="AO74" s="33">
        <f>IF(AND(ISNUMBER(AN74),ISNUMBER(AM74)),(AN74-AM74)*100,"")</f>
        <v/>
      </c>
      <c r="AP74" s="30">
        <f>IF(ISNUMBER(AN74),AN74*AL74,"")</f>
        <v/>
      </c>
      <c r="AQ74" s="30">
        <f>IF(ISNUMBER(AN74),AL74,0)</f>
        <v/>
      </c>
      <c r="BB74" s="30">
        <f>IF(BA74="Yes",AX74,0)</f>
        <v/>
      </c>
      <c r="BC74" s="30">
        <f>IF(AND(BA74="Yes",ISNUMBER(AP74)),AP74,0)</f>
        <v/>
      </c>
      <c r="BD74" s="30">
        <f>IF(BA74="Yes",AX74,IF(ISNUMBER(AP74),AP74,0))</f>
        <v/>
      </c>
    </row>
    <row r="75">
      <c r="A75" s="6" t="inlineStr">
        <is>
          <t>ECU</t>
        </is>
      </c>
      <c r="B75" s="6" t="inlineStr">
        <is>
          <t>Ecuador</t>
        </is>
      </c>
      <c r="C75" s="6" t="inlineStr">
        <is>
          <t>Latin America &amp; Caribbean</t>
        </is>
      </c>
      <c r="D75" s="6" t="inlineStr">
        <is>
          <t>Upper middle income</t>
        </is>
      </c>
      <c r="E75" s="29" t="n">
        <v>1352402</v>
      </c>
      <c r="F75" s="29" t="n">
        <v>1455535</v>
      </c>
      <c r="G75" s="29" t="n">
        <v>1563160</v>
      </c>
      <c r="H75" s="29" t="n">
        <v>1587414</v>
      </c>
      <c r="I75" s="29" t="n">
        <v>1552037</v>
      </c>
      <c r="J75" s="29" t="n">
        <v>1547909</v>
      </c>
      <c r="K75" s="29" t="n">
        <v>1486275</v>
      </c>
      <c r="L75" s="29" t="n">
        <v>1368308</v>
      </c>
      <c r="M75" s="29" t="n">
        <v>1253705</v>
      </c>
      <c r="N75" s="29" t="n">
        <v>1095573</v>
      </c>
      <c r="O75" s="29" t="n">
        <v>955975</v>
      </c>
      <c r="P75" s="29" t="n">
        <v>819451</v>
      </c>
      <c r="Q75" s="29" t="n">
        <v>679873</v>
      </c>
      <c r="R75" s="29" t="n">
        <v>547163</v>
      </c>
      <c r="S75" s="29" t="n">
        <v>426544</v>
      </c>
      <c r="T75" s="29" t="n">
        <v>298683</v>
      </c>
      <c r="U75" s="29" t="n">
        <v>299889</v>
      </c>
      <c r="V75" s="29" t="n">
        <v>9172886</v>
      </c>
      <c r="W75" s="29" t="n">
        <v>9117010</v>
      </c>
      <c r="X75" s="30">
        <f>SUM(E75:G75)</f>
        <v/>
      </c>
      <c r="Y75" s="30">
        <f>SUM(H75:I75)</f>
        <v/>
      </c>
      <c r="Z75" s="30">
        <f>SUM(J75:K75)</f>
        <v/>
      </c>
      <c r="AA75" s="30">
        <f>SUM(L75:M75)</f>
        <v/>
      </c>
      <c r="AB75" s="30">
        <f>SUM(N75:O75)</f>
        <v/>
      </c>
      <c r="AC75" s="30">
        <f>SUM(P75:Q75)</f>
        <v/>
      </c>
      <c r="AD75" s="30">
        <f>SUM(R75:U75)</f>
        <v/>
      </c>
      <c r="AE75" s="31">
        <f>SUM(X75:AD75)</f>
        <v/>
      </c>
      <c r="AF75" s="32">
        <f>AE75/SUM($AE$5:$AE$222)</f>
        <v/>
      </c>
      <c r="AG75" s="10">
        <f>RANK(AE75,$AE$5:$AE$222)</f>
        <v/>
      </c>
      <c r="AH75" s="29" t="n">
        <v>18135478</v>
      </c>
      <c r="AI75" s="9">
        <f>IF(AH75&gt;0,AE75/AH75-1,"")</f>
        <v/>
      </c>
      <c r="AJ75" s="29" t="n">
        <v>7125</v>
      </c>
      <c r="AK75" s="19">
        <f>IF(SUM($E75:E75)&gt;=AE75/2,0+5*(AE75/2-0)/E75,IF(SUM($E75:F75)&gt;=AE75/2,5+5*(AE75/2-SUM($E75:E75))/F75,IF(SUM($E75:G75)&gt;=AE75/2,10+5*(AE75/2-SUM($E75:F75))/G75,IF(SUM($E75:H75)&gt;=AE75/2,15+5*(AE75/2-SUM($E75:G75))/H75,IF(SUM($E75:I75)&gt;=AE75/2,20+5*(AE75/2-SUM($E75:H75))/I75,IF(SUM($E75:J75)&gt;=AE75/2,25+5*(AE75/2-SUM($E75:I75))/J75,IF(SUM($E75:K75)&gt;=AE75/2,30+5*(AE75/2-SUM($E75:J75))/K75,IF(SUM($E75:L75)&gt;=AE75/2,35+5*(AE75/2-SUM($E75:K75))/L75,IF(SUM($E75:M75)&gt;=AE75/2,40+5*(AE75/2-SUM($E75:L75))/M75,IF(SUM($E75:N75)&gt;=AE75/2,45+5*(AE75/2-SUM($E75:M75))/N75,IF(SUM($E75:O75)&gt;=AE75/2,50+5*(AE75/2-SUM($E75:N75))/O75,IF(SUM($E75:P75)&gt;=AE75/2,55+5*(AE75/2-SUM($E75:O75))/P75,IF(SUM($E75:Q75)&gt;=AE75/2,60+5*(AE75/2-SUM($E75:P75))/Q75,IF(SUM($E75:R75)&gt;=AE75/2,65+5*(AE75/2-SUM($E75:Q75))/R75,IF(SUM($E75:S75)&gt;=AE75/2,70+5*(AE75/2-SUM($E75:R75))/S75,IF(SUM($E75:T75)&gt;=AE75/2,75+5*(AE75/2-SUM($E75:S75))/T75,""))))))))))))))))</f>
        <v/>
      </c>
      <c r="AL75" s="30">
        <f>SUM(H75:Q75)</f>
        <v/>
      </c>
      <c r="AM75" s="24" t="n">
        <v>0.17</v>
      </c>
      <c r="AN75" s="24" t="n">
        <v>0.203</v>
      </c>
      <c r="AO75" s="33">
        <f>IF(AND(ISNUMBER(AN75),ISNUMBER(AM75)),(AN75-AM75)*100,"")</f>
        <v/>
      </c>
      <c r="AP75" s="30">
        <f>IF(ISNUMBER(AN75),AN75*AL75,"")</f>
        <v/>
      </c>
      <c r="AQ75" s="30">
        <f>IF(ISNUMBER(AN75),AL75,0)</f>
        <v/>
      </c>
      <c r="BB75" s="30">
        <f>IF(BA75="Yes",AX75,0)</f>
        <v/>
      </c>
      <c r="BC75" s="30">
        <f>IF(AND(BA75="Yes",ISNUMBER(AP75)),AP75,0)</f>
        <v/>
      </c>
      <c r="BD75" s="30">
        <f>IF(BA75="Yes",AX75,IF(ISNUMBER(AP75),AP75,0))</f>
        <v/>
      </c>
    </row>
    <row r="76">
      <c r="A76" s="6" t="inlineStr">
        <is>
          <t>NLD</t>
        </is>
      </c>
      <c r="B76" s="6" t="inlineStr">
        <is>
          <t>Netherlands</t>
        </is>
      </c>
      <c r="C76" s="6" t="inlineStr">
        <is>
          <t>Europe &amp; Central Asia</t>
        </is>
      </c>
      <c r="D76" s="6" t="inlineStr">
        <is>
          <t>High income</t>
        </is>
      </c>
      <c r="E76" s="29" t="n">
        <v>885355</v>
      </c>
      <c r="F76" s="29" t="n">
        <v>893447</v>
      </c>
      <c r="G76" s="29" t="n">
        <v>922417</v>
      </c>
      <c r="H76" s="29" t="n">
        <v>997221</v>
      </c>
      <c r="I76" s="29" t="n">
        <v>1160073</v>
      </c>
      <c r="J76" s="29" t="n">
        <v>1230210</v>
      </c>
      <c r="K76" s="29" t="n">
        <v>1234421</v>
      </c>
      <c r="L76" s="29" t="n">
        <v>1178677</v>
      </c>
      <c r="M76" s="29" t="n">
        <v>1092788</v>
      </c>
      <c r="N76" s="29" t="n">
        <v>1042042</v>
      </c>
      <c r="O76" s="29" t="n">
        <v>1159615</v>
      </c>
      <c r="P76" s="29" t="n">
        <v>1275004</v>
      </c>
      <c r="Q76" s="29" t="n">
        <v>1241697</v>
      </c>
      <c r="R76" s="29" t="n">
        <v>1082220</v>
      </c>
      <c r="S76" s="29" t="n">
        <v>922779</v>
      </c>
      <c r="T76" s="29" t="n">
        <v>833764</v>
      </c>
      <c r="U76" s="29" t="n">
        <v>935903</v>
      </c>
      <c r="V76" s="29" t="n">
        <v>9100257</v>
      </c>
      <c r="W76" s="29" t="n">
        <v>8987376</v>
      </c>
      <c r="X76" s="30">
        <f>SUM(E76:G76)</f>
        <v/>
      </c>
      <c r="Y76" s="30">
        <f>SUM(H76:I76)</f>
        <v/>
      </c>
      <c r="Z76" s="30">
        <f>SUM(J76:K76)</f>
        <v/>
      </c>
      <c r="AA76" s="30">
        <f>SUM(L76:M76)</f>
        <v/>
      </c>
      <c r="AB76" s="30">
        <f>SUM(N76:O76)</f>
        <v/>
      </c>
      <c r="AC76" s="30">
        <f>SUM(P76:Q76)</f>
        <v/>
      </c>
      <c r="AD76" s="30">
        <f>SUM(R76:U76)</f>
        <v/>
      </c>
      <c r="AE76" s="31">
        <f>SUM(X76:AD76)</f>
        <v/>
      </c>
      <c r="AF76" s="32">
        <f>AE76/SUM($AE$5:$AE$222)</f>
        <v/>
      </c>
      <c r="AG76" s="10">
        <f>RANK(AE76,$AE$5:$AE$222)</f>
        <v/>
      </c>
      <c r="AH76" s="29" t="n">
        <v>17993485</v>
      </c>
      <c r="AI76" s="9">
        <f>IF(AH76&gt;0,AE76/AH76-1,"")</f>
        <v/>
      </c>
      <c r="AJ76" s="29" t="n">
        <v>73684</v>
      </c>
      <c r="AK76" s="19">
        <f>IF(SUM($E76:E76)&gt;=AE76/2,0+5*(AE76/2-0)/E76,IF(SUM($E76:F76)&gt;=AE76/2,5+5*(AE76/2-SUM($E76:E76))/F76,IF(SUM($E76:G76)&gt;=AE76/2,10+5*(AE76/2-SUM($E76:F76))/G76,IF(SUM($E76:H76)&gt;=AE76/2,15+5*(AE76/2-SUM($E76:G76))/H76,IF(SUM($E76:I76)&gt;=AE76/2,20+5*(AE76/2-SUM($E76:H76))/I76,IF(SUM($E76:J76)&gt;=AE76/2,25+5*(AE76/2-SUM($E76:I76))/J76,IF(SUM($E76:K76)&gt;=AE76/2,30+5*(AE76/2-SUM($E76:J76))/K76,IF(SUM($E76:L76)&gt;=AE76/2,35+5*(AE76/2-SUM($E76:K76))/L76,IF(SUM($E76:M76)&gt;=AE76/2,40+5*(AE76/2-SUM($E76:L76))/M76,IF(SUM($E76:N76)&gt;=AE76/2,45+5*(AE76/2-SUM($E76:M76))/N76,IF(SUM($E76:O76)&gt;=AE76/2,50+5*(AE76/2-SUM($E76:N76))/O76,IF(SUM($E76:P76)&gt;=AE76/2,55+5*(AE76/2-SUM($E76:O76))/P76,IF(SUM($E76:Q76)&gt;=AE76/2,60+5*(AE76/2-SUM($E76:P76))/Q76,IF(SUM($E76:R76)&gt;=AE76/2,65+5*(AE76/2-SUM($E76:Q76))/R76,IF(SUM($E76:S76)&gt;=AE76/2,70+5*(AE76/2-SUM($E76:R76))/S76,IF(SUM($E76:T76)&gt;=AE76/2,75+5*(AE76/2-SUM($E76:S76))/T76,""))))))))))))))))</f>
        <v/>
      </c>
      <c r="AL76" s="30">
        <f>SUM(H76:Q76)</f>
        <v/>
      </c>
      <c r="AM76" s="24" t="n">
        <v>0.363</v>
      </c>
      <c r="AN76" s="24" t="n">
        <v>0.435</v>
      </c>
      <c r="AO76" s="33">
        <f>IF(AND(ISNUMBER(AN76),ISNUMBER(AM76)),(AN76-AM76)*100,"")</f>
        <v/>
      </c>
      <c r="AP76" s="30">
        <f>IF(ISNUMBER(AN76),AN76*AL76,"")</f>
        <v/>
      </c>
      <c r="AQ76" s="30">
        <f>IF(ISNUMBER(AN76),AL76,0)</f>
        <v/>
      </c>
      <c r="AR76" s="24" t="n">
        <v>0.447</v>
      </c>
      <c r="AS76" s="6" t="inlineStr">
        <is>
          <t>population</t>
        </is>
      </c>
      <c r="AT76" s="6" t="inlineStr">
        <is>
          <t>16-74</t>
        </is>
      </c>
      <c r="AU76" s="24" t="n">
        <v>1</v>
      </c>
      <c r="AV76" s="30">
        <f>H76*0.8+I76+J76+K76+L76+M76+N76+O76+P76+Q76+R76+S76</f>
        <v/>
      </c>
      <c r="AX76" s="30">
        <f>IF(ISNUMBER(AW76),AW76,AR76*AU76*AV76)</f>
        <v/>
      </c>
      <c r="AY76" s="34">
        <f>AX76/AV76</f>
        <v/>
      </c>
      <c r="AZ76" s="6" t="inlineStr">
        <is>
          <t>A</t>
        </is>
      </c>
      <c r="BA76" s="6" t="inlineStr">
        <is>
          <t>Yes</t>
        </is>
      </c>
      <c r="BB76" s="30">
        <f>IF(BA76="Yes",AX76,0)</f>
        <v/>
      </c>
      <c r="BC76" s="30">
        <f>IF(AND(BA76="Yes",ISNUMBER(AP76)),AP76,0)</f>
        <v/>
      </c>
      <c r="BD76" s="30">
        <f>IF(BA76="Yes",AX76,IF(ISNUMBER(AP76),AP76,0))</f>
        <v/>
      </c>
      <c r="BE76" s="6" t="inlineStr">
        <is>
          <t>Used generative AI tools in the last 3 months</t>
        </is>
      </c>
      <c r="BF76" s="6" t="inlineStr">
        <is>
          <t>2025 survey (Q2, most countries)</t>
        </is>
      </c>
      <c r="BG76" s="6" t="inlineStr">
        <is>
          <t>Eurostat: ICT usage in households and by individuals 2025, dataset isoc_ai_iaiu</t>
        </is>
      </c>
      <c r="BH76" s="6" t="inlineStr">
        <is>
          <t>https://ec.europa.eu/eurostat/databrowser/view/isoc_ai_iaiu/default/table</t>
        </is>
      </c>
    </row>
    <row r="77">
      <c r="A77" s="6" t="inlineStr">
        <is>
          <t>KHM</t>
        </is>
      </c>
      <c r="B77" s="6" t="inlineStr">
        <is>
          <t>Cambodia</t>
        </is>
      </c>
      <c r="C77" s="6" t="inlineStr">
        <is>
          <t>East Asia &amp; Pacific</t>
        </is>
      </c>
      <c r="D77" s="6" t="inlineStr">
        <is>
          <t>Lower middle income</t>
        </is>
      </c>
      <c r="E77" s="29" t="n">
        <v>1781460</v>
      </c>
      <c r="F77" s="29" t="n">
        <v>1800660</v>
      </c>
      <c r="G77" s="29" t="n">
        <v>1682553</v>
      </c>
      <c r="H77" s="29" t="n">
        <v>1647367</v>
      </c>
      <c r="I77" s="29" t="n">
        <v>1434119</v>
      </c>
      <c r="J77" s="29" t="n">
        <v>1304071</v>
      </c>
      <c r="K77" s="29" t="n">
        <v>1407071</v>
      </c>
      <c r="L77" s="29" t="n">
        <v>1371189</v>
      </c>
      <c r="M77" s="29" t="n">
        <v>1277550</v>
      </c>
      <c r="N77" s="29" t="n">
        <v>926959</v>
      </c>
      <c r="O77" s="29" t="n">
        <v>728674</v>
      </c>
      <c r="P77" s="29" t="n">
        <v>724859</v>
      </c>
      <c r="Q77" s="29" t="n">
        <v>623270</v>
      </c>
      <c r="R77" s="29" t="n">
        <v>469117</v>
      </c>
      <c r="S77" s="29" t="n">
        <v>325614</v>
      </c>
      <c r="T77" s="29" t="n">
        <v>195418</v>
      </c>
      <c r="U77" s="29" t="n">
        <v>148035</v>
      </c>
      <c r="V77" s="29" t="n">
        <v>9098347</v>
      </c>
      <c r="W77" s="29" t="n">
        <v>8749639</v>
      </c>
      <c r="X77" s="30">
        <f>SUM(E77:G77)</f>
        <v/>
      </c>
      <c r="Y77" s="30">
        <f>SUM(H77:I77)</f>
        <v/>
      </c>
      <c r="Z77" s="30">
        <f>SUM(J77:K77)</f>
        <v/>
      </c>
      <c r="AA77" s="30">
        <f>SUM(L77:M77)</f>
        <v/>
      </c>
      <c r="AB77" s="30">
        <f>SUM(N77:O77)</f>
        <v/>
      </c>
      <c r="AC77" s="30">
        <f>SUM(P77:Q77)</f>
        <v/>
      </c>
      <c r="AD77" s="30">
        <f>SUM(R77:U77)</f>
        <v/>
      </c>
      <c r="AE77" s="31">
        <f>SUM(X77:AD77)</f>
        <v/>
      </c>
      <c r="AF77" s="32">
        <f>AE77/SUM($AE$5:$AE$222)</f>
        <v/>
      </c>
      <c r="AG77" s="10">
        <f>RANK(AE77,$AE$5:$AE$222)</f>
        <v/>
      </c>
      <c r="AH77" s="29" t="n">
        <v>17638801</v>
      </c>
      <c r="AI77" s="9">
        <f>IF(AH77&gt;0,AE77/AH77-1,"")</f>
        <v/>
      </c>
      <c r="AJ77" s="29" t="n">
        <v>2872</v>
      </c>
      <c r="AK77" s="19">
        <f>IF(SUM($E77:E77)&gt;=AE77/2,0+5*(AE77/2-0)/E77,IF(SUM($E77:F77)&gt;=AE77/2,5+5*(AE77/2-SUM($E77:E77))/F77,IF(SUM($E77:G77)&gt;=AE77/2,10+5*(AE77/2-SUM($E77:F77))/G77,IF(SUM($E77:H77)&gt;=AE77/2,15+5*(AE77/2-SUM($E77:G77))/H77,IF(SUM($E77:I77)&gt;=AE77/2,20+5*(AE77/2-SUM($E77:H77))/I77,IF(SUM($E77:J77)&gt;=AE77/2,25+5*(AE77/2-SUM($E77:I77))/J77,IF(SUM($E77:K77)&gt;=AE77/2,30+5*(AE77/2-SUM($E77:J77))/K77,IF(SUM($E77:L77)&gt;=AE77/2,35+5*(AE77/2-SUM($E77:K77))/L77,IF(SUM($E77:M77)&gt;=AE77/2,40+5*(AE77/2-SUM($E77:L77))/M77,IF(SUM($E77:N77)&gt;=AE77/2,45+5*(AE77/2-SUM($E77:M77))/N77,IF(SUM($E77:O77)&gt;=AE77/2,50+5*(AE77/2-SUM($E77:N77))/O77,IF(SUM($E77:P77)&gt;=AE77/2,55+5*(AE77/2-SUM($E77:O77))/P77,IF(SUM($E77:Q77)&gt;=AE77/2,60+5*(AE77/2-SUM($E77:P77))/Q77,IF(SUM($E77:R77)&gt;=AE77/2,65+5*(AE77/2-SUM($E77:Q77))/R77,IF(SUM($E77:S77)&gt;=AE77/2,70+5*(AE77/2-SUM($E77:R77))/S77,IF(SUM($E77:T77)&gt;=AE77/2,75+5*(AE77/2-SUM($E77:S77))/T77,""))))))))))))))))</f>
        <v/>
      </c>
      <c r="AL77" s="30">
        <f>SUM(H77:Q77)</f>
        <v/>
      </c>
      <c r="AM77" s="24" t="n">
        <v>0.046</v>
      </c>
      <c r="AN77" s="24" t="n">
        <v>0.061</v>
      </c>
      <c r="AO77" s="33">
        <f>IF(AND(ISNUMBER(AN77),ISNUMBER(AM77)),(AN77-AM77)*100,"")</f>
        <v/>
      </c>
      <c r="AP77" s="30">
        <f>IF(ISNUMBER(AN77),AN77*AL77,"")</f>
        <v/>
      </c>
      <c r="AQ77" s="30">
        <f>IF(ISNUMBER(AN77),AL77,0)</f>
        <v/>
      </c>
      <c r="BB77" s="30">
        <f>IF(BA77="Yes",AX77,0)</f>
        <v/>
      </c>
      <c r="BC77" s="30">
        <f>IF(AND(BA77="Yes",ISNUMBER(AP77)),AP77,0)</f>
        <v/>
      </c>
      <c r="BD77" s="30">
        <f>IF(BA77="Yes",AX77,IF(ISNUMBER(AP77),AP77,0))</f>
        <v/>
      </c>
    </row>
    <row r="78">
      <c r="A78" s="6" t="inlineStr">
        <is>
          <t>ZWE</t>
        </is>
      </c>
      <c r="B78" s="6" t="inlineStr">
        <is>
          <t>Zimbabwe</t>
        </is>
      </c>
      <c r="C78" s="6" t="inlineStr">
        <is>
          <t>Sub-Saharan Africa</t>
        </is>
      </c>
      <c r="D78" s="6" t="inlineStr">
        <is>
          <t>Lower middle income</t>
        </is>
      </c>
      <c r="E78" s="29" t="n">
        <v>2355569</v>
      </c>
      <c r="F78" s="29" t="n">
        <v>2199384</v>
      </c>
      <c r="G78" s="29" t="n">
        <v>2273435</v>
      </c>
      <c r="H78" s="29" t="n">
        <v>1956281</v>
      </c>
      <c r="I78" s="29" t="n">
        <v>1658385</v>
      </c>
      <c r="J78" s="29" t="n">
        <v>1219545</v>
      </c>
      <c r="K78" s="29" t="n">
        <v>941544</v>
      </c>
      <c r="L78" s="29" t="n">
        <v>965465</v>
      </c>
      <c r="M78" s="29" t="n">
        <v>1037905</v>
      </c>
      <c r="N78" s="29" t="n">
        <v>739369</v>
      </c>
      <c r="O78" s="29" t="n">
        <v>459804</v>
      </c>
      <c r="P78" s="29" t="n">
        <v>304642</v>
      </c>
      <c r="Q78" s="29" t="n">
        <v>235767</v>
      </c>
      <c r="R78" s="29" t="n">
        <v>227382</v>
      </c>
      <c r="S78" s="29" t="n">
        <v>190545</v>
      </c>
      <c r="T78" s="29" t="n">
        <v>106036</v>
      </c>
      <c r="U78" s="29" t="n">
        <v>79737</v>
      </c>
      <c r="V78" s="29" t="n">
        <v>8862924</v>
      </c>
      <c r="W78" s="29" t="n">
        <v>8087871</v>
      </c>
      <c r="X78" s="30">
        <f>SUM(E78:G78)</f>
        <v/>
      </c>
      <c r="Y78" s="30">
        <f>SUM(H78:I78)</f>
        <v/>
      </c>
      <c r="Z78" s="30">
        <f>SUM(J78:K78)</f>
        <v/>
      </c>
      <c r="AA78" s="30">
        <f>SUM(L78:M78)</f>
        <v/>
      </c>
      <c r="AB78" s="30">
        <f>SUM(N78:O78)</f>
        <v/>
      </c>
      <c r="AC78" s="30">
        <f>SUM(P78:Q78)</f>
        <v/>
      </c>
      <c r="AD78" s="30">
        <f>SUM(R78:U78)</f>
        <v/>
      </c>
      <c r="AE78" s="31">
        <f>SUM(X78:AD78)</f>
        <v/>
      </c>
      <c r="AF78" s="32">
        <f>AE78/SUM($AE$5:$AE$222)</f>
        <v/>
      </c>
      <c r="AG78" s="10">
        <f>RANK(AE78,$AE$5:$AE$222)</f>
        <v/>
      </c>
      <c r="AH78" s="29" t="n">
        <v>16634373</v>
      </c>
      <c r="AI78" s="9">
        <f>IF(AH78&gt;0,AE78/AH78-1,"")</f>
        <v/>
      </c>
      <c r="AJ78" s="29" t="n">
        <v>3021</v>
      </c>
      <c r="AK78" s="19">
        <f>IF(SUM($E78:E78)&gt;=AE78/2,0+5*(AE78/2-0)/E78,IF(SUM($E78:F78)&gt;=AE78/2,5+5*(AE78/2-SUM($E78:E78))/F78,IF(SUM($E78:G78)&gt;=AE78/2,10+5*(AE78/2-SUM($E78:F78))/G78,IF(SUM($E78:H78)&gt;=AE78/2,15+5*(AE78/2-SUM($E78:G78))/H78,IF(SUM($E78:I78)&gt;=AE78/2,20+5*(AE78/2-SUM($E78:H78))/I78,IF(SUM($E78:J78)&gt;=AE78/2,25+5*(AE78/2-SUM($E78:I78))/J78,IF(SUM($E78:K78)&gt;=AE78/2,30+5*(AE78/2-SUM($E78:J78))/K78,IF(SUM($E78:L78)&gt;=AE78/2,35+5*(AE78/2-SUM($E78:K78))/L78,IF(SUM($E78:M78)&gt;=AE78/2,40+5*(AE78/2-SUM($E78:L78))/M78,IF(SUM($E78:N78)&gt;=AE78/2,45+5*(AE78/2-SUM($E78:M78))/N78,IF(SUM($E78:O78)&gt;=AE78/2,50+5*(AE78/2-SUM($E78:N78))/O78,IF(SUM($E78:P78)&gt;=AE78/2,55+5*(AE78/2-SUM($E78:O78))/P78,IF(SUM($E78:Q78)&gt;=AE78/2,60+5*(AE78/2-SUM($E78:P78))/Q78,IF(SUM($E78:R78)&gt;=AE78/2,65+5*(AE78/2-SUM($E78:Q78))/R78,IF(SUM($E78:S78)&gt;=AE78/2,70+5*(AE78/2-SUM($E78:R78))/S78,IF(SUM($E78:T78)&gt;=AE78/2,75+5*(AE78/2-SUM($E78:S78))/T78,""))))))))))))))))</f>
        <v/>
      </c>
      <c r="AL78" s="30">
        <f>SUM(H78:Q78)</f>
        <v/>
      </c>
      <c r="AM78" s="24" t="n">
        <v>0.06900000000000001</v>
      </c>
      <c r="AN78" s="24" t="n">
        <v>0.08900000000000001</v>
      </c>
      <c r="AO78" s="33">
        <f>IF(AND(ISNUMBER(AN78),ISNUMBER(AM78)),(AN78-AM78)*100,"")</f>
        <v/>
      </c>
      <c r="AP78" s="30">
        <f>IF(ISNUMBER(AN78),AN78*AL78,"")</f>
        <v/>
      </c>
      <c r="AQ78" s="30">
        <f>IF(ISNUMBER(AN78),AL78,0)</f>
        <v/>
      </c>
      <c r="BB78" s="30">
        <f>IF(BA78="Yes",AX78,0)</f>
        <v/>
      </c>
      <c r="BC78" s="30">
        <f>IF(AND(BA78="Yes",ISNUMBER(AP78)),AP78,0)</f>
        <v/>
      </c>
      <c r="BD78" s="30">
        <f>IF(BA78="Yes",AX78,IF(ISNUMBER(AP78),AP78,0))</f>
        <v/>
      </c>
    </row>
    <row r="79">
      <c r="A79" s="6" t="inlineStr">
        <is>
          <t>GIN</t>
        </is>
      </c>
      <c r="B79" s="6" t="inlineStr">
        <is>
          <t>Guinea</t>
        </is>
      </c>
      <c r="C79" s="6" t="inlineStr">
        <is>
          <t>Sub-Saharan Africa</t>
        </is>
      </c>
      <c r="D79" s="6" t="inlineStr">
        <is>
          <t>Lower middle income</t>
        </is>
      </c>
      <c r="E79" s="29" t="n">
        <v>2242287</v>
      </c>
      <c r="F79" s="29" t="n">
        <v>2039478</v>
      </c>
      <c r="G79" s="29" t="n">
        <v>1840928</v>
      </c>
      <c r="H79" s="29" t="n">
        <v>1640625</v>
      </c>
      <c r="I79" s="29" t="n">
        <v>1417152</v>
      </c>
      <c r="J79" s="29" t="n">
        <v>1272886</v>
      </c>
      <c r="K79" s="29" t="n">
        <v>1082224</v>
      </c>
      <c r="L79" s="29" t="n">
        <v>852395</v>
      </c>
      <c r="M79" s="29" t="n">
        <v>640745</v>
      </c>
      <c r="N79" s="29" t="n">
        <v>497661</v>
      </c>
      <c r="O79" s="29" t="n">
        <v>414838</v>
      </c>
      <c r="P79" s="29" t="n">
        <v>350800</v>
      </c>
      <c r="Q79" s="29" t="n">
        <v>283292</v>
      </c>
      <c r="R79" s="29" t="n">
        <v>211522</v>
      </c>
      <c r="S79" s="29" t="n">
        <v>147893</v>
      </c>
      <c r="T79" s="29" t="n">
        <v>92322</v>
      </c>
      <c r="U79" s="29" t="n">
        <v>72681</v>
      </c>
      <c r="V79" s="29" t="n">
        <v>7622053</v>
      </c>
      <c r="W79" s="29" t="n">
        <v>7477676</v>
      </c>
      <c r="X79" s="30">
        <f>SUM(E79:G79)</f>
        <v/>
      </c>
      <c r="Y79" s="30">
        <f>SUM(H79:I79)</f>
        <v/>
      </c>
      <c r="Z79" s="30">
        <f>SUM(J79:K79)</f>
        <v/>
      </c>
      <c r="AA79" s="30">
        <f>SUM(L79:M79)</f>
        <v/>
      </c>
      <c r="AB79" s="30">
        <f>SUM(N79:O79)</f>
        <v/>
      </c>
      <c r="AC79" s="30">
        <f>SUM(P79:Q79)</f>
        <v/>
      </c>
      <c r="AD79" s="30">
        <f>SUM(R79:U79)</f>
        <v/>
      </c>
      <c r="AE79" s="31">
        <f>SUM(X79:AD79)</f>
        <v/>
      </c>
      <c r="AF79" s="32">
        <f>AE79/SUM($AE$5:$AE$222)</f>
        <v/>
      </c>
      <c r="AG79" s="10">
        <f>RANK(AE79,$AE$5:$AE$222)</f>
        <v/>
      </c>
      <c r="AH79" s="29" t="n">
        <v>14754785</v>
      </c>
      <c r="AI79" s="9">
        <f>IF(AH79&gt;0,AE79/AH79-1,"")</f>
        <v/>
      </c>
      <c r="AJ79" s="29" t="n">
        <v>1877</v>
      </c>
      <c r="AK79" s="19">
        <f>IF(SUM($E79:E79)&gt;=AE79/2,0+5*(AE79/2-0)/E79,IF(SUM($E79:F79)&gt;=AE79/2,5+5*(AE79/2-SUM($E79:E79))/F79,IF(SUM($E79:G79)&gt;=AE79/2,10+5*(AE79/2-SUM($E79:F79))/G79,IF(SUM($E79:H79)&gt;=AE79/2,15+5*(AE79/2-SUM($E79:G79))/H79,IF(SUM($E79:I79)&gt;=AE79/2,20+5*(AE79/2-SUM($E79:H79))/I79,IF(SUM($E79:J79)&gt;=AE79/2,25+5*(AE79/2-SUM($E79:I79))/J79,IF(SUM($E79:K79)&gt;=AE79/2,30+5*(AE79/2-SUM($E79:J79))/K79,IF(SUM($E79:L79)&gt;=AE79/2,35+5*(AE79/2-SUM($E79:K79))/L79,IF(SUM($E79:M79)&gt;=AE79/2,40+5*(AE79/2-SUM($E79:L79))/M79,IF(SUM($E79:N79)&gt;=AE79/2,45+5*(AE79/2-SUM($E79:M79))/N79,IF(SUM($E79:O79)&gt;=AE79/2,50+5*(AE79/2-SUM($E79:N79))/O79,IF(SUM($E79:P79)&gt;=AE79/2,55+5*(AE79/2-SUM($E79:O79))/P79,IF(SUM($E79:Q79)&gt;=AE79/2,60+5*(AE79/2-SUM($E79:P79))/Q79,IF(SUM($E79:R79)&gt;=AE79/2,65+5*(AE79/2-SUM($E79:Q79))/R79,IF(SUM($E79:S79)&gt;=AE79/2,70+5*(AE79/2-SUM($E79:R79))/S79,IF(SUM($E79:T79)&gt;=AE79/2,75+5*(AE79/2-SUM($E79:S79))/T79,""))))))))))))))))</f>
        <v/>
      </c>
      <c r="AL79" s="30">
        <f>SUM(H79:Q79)</f>
        <v/>
      </c>
      <c r="AM79" s="24" t="n">
        <v>0.08699999999999999</v>
      </c>
      <c r="AN79" s="24" t="n">
        <v>0.104</v>
      </c>
      <c r="AO79" s="33">
        <f>IF(AND(ISNUMBER(AN79),ISNUMBER(AM79)),(AN79-AM79)*100,"")</f>
        <v/>
      </c>
      <c r="AP79" s="30">
        <f>IF(ISNUMBER(AN79),AN79*AL79,"")</f>
        <v/>
      </c>
      <c r="AQ79" s="30">
        <f>IF(ISNUMBER(AN79),AL79,0)</f>
        <v/>
      </c>
      <c r="BB79" s="30">
        <f>IF(BA79="Yes",AX79,0)</f>
        <v/>
      </c>
      <c r="BC79" s="30">
        <f>IF(AND(BA79="Yes",ISNUMBER(AP79)),AP79,0)</f>
        <v/>
      </c>
      <c r="BD79" s="30">
        <f>IF(BA79="Yes",AX79,IF(ISNUMBER(AP79),AP79,0))</f>
        <v/>
      </c>
    </row>
    <row r="80">
      <c r="A80" s="6" t="inlineStr">
        <is>
          <t>BEN</t>
        </is>
      </c>
      <c r="B80" s="6" t="inlineStr">
        <is>
          <t>Benin</t>
        </is>
      </c>
      <c r="C80" s="6" t="inlineStr">
        <is>
          <t>Sub-Saharan Africa</t>
        </is>
      </c>
      <c r="D80" s="6" t="inlineStr">
        <is>
          <t>Lower middle income</t>
        </is>
      </c>
      <c r="E80" s="29" t="n">
        <v>2227865</v>
      </c>
      <c r="F80" s="29" t="n">
        <v>2052009</v>
      </c>
      <c r="G80" s="29" t="n">
        <v>1832504</v>
      </c>
      <c r="H80" s="29" t="n">
        <v>1577568</v>
      </c>
      <c r="I80" s="29" t="n">
        <v>1337740</v>
      </c>
      <c r="J80" s="29" t="n">
        <v>1151508</v>
      </c>
      <c r="K80" s="29" t="n">
        <v>991080</v>
      </c>
      <c r="L80" s="29" t="n">
        <v>835323</v>
      </c>
      <c r="M80" s="29" t="n">
        <v>697243</v>
      </c>
      <c r="N80" s="29" t="n">
        <v>553533</v>
      </c>
      <c r="O80" s="29" t="n">
        <v>449388</v>
      </c>
      <c r="P80" s="29" t="n">
        <v>361771</v>
      </c>
      <c r="Q80" s="29" t="n">
        <v>279821</v>
      </c>
      <c r="R80" s="29" t="n">
        <v>197011</v>
      </c>
      <c r="S80" s="29" t="n">
        <v>130269</v>
      </c>
      <c r="T80" s="29" t="n">
        <v>79910</v>
      </c>
      <c r="U80" s="29" t="n">
        <v>59917</v>
      </c>
      <c r="V80" s="29" t="n">
        <v>7383958</v>
      </c>
      <c r="W80" s="29" t="n">
        <v>7430502</v>
      </c>
      <c r="X80" s="30">
        <f>SUM(E80:G80)</f>
        <v/>
      </c>
      <c r="Y80" s="30">
        <f>SUM(H80:I80)</f>
        <v/>
      </c>
      <c r="Z80" s="30">
        <f>SUM(J80:K80)</f>
        <v/>
      </c>
      <c r="AA80" s="30">
        <f>SUM(L80:M80)</f>
        <v/>
      </c>
      <c r="AB80" s="30">
        <f>SUM(N80:O80)</f>
        <v/>
      </c>
      <c r="AC80" s="30">
        <f>SUM(P80:Q80)</f>
        <v/>
      </c>
      <c r="AD80" s="30">
        <f>SUM(R80:U80)</f>
        <v/>
      </c>
      <c r="AE80" s="31">
        <f>SUM(X80:AD80)</f>
        <v/>
      </c>
      <c r="AF80" s="32">
        <f>AE80/SUM($AE$5:$AE$222)</f>
        <v/>
      </c>
      <c r="AG80" s="10">
        <f>RANK(AE80,$AE$5:$AE$222)</f>
        <v/>
      </c>
      <c r="AH80" s="29" t="n">
        <v>14462724</v>
      </c>
      <c r="AI80" s="9">
        <f>IF(AH80&gt;0,AE80/AH80-1,"")</f>
        <v/>
      </c>
      <c r="AJ80" s="29" t="n">
        <v>1658</v>
      </c>
      <c r="AK80" s="19">
        <f>IF(SUM($E80:E80)&gt;=AE80/2,0+5*(AE80/2-0)/E80,IF(SUM($E80:F80)&gt;=AE80/2,5+5*(AE80/2-SUM($E80:E80))/F80,IF(SUM($E80:G80)&gt;=AE80/2,10+5*(AE80/2-SUM($E80:F80))/G80,IF(SUM($E80:H80)&gt;=AE80/2,15+5*(AE80/2-SUM($E80:G80))/H80,IF(SUM($E80:I80)&gt;=AE80/2,20+5*(AE80/2-SUM($E80:H80))/I80,IF(SUM($E80:J80)&gt;=AE80/2,25+5*(AE80/2-SUM($E80:I80))/J80,IF(SUM($E80:K80)&gt;=AE80/2,30+5*(AE80/2-SUM($E80:J80))/K80,IF(SUM($E80:L80)&gt;=AE80/2,35+5*(AE80/2-SUM($E80:K80))/L80,IF(SUM($E80:M80)&gt;=AE80/2,40+5*(AE80/2-SUM($E80:L80))/M80,IF(SUM($E80:N80)&gt;=AE80/2,45+5*(AE80/2-SUM($E80:M80))/N80,IF(SUM($E80:O80)&gt;=AE80/2,50+5*(AE80/2-SUM($E80:N80))/O80,IF(SUM($E80:P80)&gt;=AE80/2,55+5*(AE80/2-SUM($E80:O80))/P80,IF(SUM($E80:Q80)&gt;=AE80/2,60+5*(AE80/2-SUM($E80:P80))/Q80,IF(SUM($E80:R80)&gt;=AE80/2,65+5*(AE80/2-SUM($E80:Q80))/R80,IF(SUM($E80:S80)&gt;=AE80/2,70+5*(AE80/2-SUM($E80:R80))/S80,IF(SUM($E80:T80)&gt;=AE80/2,75+5*(AE80/2-SUM($E80:S80))/T80,""))))))))))))))))</f>
        <v/>
      </c>
      <c r="AL80" s="30">
        <f>SUM(H80:Q80)</f>
        <v/>
      </c>
      <c r="AM80" s="24" t="n">
        <v>0.08699999999999999</v>
      </c>
      <c r="AN80" s="24" t="n">
        <v>0.104</v>
      </c>
      <c r="AO80" s="33">
        <f>IF(AND(ISNUMBER(AN80),ISNUMBER(AM80)),(AN80-AM80)*100,"")</f>
        <v/>
      </c>
      <c r="AP80" s="30">
        <f>IF(ISNUMBER(AN80),AN80*AL80,"")</f>
        <v/>
      </c>
      <c r="AQ80" s="30">
        <f>IF(ISNUMBER(AN80),AL80,0)</f>
        <v/>
      </c>
      <c r="BB80" s="30">
        <f>IF(BA80="Yes",AX80,0)</f>
        <v/>
      </c>
      <c r="BC80" s="30">
        <f>IF(AND(BA80="Yes",ISNUMBER(AP80)),AP80,0)</f>
        <v/>
      </c>
      <c r="BD80" s="30">
        <f>IF(BA80="Yes",AX80,IF(ISNUMBER(AP80),AP80,0))</f>
        <v/>
      </c>
    </row>
    <row r="81">
      <c r="A81" s="6" t="inlineStr">
        <is>
          <t>RWA</t>
        </is>
      </c>
      <c r="B81" s="6" t="inlineStr">
        <is>
          <t>Rwanda</t>
        </is>
      </c>
      <c r="C81" s="6" t="inlineStr">
        <is>
          <t>Sub-Saharan Africa</t>
        </is>
      </c>
      <c r="D81" s="6" t="inlineStr">
        <is>
          <t>Low income</t>
        </is>
      </c>
      <c r="E81" s="29" t="n">
        <v>1912448</v>
      </c>
      <c r="F81" s="29" t="n">
        <v>1810817</v>
      </c>
      <c r="G81" s="29" t="n">
        <v>1670225</v>
      </c>
      <c r="H81" s="29" t="n">
        <v>1593656</v>
      </c>
      <c r="I81" s="29" t="n">
        <v>1427692</v>
      </c>
      <c r="J81" s="29" t="n">
        <v>1118844</v>
      </c>
      <c r="K81" s="29" t="n">
        <v>1007374</v>
      </c>
      <c r="L81" s="29" t="n">
        <v>932011</v>
      </c>
      <c r="M81" s="29" t="n">
        <v>824060</v>
      </c>
      <c r="N81" s="29" t="n">
        <v>611670</v>
      </c>
      <c r="O81" s="29" t="n">
        <v>424577</v>
      </c>
      <c r="P81" s="29" t="n">
        <v>348441</v>
      </c>
      <c r="Q81" s="29" t="n">
        <v>301234</v>
      </c>
      <c r="R81" s="29" t="n">
        <v>257755</v>
      </c>
      <c r="S81" s="29" t="n">
        <v>165580</v>
      </c>
      <c r="T81" s="29" t="n">
        <v>96137</v>
      </c>
      <c r="U81" s="29" t="n">
        <v>66823</v>
      </c>
      <c r="V81" s="29" t="n">
        <v>7456957</v>
      </c>
      <c r="W81" s="29" t="n">
        <v>7112387</v>
      </c>
      <c r="X81" s="30">
        <f>SUM(E81:G81)</f>
        <v/>
      </c>
      <c r="Y81" s="30">
        <f>SUM(H81:I81)</f>
        <v/>
      </c>
      <c r="Z81" s="30">
        <f>SUM(J81:K81)</f>
        <v/>
      </c>
      <c r="AA81" s="30">
        <f>SUM(L81:M81)</f>
        <v/>
      </c>
      <c r="AB81" s="30">
        <f>SUM(N81:O81)</f>
        <v/>
      </c>
      <c r="AC81" s="30">
        <f>SUM(P81:Q81)</f>
        <v/>
      </c>
      <c r="AD81" s="30">
        <f>SUM(R81:U81)</f>
        <v/>
      </c>
      <c r="AE81" s="31">
        <f>SUM(X81:AD81)</f>
        <v/>
      </c>
      <c r="AF81" s="32">
        <f>AE81/SUM($AE$5:$AE$222)</f>
        <v/>
      </c>
      <c r="AG81" s="10">
        <f>RANK(AE81,$AE$5:$AE$222)</f>
        <v/>
      </c>
      <c r="AH81" s="29" t="n">
        <v>14256567</v>
      </c>
      <c r="AI81" s="9">
        <f>IF(AH81&gt;0,AE81/AH81-1,"")</f>
        <v/>
      </c>
      <c r="AJ81" s="29" t="n">
        <v>1124</v>
      </c>
      <c r="AK81" s="19">
        <f>IF(SUM($E81:E81)&gt;=AE81/2,0+5*(AE81/2-0)/E81,IF(SUM($E81:F81)&gt;=AE81/2,5+5*(AE81/2-SUM($E81:E81))/F81,IF(SUM($E81:G81)&gt;=AE81/2,10+5*(AE81/2-SUM($E81:F81))/G81,IF(SUM($E81:H81)&gt;=AE81/2,15+5*(AE81/2-SUM($E81:G81))/H81,IF(SUM($E81:I81)&gt;=AE81/2,20+5*(AE81/2-SUM($E81:H81))/I81,IF(SUM($E81:J81)&gt;=AE81/2,25+5*(AE81/2-SUM($E81:I81))/J81,IF(SUM($E81:K81)&gt;=AE81/2,30+5*(AE81/2-SUM($E81:J81))/K81,IF(SUM($E81:L81)&gt;=AE81/2,35+5*(AE81/2-SUM($E81:K81))/L81,IF(SUM($E81:M81)&gt;=AE81/2,40+5*(AE81/2-SUM($E81:L81))/M81,IF(SUM($E81:N81)&gt;=AE81/2,45+5*(AE81/2-SUM($E81:M81))/N81,IF(SUM($E81:O81)&gt;=AE81/2,50+5*(AE81/2-SUM($E81:N81))/O81,IF(SUM($E81:P81)&gt;=AE81/2,55+5*(AE81/2-SUM($E81:O81))/P81,IF(SUM($E81:Q81)&gt;=AE81/2,60+5*(AE81/2-SUM($E81:P81))/Q81,IF(SUM($E81:R81)&gt;=AE81/2,65+5*(AE81/2-SUM($E81:Q81))/R81,IF(SUM($E81:S81)&gt;=AE81/2,70+5*(AE81/2-SUM($E81:R81))/S81,IF(SUM($E81:T81)&gt;=AE81/2,75+5*(AE81/2-SUM($E81:S81))/T81,""))))))))))))))))</f>
        <v/>
      </c>
      <c r="AL81" s="30">
        <f>SUM(H81:Q81)</f>
        <v/>
      </c>
      <c r="AM81" s="24" t="n">
        <v>0.06</v>
      </c>
      <c r="AN81" s="24" t="n">
        <v>0.076</v>
      </c>
      <c r="AO81" s="33">
        <f>IF(AND(ISNUMBER(AN81),ISNUMBER(AM81)),(AN81-AM81)*100,"")</f>
        <v/>
      </c>
      <c r="AP81" s="30">
        <f>IF(ISNUMBER(AN81),AN81*AL81,"")</f>
        <v/>
      </c>
      <c r="AQ81" s="30">
        <f>IF(ISNUMBER(AN81),AL81,0)</f>
        <v/>
      </c>
      <c r="BB81" s="30">
        <f>IF(BA81="Yes",AX81,0)</f>
        <v/>
      </c>
      <c r="BC81" s="30">
        <f>IF(AND(BA81="Yes",ISNUMBER(AP81)),AP81,0)</f>
        <v/>
      </c>
      <c r="BD81" s="30">
        <f>IF(BA81="Yes",AX81,IF(ISNUMBER(AP81),AP81,0))</f>
        <v/>
      </c>
    </row>
    <row r="82">
      <c r="A82" s="6" t="inlineStr">
        <is>
          <t>BDI</t>
        </is>
      </c>
      <c r="B82" s="6" t="inlineStr">
        <is>
          <t>Burundi</t>
        </is>
      </c>
      <c r="C82" s="6" t="inlineStr">
        <is>
          <t>Sub-Saharan Africa</t>
        </is>
      </c>
      <c r="D82" s="6" t="inlineStr">
        <is>
          <t>Low income</t>
        </is>
      </c>
      <c r="E82" s="29" t="n">
        <v>2202890</v>
      </c>
      <c r="F82" s="29" t="n">
        <v>2088947</v>
      </c>
      <c r="G82" s="29" t="n">
        <v>2037068</v>
      </c>
      <c r="H82" s="29" t="n">
        <v>1700066</v>
      </c>
      <c r="I82" s="29" t="n">
        <v>1256435</v>
      </c>
      <c r="J82" s="29" t="n">
        <v>963569</v>
      </c>
      <c r="K82" s="29" t="n">
        <v>865993</v>
      </c>
      <c r="L82" s="29" t="n">
        <v>834518</v>
      </c>
      <c r="M82" s="29" t="n">
        <v>734492</v>
      </c>
      <c r="N82" s="29" t="n">
        <v>526963</v>
      </c>
      <c r="O82" s="29" t="n">
        <v>360977</v>
      </c>
      <c r="P82" s="29" t="n">
        <v>259558</v>
      </c>
      <c r="Q82" s="29" t="n">
        <v>191858</v>
      </c>
      <c r="R82" s="29" t="n">
        <v>152651</v>
      </c>
      <c r="S82" s="29" t="n">
        <v>113196</v>
      </c>
      <c r="T82" s="29" t="n">
        <v>58651</v>
      </c>
      <c r="U82" s="29" t="n">
        <v>42175</v>
      </c>
      <c r="V82" s="29" t="n">
        <v>7240985</v>
      </c>
      <c r="W82" s="29" t="n">
        <v>7149022</v>
      </c>
      <c r="X82" s="30">
        <f>SUM(E82:G82)</f>
        <v/>
      </c>
      <c r="Y82" s="30">
        <f>SUM(H82:I82)</f>
        <v/>
      </c>
      <c r="Z82" s="30">
        <f>SUM(J82:K82)</f>
        <v/>
      </c>
      <c r="AA82" s="30">
        <f>SUM(L82:M82)</f>
        <v/>
      </c>
      <c r="AB82" s="30">
        <f>SUM(N82:O82)</f>
        <v/>
      </c>
      <c r="AC82" s="30">
        <f>SUM(P82:Q82)</f>
        <v/>
      </c>
      <c r="AD82" s="30">
        <f>SUM(R82:U82)</f>
        <v/>
      </c>
      <c r="AE82" s="31">
        <f>SUM(X82:AD82)</f>
        <v/>
      </c>
      <c r="AF82" s="32">
        <f>AE82/SUM($AE$5:$AE$222)</f>
        <v/>
      </c>
      <c r="AG82" s="10">
        <f>RANK(AE82,$AE$5:$AE$222)</f>
        <v/>
      </c>
      <c r="AH82" s="29" t="n">
        <v>14047786</v>
      </c>
      <c r="AI82" s="9">
        <f>IF(AH82&gt;0,AE82/AH82-1,"")</f>
        <v/>
      </c>
      <c r="AJ82" s="29" t="n">
        <v>234</v>
      </c>
      <c r="AK82" s="19">
        <f>IF(SUM($E82:E82)&gt;=AE82/2,0+5*(AE82/2-0)/E82,IF(SUM($E82:F82)&gt;=AE82/2,5+5*(AE82/2-SUM($E82:E82))/F82,IF(SUM($E82:G82)&gt;=AE82/2,10+5*(AE82/2-SUM($E82:F82))/G82,IF(SUM($E82:H82)&gt;=AE82/2,15+5*(AE82/2-SUM($E82:G82))/H82,IF(SUM($E82:I82)&gt;=AE82/2,20+5*(AE82/2-SUM($E82:H82))/I82,IF(SUM($E82:J82)&gt;=AE82/2,25+5*(AE82/2-SUM($E82:I82))/J82,IF(SUM($E82:K82)&gt;=AE82/2,30+5*(AE82/2-SUM($E82:J82))/K82,IF(SUM($E82:L82)&gt;=AE82/2,35+5*(AE82/2-SUM($E82:K82))/L82,IF(SUM($E82:M82)&gt;=AE82/2,40+5*(AE82/2-SUM($E82:L82))/M82,IF(SUM($E82:N82)&gt;=AE82/2,45+5*(AE82/2-SUM($E82:M82))/N82,IF(SUM($E82:O82)&gt;=AE82/2,50+5*(AE82/2-SUM($E82:N82))/O82,IF(SUM($E82:P82)&gt;=AE82/2,55+5*(AE82/2-SUM($E82:O82))/P82,IF(SUM($E82:Q82)&gt;=AE82/2,60+5*(AE82/2-SUM($E82:P82))/Q82,IF(SUM($E82:R82)&gt;=AE82/2,65+5*(AE82/2-SUM($E82:Q82))/R82,IF(SUM($E82:S82)&gt;=AE82/2,70+5*(AE82/2-SUM($E82:R82))/S82,IF(SUM($E82:T82)&gt;=AE82/2,75+5*(AE82/2-SUM($E82:S82))/T82,""))))))))))))))))</f>
        <v/>
      </c>
      <c r="AL82" s="30">
        <f>SUM(H82:Q82)</f>
        <v/>
      </c>
      <c r="AM82" s="24" t="n">
        <v>0.064</v>
      </c>
      <c r="AN82" s="24" t="n">
        <v>0.08</v>
      </c>
      <c r="AO82" s="33">
        <f>IF(AND(ISNUMBER(AN82),ISNUMBER(AM82)),(AN82-AM82)*100,"")</f>
        <v/>
      </c>
      <c r="AP82" s="30">
        <f>IF(ISNUMBER(AN82),AN82*AL82,"")</f>
        <v/>
      </c>
      <c r="AQ82" s="30">
        <f>IF(ISNUMBER(AN82),AL82,0)</f>
        <v/>
      </c>
      <c r="BB82" s="30">
        <f>IF(BA82="Yes",AX82,0)</f>
        <v/>
      </c>
      <c r="BC82" s="30">
        <f>IF(AND(BA82="Yes",ISNUMBER(AP82)),AP82,0)</f>
        <v/>
      </c>
      <c r="BD82" s="30">
        <f>IF(BA82="Yes",AX82,IF(ISNUMBER(AP82),AP82,0))</f>
        <v/>
      </c>
    </row>
    <row r="83">
      <c r="A83" s="6" t="inlineStr">
        <is>
          <t>BOL</t>
        </is>
      </c>
      <c r="B83" s="6" t="inlineStr">
        <is>
          <t>Bolivia</t>
        </is>
      </c>
      <c r="C83" s="6" t="inlineStr">
        <is>
          <t>Latin America &amp; Caribbean</t>
        </is>
      </c>
      <c r="D83" s="6" t="inlineStr">
        <is>
          <t>Lower middle income</t>
        </is>
      </c>
      <c r="E83" s="29" t="n">
        <v>1255703</v>
      </c>
      <c r="F83" s="29" t="n">
        <v>1231051</v>
      </c>
      <c r="G83" s="29" t="n">
        <v>1217382</v>
      </c>
      <c r="H83" s="29" t="n">
        <v>1188554</v>
      </c>
      <c r="I83" s="29" t="n">
        <v>1127641</v>
      </c>
      <c r="J83" s="29" t="n">
        <v>1085118</v>
      </c>
      <c r="K83" s="29" t="n">
        <v>1019424</v>
      </c>
      <c r="L83" s="29" t="n">
        <v>907427</v>
      </c>
      <c r="M83" s="29" t="n">
        <v>772173</v>
      </c>
      <c r="N83" s="29" t="n">
        <v>664919</v>
      </c>
      <c r="O83" s="29" t="n">
        <v>558671</v>
      </c>
      <c r="P83" s="29" t="n">
        <v>462456</v>
      </c>
      <c r="Q83" s="29" t="n">
        <v>369125</v>
      </c>
      <c r="R83" s="29" t="n">
        <v>277316</v>
      </c>
      <c r="S83" s="29" t="n">
        <v>192271</v>
      </c>
      <c r="T83" s="29" t="n">
        <v>129065</v>
      </c>
      <c r="U83" s="29" t="n">
        <v>123553</v>
      </c>
      <c r="V83" s="29" t="n">
        <v>6279566</v>
      </c>
      <c r="W83" s="29" t="n">
        <v>6302283</v>
      </c>
      <c r="X83" s="30">
        <f>SUM(E83:G83)</f>
        <v/>
      </c>
      <c r="Y83" s="30">
        <f>SUM(H83:I83)</f>
        <v/>
      </c>
      <c r="Z83" s="30">
        <f>SUM(J83:K83)</f>
        <v/>
      </c>
      <c r="AA83" s="30">
        <f>SUM(L83:M83)</f>
        <v/>
      </c>
      <c r="AB83" s="30">
        <f>SUM(N83:O83)</f>
        <v/>
      </c>
      <c r="AC83" s="30">
        <f>SUM(P83:Q83)</f>
        <v/>
      </c>
      <c r="AD83" s="30">
        <f>SUM(R83:U83)</f>
        <v/>
      </c>
      <c r="AE83" s="31">
        <f>SUM(X83:AD83)</f>
        <v/>
      </c>
      <c r="AF83" s="32">
        <f>AE83/SUM($AE$5:$AE$222)</f>
        <v/>
      </c>
      <c r="AG83" s="10">
        <f>RANK(AE83,$AE$5:$AE$222)</f>
        <v/>
      </c>
      <c r="AH83" s="29" t="n">
        <v>12413315</v>
      </c>
      <c r="AI83" s="9">
        <f>IF(AH83&gt;0,AE83/AH83-1,"")</f>
        <v/>
      </c>
      <c r="AJ83" s="29" t="n">
        <v>5148</v>
      </c>
      <c r="AK83" s="19">
        <f>IF(SUM($E83:E83)&gt;=AE83/2,0+5*(AE83/2-0)/E83,IF(SUM($E83:F83)&gt;=AE83/2,5+5*(AE83/2-SUM($E83:E83))/F83,IF(SUM($E83:G83)&gt;=AE83/2,10+5*(AE83/2-SUM($E83:F83))/G83,IF(SUM($E83:H83)&gt;=AE83/2,15+5*(AE83/2-SUM($E83:G83))/H83,IF(SUM($E83:I83)&gt;=AE83/2,20+5*(AE83/2-SUM($E83:H83))/I83,IF(SUM($E83:J83)&gt;=AE83/2,25+5*(AE83/2-SUM($E83:I83))/J83,IF(SUM($E83:K83)&gt;=AE83/2,30+5*(AE83/2-SUM($E83:J83))/K83,IF(SUM($E83:L83)&gt;=AE83/2,35+5*(AE83/2-SUM($E83:K83))/L83,IF(SUM($E83:M83)&gt;=AE83/2,40+5*(AE83/2-SUM($E83:L83))/M83,IF(SUM($E83:N83)&gt;=AE83/2,45+5*(AE83/2-SUM($E83:M83))/N83,IF(SUM($E83:O83)&gt;=AE83/2,50+5*(AE83/2-SUM($E83:N83))/O83,IF(SUM($E83:P83)&gt;=AE83/2,55+5*(AE83/2-SUM($E83:O83))/P83,IF(SUM($E83:Q83)&gt;=AE83/2,60+5*(AE83/2-SUM($E83:P83))/Q83,IF(SUM($E83:R83)&gt;=AE83/2,65+5*(AE83/2-SUM($E83:Q83))/R83,IF(SUM($E83:S83)&gt;=AE83/2,70+5*(AE83/2-SUM($E83:R83))/S83,IF(SUM($E83:T83)&gt;=AE83/2,75+5*(AE83/2-SUM($E83:S83))/T83,""))))))))))))))))</f>
        <v/>
      </c>
      <c r="AL83" s="30">
        <f>SUM(H83:Q83)</f>
        <v/>
      </c>
      <c r="AM83" s="24" t="n">
        <v>0.109</v>
      </c>
      <c r="AN83" s="24" t="n">
        <v>0.133</v>
      </c>
      <c r="AO83" s="33">
        <f>IF(AND(ISNUMBER(AN83),ISNUMBER(AM83)),(AN83-AM83)*100,"")</f>
        <v/>
      </c>
      <c r="AP83" s="30">
        <f>IF(ISNUMBER(AN83),AN83*AL83,"")</f>
        <v/>
      </c>
      <c r="AQ83" s="30">
        <f>IF(ISNUMBER(AN83),AL83,0)</f>
        <v/>
      </c>
      <c r="BB83" s="30">
        <f>IF(BA83="Yes",AX83,0)</f>
        <v/>
      </c>
      <c r="BC83" s="30">
        <f>IF(AND(BA83="Yes",ISNUMBER(AP83)),AP83,0)</f>
        <v/>
      </c>
      <c r="BD83" s="30">
        <f>IF(BA83="Yes",AX83,IF(ISNUMBER(AP83),AP83,0))</f>
        <v/>
      </c>
    </row>
    <row r="84">
      <c r="A84" s="6" t="inlineStr">
        <is>
          <t>TUN</t>
        </is>
      </c>
      <c r="B84" s="6" t="inlineStr">
        <is>
          <t>Tunisia</t>
        </is>
      </c>
      <c r="C84" s="6" t="inlineStr">
        <is>
          <t>Middle East, North Africa, Afghanistan &amp; Pakistan</t>
        </is>
      </c>
      <c r="D84" s="6" t="inlineStr">
        <is>
          <t>Lower middle income</t>
        </is>
      </c>
      <c r="E84" s="29" t="n">
        <v>834472</v>
      </c>
      <c r="F84" s="29" t="n">
        <v>1017031</v>
      </c>
      <c r="G84" s="29" t="n">
        <v>1057927</v>
      </c>
      <c r="H84" s="29" t="n">
        <v>914115</v>
      </c>
      <c r="I84" s="29" t="n">
        <v>802064</v>
      </c>
      <c r="J84" s="29" t="n">
        <v>818307</v>
      </c>
      <c r="K84" s="29" t="n">
        <v>928895</v>
      </c>
      <c r="L84" s="29" t="n">
        <v>943405</v>
      </c>
      <c r="M84" s="29" t="n">
        <v>922491</v>
      </c>
      <c r="N84" s="29" t="n">
        <v>846462</v>
      </c>
      <c r="O84" s="29" t="n">
        <v>741964</v>
      </c>
      <c r="P84" s="29" t="n">
        <v>671548</v>
      </c>
      <c r="Q84" s="29" t="n">
        <v>622732</v>
      </c>
      <c r="R84" s="29" t="n">
        <v>493189</v>
      </c>
      <c r="S84" s="29" t="n">
        <v>359859</v>
      </c>
      <c r="T84" s="29" t="n">
        <v>197326</v>
      </c>
      <c r="U84" s="29" t="n">
        <v>176784</v>
      </c>
      <c r="V84" s="29" t="n">
        <v>6246899</v>
      </c>
      <c r="W84" s="29" t="n">
        <v>6101672</v>
      </c>
      <c r="X84" s="30">
        <f>SUM(E84:G84)</f>
        <v/>
      </c>
      <c r="Y84" s="30">
        <f>SUM(H84:I84)</f>
        <v/>
      </c>
      <c r="Z84" s="30">
        <f>SUM(J84:K84)</f>
        <v/>
      </c>
      <c r="AA84" s="30">
        <f>SUM(L84:M84)</f>
        <v/>
      </c>
      <c r="AB84" s="30">
        <f>SUM(N84:O84)</f>
        <v/>
      </c>
      <c r="AC84" s="30">
        <f>SUM(P84:Q84)</f>
        <v/>
      </c>
      <c r="AD84" s="30">
        <f>SUM(R84:U84)</f>
        <v/>
      </c>
      <c r="AE84" s="31">
        <f>SUM(X84:AD84)</f>
        <v/>
      </c>
      <c r="AF84" s="32">
        <f>AE84/SUM($AE$5:$AE$222)</f>
        <v/>
      </c>
      <c r="AG84" s="10">
        <f>RANK(AE84,$AE$5:$AE$222)</f>
        <v/>
      </c>
      <c r="AH84" s="29" t="n">
        <v>12277109</v>
      </c>
      <c r="AI84" s="9">
        <f>IF(AH84&gt;0,AE84/AH84-1,"")</f>
        <v/>
      </c>
      <c r="AJ84" s="29" t="n">
        <v>4657</v>
      </c>
      <c r="AK84" s="19">
        <f>IF(SUM($E84:E84)&gt;=AE84/2,0+5*(AE84/2-0)/E84,IF(SUM($E84:F84)&gt;=AE84/2,5+5*(AE84/2-SUM($E84:E84))/F84,IF(SUM($E84:G84)&gt;=AE84/2,10+5*(AE84/2-SUM($E84:F84))/G84,IF(SUM($E84:H84)&gt;=AE84/2,15+5*(AE84/2-SUM($E84:G84))/H84,IF(SUM($E84:I84)&gt;=AE84/2,20+5*(AE84/2-SUM($E84:H84))/I84,IF(SUM($E84:J84)&gt;=AE84/2,25+5*(AE84/2-SUM($E84:I84))/J84,IF(SUM($E84:K84)&gt;=AE84/2,30+5*(AE84/2-SUM($E84:J84))/K84,IF(SUM($E84:L84)&gt;=AE84/2,35+5*(AE84/2-SUM($E84:K84))/L84,IF(SUM($E84:M84)&gt;=AE84/2,40+5*(AE84/2-SUM($E84:L84))/M84,IF(SUM($E84:N84)&gt;=AE84/2,45+5*(AE84/2-SUM($E84:M84))/N84,IF(SUM($E84:O84)&gt;=AE84/2,50+5*(AE84/2-SUM($E84:N84))/O84,IF(SUM($E84:P84)&gt;=AE84/2,55+5*(AE84/2-SUM($E84:O84))/P84,IF(SUM($E84:Q84)&gt;=AE84/2,60+5*(AE84/2-SUM($E84:P84))/Q84,IF(SUM($E84:R84)&gt;=AE84/2,65+5*(AE84/2-SUM($E84:Q84))/R84,IF(SUM($E84:S84)&gt;=AE84/2,70+5*(AE84/2-SUM($E84:R84))/S84,IF(SUM($E84:T84)&gt;=AE84/2,75+5*(AE84/2-SUM($E84:S84))/T84,""))))))))))))))))</f>
        <v/>
      </c>
      <c r="AL84" s="30">
        <f>SUM(H84:Q84)</f>
        <v/>
      </c>
      <c r="AM84" s="24" t="n">
        <v>0.123</v>
      </c>
      <c r="AN84" s="24" t="n">
        <v>0.139</v>
      </c>
      <c r="AO84" s="33">
        <f>IF(AND(ISNUMBER(AN84),ISNUMBER(AM84)),(AN84-AM84)*100,"")</f>
        <v/>
      </c>
      <c r="AP84" s="30">
        <f>IF(ISNUMBER(AN84),AN84*AL84,"")</f>
        <v/>
      </c>
      <c r="AQ84" s="30">
        <f>IF(ISNUMBER(AN84),AL84,0)</f>
        <v/>
      </c>
      <c r="BB84" s="30">
        <f>IF(BA84="Yes",AX84,0)</f>
        <v/>
      </c>
      <c r="BC84" s="30">
        <f>IF(AND(BA84="Yes",ISNUMBER(AP84)),AP84,0)</f>
        <v/>
      </c>
      <c r="BD84" s="30">
        <f>IF(BA84="Yes",AX84,IF(ISNUMBER(AP84),AP84,0))</f>
        <v/>
      </c>
    </row>
    <row r="85">
      <c r="A85" s="6" t="inlineStr">
        <is>
          <t>SSD</t>
        </is>
      </c>
      <c r="B85" s="6" t="inlineStr">
        <is>
          <t>South Sudan</t>
        </is>
      </c>
      <c r="C85" s="6" t="inlineStr">
        <is>
          <t>Sub-Saharan Africa</t>
        </is>
      </c>
      <c r="D85" s="6" t="inlineStr">
        <is>
          <t>Low income</t>
        </is>
      </c>
      <c r="E85" s="29" t="n">
        <v>1573242</v>
      </c>
      <c r="F85" s="29" t="n">
        <v>1418864</v>
      </c>
      <c r="G85" s="29" t="n">
        <v>1637966</v>
      </c>
      <c r="H85" s="29" t="n">
        <v>1555831</v>
      </c>
      <c r="I85" s="29" t="n">
        <v>1289093</v>
      </c>
      <c r="J85" s="29" t="n">
        <v>853784</v>
      </c>
      <c r="K85" s="29" t="n">
        <v>632000</v>
      </c>
      <c r="L85" s="29" t="n">
        <v>542559</v>
      </c>
      <c r="M85" s="29" t="n">
        <v>627251</v>
      </c>
      <c r="N85" s="29" t="n">
        <v>593190</v>
      </c>
      <c r="O85" s="29" t="n">
        <v>487825</v>
      </c>
      <c r="P85" s="29" t="n">
        <v>352503</v>
      </c>
      <c r="Q85" s="29" t="n">
        <v>249842</v>
      </c>
      <c r="R85" s="29" t="n">
        <v>170978</v>
      </c>
      <c r="S85" s="29" t="n">
        <v>106001</v>
      </c>
      <c r="T85" s="29" t="n">
        <v>58772</v>
      </c>
      <c r="U85" s="29" t="n">
        <v>39089</v>
      </c>
      <c r="V85" s="29" t="n">
        <v>6194568</v>
      </c>
      <c r="W85" s="29" t="n">
        <v>5994222</v>
      </c>
      <c r="X85" s="30">
        <f>SUM(E85:G85)</f>
        <v/>
      </c>
      <c r="Y85" s="30">
        <f>SUM(H85:I85)</f>
        <v/>
      </c>
      <c r="Z85" s="30">
        <f>SUM(J85:K85)</f>
        <v/>
      </c>
      <c r="AA85" s="30">
        <f>SUM(L85:M85)</f>
        <v/>
      </c>
      <c r="AB85" s="30">
        <f>SUM(N85:O85)</f>
        <v/>
      </c>
      <c r="AC85" s="30">
        <f>SUM(P85:Q85)</f>
        <v/>
      </c>
      <c r="AD85" s="30">
        <f>SUM(R85:U85)</f>
        <v/>
      </c>
      <c r="AE85" s="31">
        <f>SUM(X85:AD85)</f>
        <v/>
      </c>
      <c r="AF85" s="32">
        <f>AE85/SUM($AE$5:$AE$222)</f>
        <v/>
      </c>
      <c r="AG85" s="10">
        <f>RANK(AE85,$AE$5:$AE$222)</f>
        <v/>
      </c>
      <c r="AH85" s="29" t="n">
        <v>11943408</v>
      </c>
      <c r="AI85" s="9">
        <f>IF(AH85&gt;0,AE85/AH85-1,"")</f>
        <v/>
      </c>
      <c r="AJ85" s="35" t="n"/>
      <c r="AK85" s="19">
        <f>IF(SUM($E85:E85)&gt;=AE85/2,0+5*(AE85/2-0)/E85,IF(SUM($E85:F85)&gt;=AE85/2,5+5*(AE85/2-SUM($E85:E85))/F85,IF(SUM($E85:G85)&gt;=AE85/2,10+5*(AE85/2-SUM($E85:F85))/G85,IF(SUM($E85:H85)&gt;=AE85/2,15+5*(AE85/2-SUM($E85:G85))/H85,IF(SUM($E85:I85)&gt;=AE85/2,20+5*(AE85/2-SUM($E85:H85))/I85,IF(SUM($E85:J85)&gt;=AE85/2,25+5*(AE85/2-SUM($E85:I85))/J85,IF(SUM($E85:K85)&gt;=AE85/2,30+5*(AE85/2-SUM($E85:J85))/K85,IF(SUM($E85:L85)&gt;=AE85/2,35+5*(AE85/2-SUM($E85:K85))/L85,IF(SUM($E85:M85)&gt;=AE85/2,40+5*(AE85/2-SUM($E85:L85))/M85,IF(SUM($E85:N85)&gt;=AE85/2,45+5*(AE85/2-SUM($E85:M85))/N85,IF(SUM($E85:O85)&gt;=AE85/2,50+5*(AE85/2-SUM($E85:N85))/O85,IF(SUM($E85:P85)&gt;=AE85/2,55+5*(AE85/2-SUM($E85:O85))/P85,IF(SUM($E85:Q85)&gt;=AE85/2,60+5*(AE85/2-SUM($E85:P85))/Q85,IF(SUM($E85:R85)&gt;=AE85/2,65+5*(AE85/2-SUM($E85:Q85))/R85,IF(SUM($E85:S85)&gt;=AE85/2,70+5*(AE85/2-SUM($E85:R85))/S85,IF(SUM($E85:T85)&gt;=AE85/2,75+5*(AE85/2-SUM($E85:S85))/T85,""))))))))))))))))</f>
        <v/>
      </c>
      <c r="AL85" s="30">
        <f>SUM(H85:Q85)</f>
        <v/>
      </c>
      <c r="AM85" s="24" t="n">
        <v>0.064</v>
      </c>
      <c r="AN85" s="24" t="n">
        <v>0.08</v>
      </c>
      <c r="AO85" s="33">
        <f>IF(AND(ISNUMBER(AN85),ISNUMBER(AM85)),(AN85-AM85)*100,"")</f>
        <v/>
      </c>
      <c r="AP85" s="30">
        <f>IF(ISNUMBER(AN85),AN85*AL85,"")</f>
        <v/>
      </c>
      <c r="AQ85" s="30">
        <f>IF(ISNUMBER(AN85),AL85,0)</f>
        <v/>
      </c>
      <c r="BB85" s="30">
        <f>IF(BA85="Yes",AX85,0)</f>
        <v/>
      </c>
      <c r="BC85" s="30">
        <f>IF(AND(BA85="Yes",ISNUMBER(AP85)),AP85,0)</f>
        <v/>
      </c>
      <c r="BD85" s="30">
        <f>IF(BA85="Yes",AX85,IF(ISNUMBER(AP85),AP85,0))</f>
        <v/>
      </c>
    </row>
    <row r="86">
      <c r="A86" s="6" t="inlineStr">
        <is>
          <t>BEL</t>
        </is>
      </c>
      <c r="B86" s="6" t="inlineStr">
        <is>
          <t>Belgium</t>
        </is>
      </c>
      <c r="C86" s="6" t="inlineStr">
        <is>
          <t>Europe &amp; Central Asia</t>
        </is>
      </c>
      <c r="D86" s="6" t="inlineStr">
        <is>
          <t>High income</t>
        </is>
      </c>
      <c r="E86" s="29" t="n">
        <v>559839</v>
      </c>
      <c r="F86" s="29" t="n">
        <v>630071</v>
      </c>
      <c r="G86" s="29" t="n">
        <v>685410</v>
      </c>
      <c r="H86" s="29" t="n">
        <v>705825</v>
      </c>
      <c r="I86" s="29" t="n">
        <v>688044</v>
      </c>
      <c r="J86" s="29" t="n">
        <v>711067</v>
      </c>
      <c r="K86" s="29" t="n">
        <v>767797</v>
      </c>
      <c r="L86" s="29" t="n">
        <v>776883</v>
      </c>
      <c r="M86" s="29" t="n">
        <v>771887</v>
      </c>
      <c r="N86" s="29" t="n">
        <v>764399</v>
      </c>
      <c r="O86" s="29" t="n">
        <v>777552</v>
      </c>
      <c r="P86" s="29" t="n">
        <v>798765</v>
      </c>
      <c r="Q86" s="29" t="n">
        <v>801140</v>
      </c>
      <c r="R86" s="29" t="n">
        <v>713561</v>
      </c>
      <c r="S86" s="29" t="n">
        <v>598004</v>
      </c>
      <c r="T86" s="29" t="n">
        <v>504306</v>
      </c>
      <c r="U86" s="29" t="n">
        <v>687232</v>
      </c>
      <c r="V86" s="29" t="n">
        <v>6050530</v>
      </c>
      <c r="W86" s="29" t="n">
        <v>5891252</v>
      </c>
      <c r="X86" s="30">
        <f>SUM(E86:G86)</f>
        <v/>
      </c>
      <c r="Y86" s="30">
        <f>SUM(H86:I86)</f>
        <v/>
      </c>
      <c r="Z86" s="30">
        <f>SUM(J86:K86)</f>
        <v/>
      </c>
      <c r="AA86" s="30">
        <f>SUM(L86:M86)</f>
        <v/>
      </c>
      <c r="AB86" s="30">
        <f>SUM(N86:O86)</f>
        <v/>
      </c>
      <c r="AC86" s="30">
        <f>SUM(P86:Q86)</f>
        <v/>
      </c>
      <c r="AD86" s="30">
        <f>SUM(R86:U86)</f>
        <v/>
      </c>
      <c r="AE86" s="31">
        <f>SUM(X86:AD86)</f>
        <v/>
      </c>
      <c r="AF86" s="32">
        <f>AE86/SUM($AE$5:$AE$222)</f>
        <v/>
      </c>
      <c r="AG86" s="10">
        <f>RANK(AE86,$AE$5:$AE$222)</f>
        <v/>
      </c>
      <c r="AH86" s="29" t="n">
        <v>11858610</v>
      </c>
      <c r="AI86" s="9">
        <f>IF(AH86&gt;0,AE86/AH86-1,"")</f>
        <v/>
      </c>
      <c r="AJ86" s="29" t="n">
        <v>60750</v>
      </c>
      <c r="AK86" s="19">
        <f>IF(SUM($E86:E86)&gt;=AE86/2,0+5*(AE86/2-0)/E86,IF(SUM($E86:F86)&gt;=AE86/2,5+5*(AE86/2-SUM($E86:E86))/F86,IF(SUM($E86:G86)&gt;=AE86/2,10+5*(AE86/2-SUM($E86:F86))/G86,IF(SUM($E86:H86)&gt;=AE86/2,15+5*(AE86/2-SUM($E86:G86))/H86,IF(SUM($E86:I86)&gt;=AE86/2,20+5*(AE86/2-SUM($E86:H86))/I86,IF(SUM($E86:J86)&gt;=AE86/2,25+5*(AE86/2-SUM($E86:I86))/J86,IF(SUM($E86:K86)&gt;=AE86/2,30+5*(AE86/2-SUM($E86:J86))/K86,IF(SUM($E86:L86)&gt;=AE86/2,35+5*(AE86/2-SUM($E86:K86))/L86,IF(SUM($E86:M86)&gt;=AE86/2,40+5*(AE86/2-SUM($E86:L86))/M86,IF(SUM($E86:N86)&gt;=AE86/2,45+5*(AE86/2-SUM($E86:M86))/N86,IF(SUM($E86:O86)&gt;=AE86/2,50+5*(AE86/2-SUM($E86:N86))/O86,IF(SUM($E86:P86)&gt;=AE86/2,55+5*(AE86/2-SUM($E86:O86))/P86,IF(SUM($E86:Q86)&gt;=AE86/2,60+5*(AE86/2-SUM($E86:P86))/Q86,IF(SUM($E86:R86)&gt;=AE86/2,65+5*(AE86/2-SUM($E86:Q86))/R86,IF(SUM($E86:S86)&gt;=AE86/2,70+5*(AE86/2-SUM($E86:R86))/S86,IF(SUM($E86:T86)&gt;=AE86/2,75+5*(AE86/2-SUM($E86:S86))/T86,""))))))))))))))))</f>
        <v/>
      </c>
      <c r="AL86" s="30">
        <f>SUM(H86:Q86)</f>
        <v/>
      </c>
      <c r="AM86" s="24" t="n">
        <v>0.335</v>
      </c>
      <c r="AN86" s="24" t="n">
        <v>0.403</v>
      </c>
      <c r="AO86" s="33">
        <f>IF(AND(ISNUMBER(AN86),ISNUMBER(AM86)),(AN86-AM86)*100,"")</f>
        <v/>
      </c>
      <c r="AP86" s="30">
        <f>IF(ISNUMBER(AN86),AN86*AL86,"")</f>
        <v/>
      </c>
      <c r="AQ86" s="30">
        <f>IF(ISNUMBER(AN86),AL86,0)</f>
        <v/>
      </c>
      <c r="AR86" s="24" t="n">
        <v>0.4201</v>
      </c>
      <c r="AS86" s="6" t="inlineStr">
        <is>
          <t>population</t>
        </is>
      </c>
      <c r="AT86" s="6" t="inlineStr">
        <is>
          <t>16-74</t>
        </is>
      </c>
      <c r="AU86" s="24" t="n">
        <v>1</v>
      </c>
      <c r="AV86" s="30">
        <f>H86*0.8+I86+J86+K86+L86+M86+N86+O86+P86+Q86+R86+S86</f>
        <v/>
      </c>
      <c r="AX86" s="30">
        <f>IF(ISNUMBER(AW86),AW86,AR86*AU86*AV86)</f>
        <v/>
      </c>
      <c r="AY86" s="34">
        <f>AX86/AV86</f>
        <v/>
      </c>
      <c r="AZ86" s="6" t="inlineStr">
        <is>
          <t>A</t>
        </is>
      </c>
      <c r="BA86" s="6" t="inlineStr">
        <is>
          <t>Yes</t>
        </is>
      </c>
      <c r="BB86" s="30">
        <f>IF(BA86="Yes",AX86,0)</f>
        <v/>
      </c>
      <c r="BC86" s="30">
        <f>IF(AND(BA86="Yes",ISNUMBER(AP86)),AP86,0)</f>
        <v/>
      </c>
      <c r="BD86" s="30">
        <f>IF(BA86="Yes",AX86,IF(ISNUMBER(AP86),AP86,0))</f>
        <v/>
      </c>
      <c r="BE86" s="6" t="inlineStr">
        <is>
          <t>Used generative AI tools in the last 3 months</t>
        </is>
      </c>
      <c r="BF86" s="6" t="inlineStr">
        <is>
          <t>2025 survey (Q2, most countries)</t>
        </is>
      </c>
      <c r="BG86" s="6" t="inlineStr">
        <is>
          <t>Eurostat: ICT usage in households and by individuals 2025, dataset isoc_ai_iaiu</t>
        </is>
      </c>
      <c r="BH86" s="6" t="inlineStr">
        <is>
          <t>https://ec.europa.eu/eurostat/databrowser/view/isoc_ai_iaiu/default/table</t>
        </is>
      </c>
    </row>
    <row r="87">
      <c r="A87" s="6" t="inlineStr">
        <is>
          <t>HTI</t>
        </is>
      </c>
      <c r="B87" s="6" t="inlineStr">
        <is>
          <t>Haiti</t>
        </is>
      </c>
      <c r="C87" s="6" t="inlineStr">
        <is>
          <t>Latin America &amp; Caribbean</t>
        </is>
      </c>
      <c r="D87" s="6" t="inlineStr">
        <is>
          <t>Lower middle income</t>
        </is>
      </c>
      <c r="E87" s="29" t="n">
        <v>1225084</v>
      </c>
      <c r="F87" s="29" t="n">
        <v>1225476</v>
      </c>
      <c r="G87" s="29" t="n">
        <v>1214975</v>
      </c>
      <c r="H87" s="29" t="n">
        <v>1171512</v>
      </c>
      <c r="I87" s="29" t="n">
        <v>1101801</v>
      </c>
      <c r="J87" s="29" t="n">
        <v>1033222</v>
      </c>
      <c r="K87" s="29" t="n">
        <v>960926</v>
      </c>
      <c r="L87" s="29" t="n">
        <v>859831</v>
      </c>
      <c r="M87" s="29" t="n">
        <v>723018</v>
      </c>
      <c r="N87" s="29" t="n">
        <v>605843</v>
      </c>
      <c r="O87" s="29" t="n">
        <v>495665</v>
      </c>
      <c r="P87" s="29" t="n">
        <v>400271</v>
      </c>
      <c r="Q87" s="29" t="n">
        <v>317961</v>
      </c>
      <c r="R87" s="29" t="n">
        <v>239626</v>
      </c>
      <c r="S87" s="29" t="n">
        <v>164672</v>
      </c>
      <c r="T87" s="29" t="n">
        <v>97679</v>
      </c>
      <c r="U87" s="29" t="n">
        <v>68527</v>
      </c>
      <c r="V87" s="29" t="n">
        <v>6017940</v>
      </c>
      <c r="W87" s="29" t="n">
        <v>5888149</v>
      </c>
      <c r="X87" s="30">
        <f>SUM(E87:G87)</f>
        <v/>
      </c>
      <c r="Y87" s="30">
        <f>SUM(H87:I87)</f>
        <v/>
      </c>
      <c r="Z87" s="30">
        <f>SUM(J87:K87)</f>
        <v/>
      </c>
      <c r="AA87" s="30">
        <f>SUM(L87:M87)</f>
        <v/>
      </c>
      <c r="AB87" s="30">
        <f>SUM(N87:O87)</f>
        <v/>
      </c>
      <c r="AC87" s="30">
        <f>SUM(P87:Q87)</f>
        <v/>
      </c>
      <c r="AD87" s="30">
        <f>SUM(R87:U87)</f>
        <v/>
      </c>
      <c r="AE87" s="31">
        <f>SUM(X87:AD87)</f>
        <v/>
      </c>
      <c r="AF87" s="32">
        <f>AE87/SUM($AE$5:$AE$222)</f>
        <v/>
      </c>
      <c r="AG87" s="10">
        <f>RANK(AE87,$AE$5:$AE$222)</f>
        <v/>
      </c>
      <c r="AH87" s="29" t="n">
        <v>11772557</v>
      </c>
      <c r="AI87" s="9">
        <f>IF(AH87&gt;0,AE87/AH87-1,"")</f>
        <v/>
      </c>
      <c r="AJ87" s="29" t="n">
        <v>2694</v>
      </c>
      <c r="AK87" s="19">
        <f>IF(SUM($E87:E87)&gt;=AE87/2,0+5*(AE87/2-0)/E87,IF(SUM($E87:F87)&gt;=AE87/2,5+5*(AE87/2-SUM($E87:E87))/F87,IF(SUM($E87:G87)&gt;=AE87/2,10+5*(AE87/2-SUM($E87:F87))/G87,IF(SUM($E87:H87)&gt;=AE87/2,15+5*(AE87/2-SUM($E87:G87))/H87,IF(SUM($E87:I87)&gt;=AE87/2,20+5*(AE87/2-SUM($E87:H87))/I87,IF(SUM($E87:J87)&gt;=AE87/2,25+5*(AE87/2-SUM($E87:I87))/J87,IF(SUM($E87:K87)&gt;=AE87/2,30+5*(AE87/2-SUM($E87:J87))/K87,IF(SUM($E87:L87)&gt;=AE87/2,35+5*(AE87/2-SUM($E87:K87))/L87,IF(SUM($E87:M87)&gt;=AE87/2,40+5*(AE87/2-SUM($E87:L87))/M87,IF(SUM($E87:N87)&gt;=AE87/2,45+5*(AE87/2-SUM($E87:M87))/N87,IF(SUM($E87:O87)&gt;=AE87/2,50+5*(AE87/2-SUM($E87:N87))/O87,IF(SUM($E87:P87)&gt;=AE87/2,55+5*(AE87/2-SUM($E87:O87))/P87,IF(SUM($E87:Q87)&gt;=AE87/2,60+5*(AE87/2-SUM($E87:P87))/Q87,IF(SUM($E87:R87)&gt;=AE87/2,65+5*(AE87/2-SUM($E87:Q87))/R87,IF(SUM($E87:S87)&gt;=AE87/2,70+5*(AE87/2-SUM($E87:R87))/S87,IF(SUM($E87:T87)&gt;=AE87/2,75+5*(AE87/2-SUM($E87:S87))/T87,""))))))))))))))))</f>
        <v/>
      </c>
      <c r="AL87" s="30">
        <f>SUM(H87:Q87)</f>
        <v/>
      </c>
      <c r="AM87" s="24" t="n">
        <v>0.07099999999999999</v>
      </c>
      <c r="AN87" s="24" t="n">
        <v>0.08900000000000001</v>
      </c>
      <c r="AO87" s="33">
        <f>IF(AND(ISNUMBER(AN87),ISNUMBER(AM87)),(AN87-AM87)*100,"")</f>
        <v/>
      </c>
      <c r="AP87" s="30">
        <f>IF(ISNUMBER(AN87),AN87*AL87,"")</f>
        <v/>
      </c>
      <c r="AQ87" s="30">
        <f>IF(ISNUMBER(AN87),AL87,0)</f>
        <v/>
      </c>
      <c r="BB87" s="30">
        <f>IF(BA87="Yes",AX87,0)</f>
        <v/>
      </c>
      <c r="BC87" s="30">
        <f>IF(AND(BA87="Yes",ISNUMBER(AP87)),AP87,0)</f>
        <v/>
      </c>
      <c r="BD87" s="30">
        <f>IF(BA87="Yes",AX87,IF(ISNUMBER(AP87),AP87,0))</f>
        <v/>
      </c>
    </row>
    <row r="88">
      <c r="A88" s="6" t="inlineStr">
        <is>
          <t>JOR</t>
        </is>
      </c>
      <c r="B88" s="6" t="inlineStr">
        <is>
          <t>Jordan</t>
        </is>
      </c>
      <c r="C88" s="6" t="inlineStr">
        <is>
          <t>Middle East, North Africa, Afghanistan &amp; Pakistan</t>
        </is>
      </c>
      <c r="D88" s="6" t="inlineStr">
        <is>
          <t>Upper middle income</t>
        </is>
      </c>
      <c r="E88" s="29" t="n">
        <v>1130077</v>
      </c>
      <c r="F88" s="29" t="n">
        <v>1146077</v>
      </c>
      <c r="G88" s="29" t="n">
        <v>1202655</v>
      </c>
      <c r="H88" s="29" t="n">
        <v>1159431</v>
      </c>
      <c r="I88" s="29" t="n">
        <v>992226</v>
      </c>
      <c r="J88" s="29" t="n">
        <v>926814</v>
      </c>
      <c r="K88" s="29" t="n">
        <v>922693</v>
      </c>
      <c r="L88" s="29" t="n">
        <v>812703</v>
      </c>
      <c r="M88" s="29" t="n">
        <v>713244</v>
      </c>
      <c r="N88" s="29" t="n">
        <v>618233</v>
      </c>
      <c r="O88" s="29" t="n">
        <v>549198</v>
      </c>
      <c r="P88" s="29" t="n">
        <v>459300</v>
      </c>
      <c r="Q88" s="29" t="n">
        <v>340383</v>
      </c>
      <c r="R88" s="29" t="n">
        <v>227624</v>
      </c>
      <c r="S88" s="29" t="n">
        <v>148675</v>
      </c>
      <c r="T88" s="29" t="n">
        <v>91612</v>
      </c>
      <c r="U88" s="29" t="n">
        <v>79735</v>
      </c>
      <c r="V88" s="29" t="n">
        <v>5586190</v>
      </c>
      <c r="W88" s="29" t="n">
        <v>5934490</v>
      </c>
      <c r="X88" s="30">
        <f>SUM(E88:G88)</f>
        <v/>
      </c>
      <c r="Y88" s="30">
        <f>SUM(H88:I88)</f>
        <v/>
      </c>
      <c r="Z88" s="30">
        <f>SUM(J88:K88)</f>
        <v/>
      </c>
      <c r="AA88" s="30">
        <f>SUM(L88:M88)</f>
        <v/>
      </c>
      <c r="AB88" s="30">
        <f>SUM(N88:O88)</f>
        <v/>
      </c>
      <c r="AC88" s="30">
        <f>SUM(P88:Q88)</f>
        <v/>
      </c>
      <c r="AD88" s="30">
        <f>SUM(R88:U88)</f>
        <v/>
      </c>
      <c r="AE88" s="31">
        <f>SUM(X88:AD88)</f>
        <v/>
      </c>
      <c r="AF88" s="32">
        <f>AE88/SUM($AE$5:$AE$222)</f>
        <v/>
      </c>
      <c r="AG88" s="10">
        <f>RANK(AE88,$AE$5:$AE$222)</f>
        <v/>
      </c>
      <c r="AH88" s="29" t="n">
        <v>11552876</v>
      </c>
      <c r="AI88" s="9">
        <f>IF(AH88&gt;0,AE88/AH88-1,"")</f>
        <v/>
      </c>
      <c r="AJ88" s="29" t="n">
        <v>5348</v>
      </c>
      <c r="AK88" s="19">
        <f>IF(SUM($E88:E88)&gt;=AE88/2,0+5*(AE88/2-0)/E88,IF(SUM($E88:F88)&gt;=AE88/2,5+5*(AE88/2-SUM($E88:E88))/F88,IF(SUM($E88:G88)&gt;=AE88/2,10+5*(AE88/2-SUM($E88:F88))/G88,IF(SUM($E88:H88)&gt;=AE88/2,15+5*(AE88/2-SUM($E88:G88))/H88,IF(SUM($E88:I88)&gt;=AE88/2,20+5*(AE88/2-SUM($E88:H88))/I88,IF(SUM($E88:J88)&gt;=AE88/2,25+5*(AE88/2-SUM($E88:I88))/J88,IF(SUM($E88:K88)&gt;=AE88/2,30+5*(AE88/2-SUM($E88:J88))/K88,IF(SUM($E88:L88)&gt;=AE88/2,35+5*(AE88/2-SUM($E88:K88))/L88,IF(SUM($E88:M88)&gt;=AE88/2,40+5*(AE88/2-SUM($E88:L88))/M88,IF(SUM($E88:N88)&gt;=AE88/2,45+5*(AE88/2-SUM($E88:M88))/N88,IF(SUM($E88:O88)&gt;=AE88/2,50+5*(AE88/2-SUM($E88:N88))/O88,IF(SUM($E88:P88)&gt;=AE88/2,55+5*(AE88/2-SUM($E88:O88))/P88,IF(SUM($E88:Q88)&gt;=AE88/2,60+5*(AE88/2-SUM($E88:P88))/Q88,IF(SUM($E88:R88)&gt;=AE88/2,65+5*(AE88/2-SUM($E88:Q88))/R88,IF(SUM($E88:S88)&gt;=AE88/2,70+5*(AE88/2-SUM($E88:R88))/S88,IF(SUM($E88:T88)&gt;=AE88/2,75+5*(AE88/2-SUM($E88:S88))/T88,""))))))))))))))))</f>
        <v/>
      </c>
      <c r="AL88" s="30">
        <f>SUM(H88:Q88)</f>
        <v/>
      </c>
      <c r="AM88" s="24" t="n">
        <v>0.254</v>
      </c>
      <c r="AN88" s="24" t="n">
        <v>0.312</v>
      </c>
      <c r="AO88" s="33">
        <f>IF(AND(ISNUMBER(AN88),ISNUMBER(AM88)),(AN88-AM88)*100,"")</f>
        <v/>
      </c>
      <c r="AP88" s="30">
        <f>IF(ISNUMBER(AN88),AN88*AL88,"")</f>
        <v/>
      </c>
      <c r="AQ88" s="30">
        <f>IF(ISNUMBER(AN88),AL88,0)</f>
        <v/>
      </c>
      <c r="BB88" s="30">
        <f>IF(BA88="Yes",AX88,0)</f>
        <v/>
      </c>
      <c r="BC88" s="30">
        <f>IF(AND(BA88="Yes",ISNUMBER(AP88)),AP88,0)</f>
        <v/>
      </c>
      <c r="BD88" s="30">
        <f>IF(BA88="Yes",AX88,IF(ISNUMBER(AP88),AP88,0))</f>
        <v/>
      </c>
    </row>
    <row r="89">
      <c r="A89" s="6" t="inlineStr">
        <is>
          <t>DOM</t>
        </is>
      </c>
      <c r="B89" s="6" t="inlineStr">
        <is>
          <t>Dominican Republic</t>
        </is>
      </c>
      <c r="C89" s="6" t="inlineStr">
        <is>
          <t>Latin America &amp; Caribbean</t>
        </is>
      </c>
      <c r="D89" s="6" t="inlineStr">
        <is>
          <t>Upper middle income</t>
        </is>
      </c>
      <c r="E89" s="29" t="n">
        <v>982050</v>
      </c>
      <c r="F89" s="29" t="n">
        <v>1012805</v>
      </c>
      <c r="G89" s="29" t="n">
        <v>1023407</v>
      </c>
      <c r="H89" s="29" t="n">
        <v>981870</v>
      </c>
      <c r="I89" s="29" t="n">
        <v>961641</v>
      </c>
      <c r="J89" s="29" t="n">
        <v>920867</v>
      </c>
      <c r="K89" s="29" t="n">
        <v>896672</v>
      </c>
      <c r="L89" s="29" t="n">
        <v>814354</v>
      </c>
      <c r="M89" s="29" t="n">
        <v>735479</v>
      </c>
      <c r="N89" s="29" t="n">
        <v>667015</v>
      </c>
      <c r="O89" s="29" t="n">
        <v>596412</v>
      </c>
      <c r="P89" s="29" t="n">
        <v>524086</v>
      </c>
      <c r="Q89" s="29" t="n">
        <v>460548</v>
      </c>
      <c r="R89" s="29" t="n">
        <v>371034</v>
      </c>
      <c r="S89" s="29" t="n">
        <v>257363</v>
      </c>
      <c r="T89" s="29" t="n">
        <v>155277</v>
      </c>
      <c r="U89" s="29" t="n">
        <v>159609</v>
      </c>
      <c r="V89" s="29" t="n">
        <v>5794308</v>
      </c>
      <c r="W89" s="29" t="n">
        <v>5726181</v>
      </c>
      <c r="X89" s="30">
        <f>SUM(E89:G89)</f>
        <v/>
      </c>
      <c r="Y89" s="30">
        <f>SUM(H89:I89)</f>
        <v/>
      </c>
      <c r="Z89" s="30">
        <f>SUM(J89:K89)</f>
        <v/>
      </c>
      <c r="AA89" s="30">
        <f>SUM(L89:M89)</f>
        <v/>
      </c>
      <c r="AB89" s="30">
        <f>SUM(N89:O89)</f>
        <v/>
      </c>
      <c r="AC89" s="30">
        <f>SUM(P89:Q89)</f>
        <v/>
      </c>
      <c r="AD89" s="30">
        <f>SUM(R89:U89)</f>
        <v/>
      </c>
      <c r="AE89" s="31">
        <f>SUM(X89:AD89)</f>
        <v/>
      </c>
      <c r="AF89" s="32">
        <f>AE89/SUM($AE$5:$AE$222)</f>
        <v/>
      </c>
      <c r="AG89" s="10">
        <f>RANK(AE89,$AE$5:$AE$222)</f>
        <v/>
      </c>
      <c r="AH89" s="29" t="n">
        <v>11427557</v>
      </c>
      <c r="AI89" s="9">
        <f>IF(AH89&gt;0,AE89/AH89-1,"")</f>
        <v/>
      </c>
      <c r="AJ89" s="29" t="n">
        <v>11059</v>
      </c>
      <c r="AK89" s="19">
        <f>IF(SUM($E89:E89)&gt;=AE89/2,0+5*(AE89/2-0)/E89,IF(SUM($E89:F89)&gt;=AE89/2,5+5*(AE89/2-SUM($E89:E89))/F89,IF(SUM($E89:G89)&gt;=AE89/2,10+5*(AE89/2-SUM($E89:F89))/G89,IF(SUM($E89:H89)&gt;=AE89/2,15+5*(AE89/2-SUM($E89:G89))/H89,IF(SUM($E89:I89)&gt;=AE89/2,20+5*(AE89/2-SUM($E89:H89))/I89,IF(SUM($E89:J89)&gt;=AE89/2,25+5*(AE89/2-SUM($E89:I89))/J89,IF(SUM($E89:K89)&gt;=AE89/2,30+5*(AE89/2-SUM($E89:J89))/K89,IF(SUM($E89:L89)&gt;=AE89/2,35+5*(AE89/2-SUM($E89:K89))/L89,IF(SUM($E89:M89)&gt;=AE89/2,40+5*(AE89/2-SUM($E89:L89))/M89,IF(SUM($E89:N89)&gt;=AE89/2,45+5*(AE89/2-SUM($E89:M89))/N89,IF(SUM($E89:O89)&gt;=AE89/2,50+5*(AE89/2-SUM($E89:N89))/O89,IF(SUM($E89:P89)&gt;=AE89/2,55+5*(AE89/2-SUM($E89:O89))/P89,IF(SUM($E89:Q89)&gt;=AE89/2,60+5*(AE89/2-SUM($E89:P89))/Q89,IF(SUM($E89:R89)&gt;=AE89/2,65+5*(AE89/2-SUM($E89:Q89))/R89,IF(SUM($E89:S89)&gt;=AE89/2,70+5*(AE89/2-SUM($E89:R89))/S89,IF(SUM($E89:T89)&gt;=AE89/2,75+5*(AE89/2-SUM($E89:S89))/T89,""))))))))))))))))</f>
        <v/>
      </c>
      <c r="AL89" s="30">
        <f>SUM(H89:Q89)</f>
        <v/>
      </c>
      <c r="AM89" s="24" t="n">
        <v>0.22</v>
      </c>
      <c r="AN89" s="24" t="n">
        <v>0.258</v>
      </c>
      <c r="AO89" s="33">
        <f>IF(AND(ISNUMBER(AN89),ISNUMBER(AM89)),(AN89-AM89)*100,"")</f>
        <v/>
      </c>
      <c r="AP89" s="30">
        <f>IF(ISNUMBER(AN89),AN89*AL89,"")</f>
        <v/>
      </c>
      <c r="AQ89" s="30">
        <f>IF(ISNUMBER(AN89),AL89,0)</f>
        <v/>
      </c>
      <c r="BB89" s="30">
        <f>IF(BA89="Yes",AX89,0)</f>
        <v/>
      </c>
      <c r="BC89" s="30">
        <f>IF(AND(BA89="Yes",ISNUMBER(AP89)),AP89,0)</f>
        <v/>
      </c>
      <c r="BD89" s="30">
        <f>IF(BA89="Yes",AX89,IF(ISNUMBER(AP89),AP89,0))</f>
        <v/>
      </c>
    </row>
    <row r="90">
      <c r="A90" s="6" t="inlineStr">
        <is>
          <t>ARE</t>
        </is>
      </c>
      <c r="B90" s="6" t="inlineStr">
        <is>
          <t>United Arab Emirates</t>
        </is>
      </c>
      <c r="C90" s="6" t="inlineStr">
        <is>
          <t>Middle East, North Africa, Afghanistan &amp; Pakistan</t>
        </is>
      </c>
      <c r="D90" s="6" t="inlineStr">
        <is>
          <t>High income</t>
        </is>
      </c>
      <c r="E90" s="29" t="n">
        <v>606670</v>
      </c>
      <c r="F90" s="29" t="n">
        <v>633026</v>
      </c>
      <c r="G90" s="29" t="n">
        <v>599806</v>
      </c>
      <c r="H90" s="29" t="n">
        <v>511758</v>
      </c>
      <c r="I90" s="29" t="n">
        <v>951575</v>
      </c>
      <c r="J90" s="29" t="n">
        <v>1530806</v>
      </c>
      <c r="K90" s="29" t="n">
        <v>1775380</v>
      </c>
      <c r="L90" s="29" t="n">
        <v>1623104</v>
      </c>
      <c r="M90" s="29" t="n">
        <v>1116697</v>
      </c>
      <c r="N90" s="29" t="n">
        <v>785794</v>
      </c>
      <c r="O90" s="29" t="n">
        <v>550963</v>
      </c>
      <c r="P90" s="29" t="n">
        <v>381083</v>
      </c>
      <c r="Q90" s="29" t="n">
        <v>240135</v>
      </c>
      <c r="R90" s="29" t="n">
        <v>98616</v>
      </c>
      <c r="S90" s="29" t="n">
        <v>53318</v>
      </c>
      <c r="T90" s="29" t="n">
        <v>34143</v>
      </c>
      <c r="U90" s="29" t="n">
        <v>20274</v>
      </c>
      <c r="V90" s="29" t="n">
        <v>4170935</v>
      </c>
      <c r="W90" s="29" t="n">
        <v>7342213</v>
      </c>
      <c r="X90" s="30">
        <f>SUM(E90:G90)</f>
        <v/>
      </c>
      <c r="Y90" s="30">
        <f>SUM(H90:I90)</f>
        <v/>
      </c>
      <c r="Z90" s="30">
        <f>SUM(J90:K90)</f>
        <v/>
      </c>
      <c r="AA90" s="30">
        <f>SUM(L90:M90)</f>
        <v/>
      </c>
      <c r="AB90" s="30">
        <f>SUM(N90:O90)</f>
        <v/>
      </c>
      <c r="AC90" s="30">
        <f>SUM(P90:Q90)</f>
        <v/>
      </c>
      <c r="AD90" s="30">
        <f>SUM(R90:U90)</f>
        <v/>
      </c>
      <c r="AE90" s="31">
        <f>SUM(X90:AD90)</f>
        <v/>
      </c>
      <c r="AF90" s="32">
        <f>AE90/SUM($AE$5:$AE$222)</f>
        <v/>
      </c>
      <c r="AG90" s="10">
        <f>RANK(AE90,$AE$5:$AE$222)</f>
        <v/>
      </c>
      <c r="AH90" s="29" t="n">
        <v>10986400</v>
      </c>
      <c r="AI90" s="9">
        <f>IF(AH90&gt;0,AE90/AH90-1,"")</f>
        <v/>
      </c>
      <c r="AJ90" s="29" t="n">
        <v>50274</v>
      </c>
      <c r="AK90" s="19">
        <f>IF(SUM($E90:E90)&gt;=AE90/2,0+5*(AE90/2-0)/E90,IF(SUM($E90:F90)&gt;=AE90/2,5+5*(AE90/2-SUM($E90:E90))/F90,IF(SUM($E90:G90)&gt;=AE90/2,10+5*(AE90/2-SUM($E90:F90))/G90,IF(SUM($E90:H90)&gt;=AE90/2,15+5*(AE90/2-SUM($E90:G90))/H90,IF(SUM($E90:I90)&gt;=AE90/2,20+5*(AE90/2-SUM($E90:H90))/I90,IF(SUM($E90:J90)&gt;=AE90/2,25+5*(AE90/2-SUM($E90:I90))/J90,IF(SUM($E90:K90)&gt;=AE90/2,30+5*(AE90/2-SUM($E90:J90))/K90,IF(SUM($E90:L90)&gt;=AE90/2,35+5*(AE90/2-SUM($E90:K90))/L90,IF(SUM($E90:M90)&gt;=AE90/2,40+5*(AE90/2-SUM($E90:L90))/M90,IF(SUM($E90:N90)&gt;=AE90/2,45+5*(AE90/2-SUM($E90:M90))/N90,IF(SUM($E90:O90)&gt;=AE90/2,50+5*(AE90/2-SUM($E90:N90))/O90,IF(SUM($E90:P90)&gt;=AE90/2,55+5*(AE90/2-SUM($E90:O90))/P90,IF(SUM($E90:Q90)&gt;=AE90/2,60+5*(AE90/2-SUM($E90:P90))/Q90,IF(SUM($E90:R90)&gt;=AE90/2,65+5*(AE90/2-SUM($E90:Q90))/R90,IF(SUM($E90:S90)&gt;=AE90/2,70+5*(AE90/2-SUM($E90:R90))/S90,IF(SUM($E90:T90)&gt;=AE90/2,75+5*(AE90/2-SUM($E90:S90))/T90,""))))))))))))))))</f>
        <v/>
      </c>
      <c r="AL90" s="30">
        <f>SUM(H90:Q90)</f>
        <v/>
      </c>
      <c r="AM90" s="24" t="n">
        <v>0.594</v>
      </c>
      <c r="AN90" s="24" t="n">
        <v>0.733</v>
      </c>
      <c r="AO90" s="33">
        <f>IF(AND(ISNUMBER(AN90),ISNUMBER(AM90)),(AN90-AM90)*100,"")</f>
        <v/>
      </c>
      <c r="AP90" s="30">
        <f>IF(ISNUMBER(AN90),AN90*AL90,"")</f>
        <v/>
      </c>
      <c r="AQ90" s="30">
        <f>IF(ISNUMBER(AN90),AL90,0)</f>
        <v/>
      </c>
      <c r="BB90" s="30">
        <f>IF(BA90="Yes",AX90,0)</f>
        <v/>
      </c>
      <c r="BC90" s="30">
        <f>IF(AND(BA90="Yes",ISNUMBER(AP90)),AP90,0)</f>
        <v/>
      </c>
      <c r="BD90" s="30">
        <f>IF(BA90="Yes",AX90,IF(ISNUMBER(AP90),AP90,0))</f>
        <v/>
      </c>
    </row>
    <row r="91">
      <c r="A91" s="6" t="inlineStr">
        <is>
          <t>HND</t>
        </is>
      </c>
      <c r="B91" s="6" t="inlineStr">
        <is>
          <t>Honduras</t>
        </is>
      </c>
      <c r="C91" s="6" t="inlineStr">
        <is>
          <t>Latin America &amp; Caribbean</t>
        </is>
      </c>
      <c r="D91" s="6" t="inlineStr">
        <is>
          <t>Lower middle income</t>
        </is>
      </c>
      <c r="E91" s="29" t="n">
        <v>1147833</v>
      </c>
      <c r="F91" s="29" t="n">
        <v>1109737</v>
      </c>
      <c r="G91" s="29" t="n">
        <v>1073092</v>
      </c>
      <c r="H91" s="29" t="n">
        <v>1062371</v>
      </c>
      <c r="I91" s="29" t="n">
        <v>1060198</v>
      </c>
      <c r="J91" s="29" t="n">
        <v>1004046</v>
      </c>
      <c r="K91" s="29" t="n">
        <v>904866</v>
      </c>
      <c r="L91" s="29" t="n">
        <v>794331</v>
      </c>
      <c r="M91" s="29" t="n">
        <v>696537</v>
      </c>
      <c r="N91" s="29" t="n">
        <v>587905</v>
      </c>
      <c r="O91" s="29" t="n">
        <v>452638</v>
      </c>
      <c r="P91" s="29" t="n">
        <v>345252</v>
      </c>
      <c r="Q91" s="29" t="n">
        <v>267146</v>
      </c>
      <c r="R91" s="29" t="n">
        <v>206298</v>
      </c>
      <c r="S91" s="29" t="n">
        <v>147757</v>
      </c>
      <c r="T91" s="29" t="n">
        <v>85726</v>
      </c>
      <c r="U91" s="29" t="n">
        <v>60116</v>
      </c>
      <c r="V91" s="29" t="n">
        <v>5465964</v>
      </c>
      <c r="W91" s="29" t="n">
        <v>5539885</v>
      </c>
      <c r="X91" s="30">
        <f>SUM(E91:G91)</f>
        <v/>
      </c>
      <c r="Y91" s="30">
        <f>SUM(H91:I91)</f>
        <v/>
      </c>
      <c r="Z91" s="30">
        <f>SUM(J91:K91)</f>
        <v/>
      </c>
      <c r="AA91" s="30">
        <f>SUM(L91:M91)</f>
        <v/>
      </c>
      <c r="AB91" s="30">
        <f>SUM(N91:O91)</f>
        <v/>
      </c>
      <c r="AC91" s="30">
        <f>SUM(P91:Q91)</f>
        <v/>
      </c>
      <c r="AD91" s="30">
        <f>SUM(R91:U91)</f>
        <v/>
      </c>
      <c r="AE91" s="31">
        <f>SUM(X91:AD91)</f>
        <v/>
      </c>
      <c r="AF91" s="32">
        <f>AE91/SUM($AE$5:$AE$222)</f>
        <v/>
      </c>
      <c r="AG91" s="10">
        <f>RANK(AE91,$AE$5:$AE$222)</f>
        <v/>
      </c>
      <c r="AH91" s="29" t="n">
        <v>10825703</v>
      </c>
      <c r="AI91" s="9">
        <f>IF(AH91&gt;0,AE91/AH91-1,"")</f>
        <v/>
      </c>
      <c r="AJ91" s="29" t="n">
        <v>3598</v>
      </c>
      <c r="AK91" s="19">
        <f>IF(SUM($E91:E91)&gt;=AE91/2,0+5*(AE91/2-0)/E91,IF(SUM($E91:F91)&gt;=AE91/2,5+5*(AE91/2-SUM($E91:E91))/F91,IF(SUM($E91:G91)&gt;=AE91/2,10+5*(AE91/2-SUM($E91:F91))/G91,IF(SUM($E91:H91)&gt;=AE91/2,15+5*(AE91/2-SUM($E91:G91))/H91,IF(SUM($E91:I91)&gt;=AE91/2,20+5*(AE91/2-SUM($E91:H91))/I91,IF(SUM($E91:J91)&gt;=AE91/2,25+5*(AE91/2-SUM($E91:I91))/J91,IF(SUM($E91:K91)&gt;=AE91/2,30+5*(AE91/2-SUM($E91:J91))/K91,IF(SUM($E91:L91)&gt;=AE91/2,35+5*(AE91/2-SUM($E91:K91))/L91,IF(SUM($E91:M91)&gt;=AE91/2,40+5*(AE91/2-SUM($E91:L91))/M91,IF(SUM($E91:N91)&gt;=AE91/2,45+5*(AE91/2-SUM($E91:M91))/N91,IF(SUM($E91:O91)&gt;=AE91/2,50+5*(AE91/2-SUM($E91:N91))/O91,IF(SUM($E91:P91)&gt;=AE91/2,55+5*(AE91/2-SUM($E91:O91))/P91,IF(SUM($E91:Q91)&gt;=AE91/2,60+5*(AE91/2-SUM($E91:P91))/Q91,IF(SUM($E91:R91)&gt;=AE91/2,65+5*(AE91/2-SUM($E91:Q91))/R91,IF(SUM($E91:S91)&gt;=AE91/2,70+5*(AE91/2-SUM($E91:R91))/S91,IF(SUM($E91:T91)&gt;=AE91/2,75+5*(AE91/2-SUM($E91:S91))/T91,""))))))))))))))))</f>
        <v/>
      </c>
      <c r="AL91" s="30">
        <f>SUM(H91:Q91)</f>
        <v/>
      </c>
      <c r="AM91" s="24" t="n">
        <v>0.124</v>
      </c>
      <c r="AN91" s="24" t="n">
        <v>0.145</v>
      </c>
      <c r="AO91" s="33">
        <f>IF(AND(ISNUMBER(AN91),ISNUMBER(AM91)),(AN91-AM91)*100,"")</f>
        <v/>
      </c>
      <c r="AP91" s="30">
        <f>IF(ISNUMBER(AN91),AN91*AL91,"")</f>
        <v/>
      </c>
      <c r="AQ91" s="30">
        <f>IF(ISNUMBER(AN91),AL91,0)</f>
        <v/>
      </c>
      <c r="BB91" s="30">
        <f>IF(BA91="Yes",AX91,0)</f>
        <v/>
      </c>
      <c r="BC91" s="30">
        <f>IF(AND(BA91="Yes",ISNUMBER(AP91)),AP91,0)</f>
        <v/>
      </c>
      <c r="BD91" s="30">
        <f>IF(BA91="Yes",AX91,IF(ISNUMBER(AP91),AP91,0))</f>
        <v/>
      </c>
    </row>
    <row r="92">
      <c r="A92" s="6" t="inlineStr">
        <is>
          <t>CUB</t>
        </is>
      </c>
      <c r="B92" s="6" t="inlineStr">
        <is>
          <t>Cuba</t>
        </is>
      </c>
      <c r="C92" s="6" t="inlineStr">
        <is>
          <t>Latin America &amp; Caribbean</t>
        </is>
      </c>
      <c r="D92" s="6" t="inlineStr">
        <is>
          <t>Upper middle income</t>
        </is>
      </c>
      <c r="E92" s="29" t="n">
        <v>474743</v>
      </c>
      <c r="F92" s="29" t="n">
        <v>552547</v>
      </c>
      <c r="G92" s="29" t="n">
        <v>615889</v>
      </c>
      <c r="H92" s="29" t="n">
        <v>585100</v>
      </c>
      <c r="I92" s="29" t="n">
        <v>637936</v>
      </c>
      <c r="J92" s="29" t="n">
        <v>670605</v>
      </c>
      <c r="K92" s="29" t="n">
        <v>703420</v>
      </c>
      <c r="L92" s="29" t="n">
        <v>783460</v>
      </c>
      <c r="M92" s="29" t="n">
        <v>662237</v>
      </c>
      <c r="N92" s="29" t="n">
        <v>653549</v>
      </c>
      <c r="O92" s="29" t="n">
        <v>912438</v>
      </c>
      <c r="P92" s="29" t="n">
        <v>953300</v>
      </c>
      <c r="Q92" s="29" t="n">
        <v>868824</v>
      </c>
      <c r="R92" s="29" t="n">
        <v>561886</v>
      </c>
      <c r="S92" s="29" t="n">
        <v>470872</v>
      </c>
      <c r="T92" s="29" t="n">
        <v>366652</v>
      </c>
      <c r="U92" s="29" t="n">
        <v>463740</v>
      </c>
      <c r="V92" s="29" t="n">
        <v>5543233</v>
      </c>
      <c r="W92" s="29" t="n">
        <v>5393965</v>
      </c>
      <c r="X92" s="30">
        <f>SUM(E92:G92)</f>
        <v/>
      </c>
      <c r="Y92" s="30">
        <f>SUM(H92:I92)</f>
        <v/>
      </c>
      <c r="Z92" s="30">
        <f>SUM(J92:K92)</f>
        <v/>
      </c>
      <c r="AA92" s="30">
        <f>SUM(L92:M92)</f>
        <v/>
      </c>
      <c r="AB92" s="30">
        <f>SUM(N92:O92)</f>
        <v/>
      </c>
      <c r="AC92" s="30">
        <f>SUM(P92:Q92)</f>
        <v/>
      </c>
      <c r="AD92" s="30">
        <f>SUM(R92:U92)</f>
        <v/>
      </c>
      <c r="AE92" s="31">
        <f>SUM(X92:AD92)</f>
        <v/>
      </c>
      <c r="AF92" s="32">
        <f>AE92/SUM($AE$5:$AE$222)</f>
        <v/>
      </c>
      <c r="AG92" s="10">
        <f>RANK(AE92,$AE$5:$AE$222)</f>
        <v/>
      </c>
      <c r="AH92" s="29" t="n">
        <v>10979783</v>
      </c>
      <c r="AI92" s="9">
        <f>IF(AH92&gt;0,AE92/AH92-1,"")</f>
        <v/>
      </c>
      <c r="AJ92" s="35" t="n"/>
      <c r="AK92" s="19">
        <f>IF(SUM($E92:E92)&gt;=AE92/2,0+5*(AE92/2-0)/E92,IF(SUM($E92:F92)&gt;=AE92/2,5+5*(AE92/2-SUM($E92:E92))/F92,IF(SUM($E92:G92)&gt;=AE92/2,10+5*(AE92/2-SUM($E92:F92))/G92,IF(SUM($E92:H92)&gt;=AE92/2,15+5*(AE92/2-SUM($E92:G92))/H92,IF(SUM($E92:I92)&gt;=AE92/2,20+5*(AE92/2-SUM($E92:H92))/I92,IF(SUM($E92:J92)&gt;=AE92/2,25+5*(AE92/2-SUM($E92:I92))/J92,IF(SUM($E92:K92)&gt;=AE92/2,30+5*(AE92/2-SUM($E92:J92))/K92,IF(SUM($E92:L92)&gt;=AE92/2,35+5*(AE92/2-SUM($E92:K92))/L92,IF(SUM($E92:M92)&gt;=AE92/2,40+5*(AE92/2-SUM($E92:L92))/M92,IF(SUM($E92:N92)&gt;=AE92/2,45+5*(AE92/2-SUM($E92:M92))/N92,IF(SUM($E92:O92)&gt;=AE92/2,50+5*(AE92/2-SUM($E92:N92))/O92,IF(SUM($E92:P92)&gt;=AE92/2,55+5*(AE92/2-SUM($E92:O92))/P92,IF(SUM($E92:Q92)&gt;=AE92/2,60+5*(AE92/2-SUM($E92:P92))/Q92,IF(SUM($E92:R92)&gt;=AE92/2,65+5*(AE92/2-SUM($E92:Q92))/R92,IF(SUM($E92:S92)&gt;=AE92/2,70+5*(AE92/2-SUM($E92:R92))/S92,IF(SUM($E92:T92)&gt;=AE92/2,75+5*(AE92/2-SUM($E92:S92))/T92,""))))))))))))))))</f>
        <v/>
      </c>
      <c r="AL92" s="30">
        <f>SUM(H92:Q92)</f>
        <v/>
      </c>
      <c r="AM92" s="24" t="n">
        <v>0.057</v>
      </c>
      <c r="AN92" s="24" t="n">
        <v>0.068</v>
      </c>
      <c r="AO92" s="33">
        <f>IF(AND(ISNUMBER(AN92),ISNUMBER(AM92)),(AN92-AM92)*100,"")</f>
        <v/>
      </c>
      <c r="AP92" s="30">
        <f>IF(ISNUMBER(AN92),AN92*AL92,"")</f>
        <v/>
      </c>
      <c r="AQ92" s="30">
        <f>IF(ISNUMBER(AN92),AL92,0)</f>
        <v/>
      </c>
      <c r="BB92" s="30">
        <f>IF(BA92="Yes",AX92,0)</f>
        <v/>
      </c>
      <c r="BC92" s="30">
        <f>IF(AND(BA92="Yes",ISNUMBER(AP92)),AP92,0)</f>
        <v/>
      </c>
      <c r="BD92" s="30">
        <f>IF(BA92="Yes",AX92,IF(ISNUMBER(AP92),AP92,0))</f>
        <v/>
      </c>
    </row>
    <row r="93">
      <c r="A93" s="6" t="inlineStr">
        <is>
          <t>CZE</t>
        </is>
      </c>
      <c r="B93" s="6" t="inlineStr">
        <is>
          <t>Czechia</t>
        </is>
      </c>
      <c r="C93" s="6" t="inlineStr">
        <is>
          <t>Europe &amp; Central Asia</t>
        </is>
      </c>
      <c r="D93" s="6" t="inlineStr">
        <is>
          <t>High income</t>
        </is>
      </c>
      <c r="E93" s="29" t="n">
        <v>496918</v>
      </c>
      <c r="F93" s="29" t="n">
        <v>578911</v>
      </c>
      <c r="G93" s="29" t="n">
        <v>566532</v>
      </c>
      <c r="H93" s="29" t="n">
        <v>602112</v>
      </c>
      <c r="I93" s="29" t="n">
        <v>545712</v>
      </c>
      <c r="J93" s="29" t="n">
        <v>528544</v>
      </c>
      <c r="K93" s="29" t="n">
        <v>669909</v>
      </c>
      <c r="L93" s="29" t="n">
        <v>728449</v>
      </c>
      <c r="M93" s="29" t="n">
        <v>757796</v>
      </c>
      <c r="N93" s="29" t="n">
        <v>910439</v>
      </c>
      <c r="O93" s="29" t="n">
        <v>863132</v>
      </c>
      <c r="P93" s="29" t="n">
        <v>685357</v>
      </c>
      <c r="Q93" s="29" t="n">
        <v>647220</v>
      </c>
      <c r="R93" s="29" t="n">
        <v>608507</v>
      </c>
      <c r="S93" s="29" t="n">
        <v>621791</v>
      </c>
      <c r="T93" s="29" t="n">
        <v>531338</v>
      </c>
      <c r="U93" s="29" t="n">
        <v>544213</v>
      </c>
      <c r="V93" s="29" t="n">
        <v>5517652</v>
      </c>
      <c r="W93" s="29" t="n">
        <v>5369228</v>
      </c>
      <c r="X93" s="30">
        <f>SUM(E93:G93)</f>
        <v/>
      </c>
      <c r="Y93" s="30">
        <f>SUM(H93:I93)</f>
        <v/>
      </c>
      <c r="Z93" s="30">
        <f>SUM(J93:K93)</f>
        <v/>
      </c>
      <c r="AA93" s="30">
        <f>SUM(L93:M93)</f>
        <v/>
      </c>
      <c r="AB93" s="30">
        <f>SUM(N93:O93)</f>
        <v/>
      </c>
      <c r="AC93" s="30">
        <f>SUM(P93:Q93)</f>
        <v/>
      </c>
      <c r="AD93" s="30">
        <f>SUM(R93:U93)</f>
        <v/>
      </c>
      <c r="AE93" s="31">
        <f>SUM(X93:AD93)</f>
        <v/>
      </c>
      <c r="AF93" s="32">
        <f>AE93/SUM($AE$5:$AE$222)</f>
        <v/>
      </c>
      <c r="AG93" s="10">
        <f>RANK(AE93,$AE$5:$AE$222)</f>
        <v/>
      </c>
      <c r="AH93" s="29" t="n">
        <v>10905028</v>
      </c>
      <c r="AI93" s="9">
        <f>IF(AH93&gt;0,AE93/AH93-1,"")</f>
        <v/>
      </c>
      <c r="AJ93" s="29" t="n">
        <v>35917</v>
      </c>
      <c r="AK93" s="19">
        <f>IF(SUM($E93:E93)&gt;=AE93/2,0+5*(AE93/2-0)/E93,IF(SUM($E93:F93)&gt;=AE93/2,5+5*(AE93/2-SUM($E93:E93))/F93,IF(SUM($E93:G93)&gt;=AE93/2,10+5*(AE93/2-SUM($E93:F93))/G93,IF(SUM($E93:H93)&gt;=AE93/2,15+5*(AE93/2-SUM($E93:G93))/H93,IF(SUM($E93:I93)&gt;=AE93/2,20+5*(AE93/2-SUM($E93:H93))/I93,IF(SUM($E93:J93)&gt;=AE93/2,25+5*(AE93/2-SUM($E93:I93))/J93,IF(SUM($E93:K93)&gt;=AE93/2,30+5*(AE93/2-SUM($E93:J93))/K93,IF(SUM($E93:L93)&gt;=AE93/2,35+5*(AE93/2-SUM($E93:K93))/L93,IF(SUM($E93:M93)&gt;=AE93/2,40+5*(AE93/2-SUM($E93:L93))/M93,IF(SUM($E93:N93)&gt;=AE93/2,45+5*(AE93/2-SUM($E93:M93))/N93,IF(SUM($E93:O93)&gt;=AE93/2,50+5*(AE93/2-SUM($E93:N93))/O93,IF(SUM($E93:P93)&gt;=AE93/2,55+5*(AE93/2-SUM($E93:O93))/P93,IF(SUM($E93:Q93)&gt;=AE93/2,60+5*(AE93/2-SUM($E93:P93))/Q93,IF(SUM($E93:R93)&gt;=AE93/2,65+5*(AE93/2-SUM($E93:Q93))/R93,IF(SUM($E93:S93)&gt;=AE93/2,70+5*(AE93/2-SUM($E93:R93))/S93,IF(SUM($E93:T93)&gt;=AE93/2,75+5*(AE93/2-SUM($E93:S93))/T93,""))))))))))))))))</f>
        <v/>
      </c>
      <c r="AL93" s="30">
        <f>SUM(H93:Q93)</f>
        <v/>
      </c>
      <c r="AM93" s="24" t="n">
        <v>0.26</v>
      </c>
      <c r="AN93" s="24" t="n">
        <v>0.312</v>
      </c>
      <c r="AO93" s="33">
        <f>IF(AND(ISNUMBER(AN93),ISNUMBER(AM93)),(AN93-AM93)*100,"")</f>
        <v/>
      </c>
      <c r="AP93" s="30">
        <f>IF(ISNUMBER(AN93),AN93*AL93,"")</f>
        <v/>
      </c>
      <c r="AQ93" s="30">
        <f>IF(ISNUMBER(AN93),AL93,0)</f>
        <v/>
      </c>
      <c r="AR93" s="24" t="n">
        <v>0.3535</v>
      </c>
      <c r="AS93" s="6" t="inlineStr">
        <is>
          <t>population</t>
        </is>
      </c>
      <c r="AT93" s="6" t="inlineStr">
        <is>
          <t>16-74</t>
        </is>
      </c>
      <c r="AU93" s="24" t="n">
        <v>1</v>
      </c>
      <c r="AV93" s="30">
        <f>H93*0.8+I93+J93+K93+L93+M93+N93+O93+P93+Q93+R93+S93</f>
        <v/>
      </c>
      <c r="AX93" s="30">
        <f>IF(ISNUMBER(AW93),AW93,AR93*AU93*AV93)</f>
        <v/>
      </c>
      <c r="AY93" s="34">
        <f>AX93/AV93</f>
        <v/>
      </c>
      <c r="AZ93" s="6" t="inlineStr">
        <is>
          <t>A</t>
        </is>
      </c>
      <c r="BA93" s="6" t="inlineStr">
        <is>
          <t>Yes</t>
        </is>
      </c>
      <c r="BB93" s="30">
        <f>IF(BA93="Yes",AX93,0)</f>
        <v/>
      </c>
      <c r="BC93" s="30">
        <f>IF(AND(BA93="Yes",ISNUMBER(AP93)),AP93,0)</f>
        <v/>
      </c>
      <c r="BD93" s="30">
        <f>IF(BA93="Yes",AX93,IF(ISNUMBER(AP93),AP93,0))</f>
        <v/>
      </c>
      <c r="BE93" s="6" t="inlineStr">
        <is>
          <t>Used generative AI tools in the last 3 months</t>
        </is>
      </c>
      <c r="BF93" s="6" t="inlineStr">
        <is>
          <t>2025 survey (Q2, most countries)</t>
        </is>
      </c>
      <c r="BG93" s="6" t="inlineStr">
        <is>
          <t>Eurostat: ICT usage in households and by individuals 2025, dataset isoc_ai_iaiu</t>
        </is>
      </c>
      <c r="BH93" s="6" t="inlineStr">
        <is>
          <t>https://ec.europa.eu/eurostat/databrowser/view/isoc_ai_iaiu/default/table</t>
        </is>
      </c>
    </row>
    <row r="94">
      <c r="A94" s="6" t="inlineStr">
        <is>
          <t>PRT</t>
        </is>
      </c>
      <c r="B94" s="6" t="inlineStr">
        <is>
          <t>Portugal</t>
        </is>
      </c>
      <c r="C94" s="6" t="inlineStr">
        <is>
          <t>Europe &amp; Central Asia</t>
        </is>
      </c>
      <c r="D94" s="6" t="inlineStr">
        <is>
          <t>High income</t>
        </is>
      </c>
      <c r="E94" s="29" t="n">
        <v>442159</v>
      </c>
      <c r="F94" s="29" t="n">
        <v>459267</v>
      </c>
      <c r="G94" s="29" t="n">
        <v>472305</v>
      </c>
      <c r="H94" s="29" t="n">
        <v>536082</v>
      </c>
      <c r="I94" s="29" t="n">
        <v>583588</v>
      </c>
      <c r="J94" s="29" t="n">
        <v>584161</v>
      </c>
      <c r="K94" s="29" t="n">
        <v>574347</v>
      </c>
      <c r="L94" s="29" t="n">
        <v>596107</v>
      </c>
      <c r="M94" s="29" t="n">
        <v>699620</v>
      </c>
      <c r="N94" s="29" t="n">
        <v>810601</v>
      </c>
      <c r="O94" s="29" t="n">
        <v>821179</v>
      </c>
      <c r="P94" s="29" t="n">
        <v>770292</v>
      </c>
      <c r="Q94" s="29" t="n">
        <v>760146</v>
      </c>
      <c r="R94" s="29" t="n">
        <v>709066</v>
      </c>
      <c r="S94" s="29" t="n">
        <v>643915</v>
      </c>
      <c r="T94" s="29" t="n">
        <v>551940</v>
      </c>
      <c r="U94" s="29" t="n">
        <v>790096</v>
      </c>
      <c r="V94" s="29" t="n">
        <v>5659013</v>
      </c>
      <c r="W94" s="29" t="n">
        <v>5145858</v>
      </c>
      <c r="X94" s="30">
        <f>SUM(E94:G94)</f>
        <v/>
      </c>
      <c r="Y94" s="30">
        <f>SUM(H94:I94)</f>
        <v/>
      </c>
      <c r="Z94" s="30">
        <f>SUM(J94:K94)</f>
        <v/>
      </c>
      <c r="AA94" s="30">
        <f>SUM(L94:M94)</f>
        <v/>
      </c>
      <c r="AB94" s="30">
        <f>SUM(N94:O94)</f>
        <v/>
      </c>
      <c r="AC94" s="30">
        <f>SUM(P94:Q94)</f>
        <v/>
      </c>
      <c r="AD94" s="30">
        <f>SUM(R94:U94)</f>
        <v/>
      </c>
      <c r="AE94" s="31">
        <f>SUM(X94:AD94)</f>
        <v/>
      </c>
      <c r="AF94" s="32">
        <f>AE94/SUM($AE$5:$AE$222)</f>
        <v/>
      </c>
      <c r="AG94" s="10">
        <f>RANK(AE94,$AE$5:$AE$222)</f>
        <v/>
      </c>
      <c r="AH94" s="29" t="n">
        <v>10694681</v>
      </c>
      <c r="AI94" s="9">
        <f>IF(AH94&gt;0,AE94/AH94-1,"")</f>
        <v/>
      </c>
      <c r="AJ94" s="29" t="n">
        <v>32082</v>
      </c>
      <c r="AK94" s="19">
        <f>IF(SUM($E94:E94)&gt;=AE94/2,0+5*(AE94/2-0)/E94,IF(SUM($E94:F94)&gt;=AE94/2,5+5*(AE94/2-SUM($E94:E94))/F94,IF(SUM($E94:G94)&gt;=AE94/2,10+5*(AE94/2-SUM($E94:F94))/G94,IF(SUM($E94:H94)&gt;=AE94/2,15+5*(AE94/2-SUM($E94:G94))/H94,IF(SUM($E94:I94)&gt;=AE94/2,20+5*(AE94/2-SUM($E94:H94))/I94,IF(SUM($E94:J94)&gt;=AE94/2,25+5*(AE94/2-SUM($E94:I94))/J94,IF(SUM($E94:K94)&gt;=AE94/2,30+5*(AE94/2-SUM($E94:J94))/K94,IF(SUM($E94:L94)&gt;=AE94/2,35+5*(AE94/2-SUM($E94:K94))/L94,IF(SUM($E94:M94)&gt;=AE94/2,40+5*(AE94/2-SUM($E94:L94))/M94,IF(SUM($E94:N94)&gt;=AE94/2,45+5*(AE94/2-SUM($E94:M94))/N94,IF(SUM($E94:O94)&gt;=AE94/2,50+5*(AE94/2-SUM($E94:N94))/O94,IF(SUM($E94:P94)&gt;=AE94/2,55+5*(AE94/2-SUM($E94:O94))/P94,IF(SUM($E94:Q94)&gt;=AE94/2,60+5*(AE94/2-SUM($E94:P94))/Q94,IF(SUM($E94:R94)&gt;=AE94/2,65+5*(AE94/2-SUM($E94:Q94))/R94,IF(SUM($E94:S94)&gt;=AE94/2,70+5*(AE94/2-SUM($E94:R94))/S94,IF(SUM($E94:T94)&gt;=AE94/2,75+5*(AE94/2-SUM($E94:S94))/T94,""))))))))))))))))</f>
        <v/>
      </c>
      <c r="AL94" s="30">
        <f>SUM(H94:Q94)</f>
        <v/>
      </c>
      <c r="AM94" s="24" t="n">
        <v>0.224</v>
      </c>
      <c r="AN94" s="24" t="n">
        <v>0.274</v>
      </c>
      <c r="AO94" s="33">
        <f>IF(AND(ISNUMBER(AN94),ISNUMBER(AM94)),(AN94-AM94)*100,"")</f>
        <v/>
      </c>
      <c r="AP94" s="30">
        <f>IF(ISNUMBER(AN94),AN94*AL94,"")</f>
        <v/>
      </c>
      <c r="AQ94" s="30">
        <f>IF(ISNUMBER(AN94),AL94,0)</f>
        <v/>
      </c>
      <c r="AR94" s="24" t="n">
        <v>0.387</v>
      </c>
      <c r="AS94" s="6" t="inlineStr">
        <is>
          <t>population</t>
        </is>
      </c>
      <c r="AT94" s="6" t="inlineStr">
        <is>
          <t>16-74</t>
        </is>
      </c>
      <c r="AU94" s="24" t="n">
        <v>1</v>
      </c>
      <c r="AV94" s="30">
        <f>H94*0.8+I94+J94+K94+L94+M94+N94+O94+P94+Q94+R94+S94</f>
        <v/>
      </c>
      <c r="AX94" s="30">
        <f>IF(ISNUMBER(AW94),AW94,AR94*AU94*AV94)</f>
        <v/>
      </c>
      <c r="AY94" s="34">
        <f>AX94/AV94</f>
        <v/>
      </c>
      <c r="AZ94" s="6" t="inlineStr">
        <is>
          <t>A</t>
        </is>
      </c>
      <c r="BA94" s="6" t="inlineStr">
        <is>
          <t>Yes</t>
        </is>
      </c>
      <c r="BB94" s="30">
        <f>IF(BA94="Yes",AX94,0)</f>
        <v/>
      </c>
      <c r="BC94" s="30">
        <f>IF(AND(BA94="Yes",ISNUMBER(AP94)),AP94,0)</f>
        <v/>
      </c>
      <c r="BD94" s="30">
        <f>IF(BA94="Yes",AX94,IF(ISNUMBER(AP94),AP94,0))</f>
        <v/>
      </c>
      <c r="BE94" s="6" t="inlineStr">
        <is>
          <t>Used generative AI tools in the last 3 months</t>
        </is>
      </c>
      <c r="BF94" s="6" t="inlineStr">
        <is>
          <t>2025 survey (Q2, most countries)</t>
        </is>
      </c>
      <c r="BG94" s="6" t="inlineStr">
        <is>
          <t>Eurostat: ICT usage in households and by individuals 2025, dataset isoc_ai_iaiu</t>
        </is>
      </c>
      <c r="BH94" s="6" t="inlineStr">
        <is>
          <t>https://ec.europa.eu/eurostat/databrowser/view/isoc_ai_iaiu/default/table</t>
        </is>
      </c>
    </row>
    <row r="95">
      <c r="A95" s="6" t="inlineStr">
        <is>
          <t>TJK</t>
        </is>
      </c>
      <c r="B95" s="6" t="inlineStr">
        <is>
          <t>Tajikistan</t>
        </is>
      </c>
      <c r="C95" s="6" t="inlineStr">
        <is>
          <t>Europe &amp; Central Asia</t>
        </is>
      </c>
      <c r="D95" s="6" t="inlineStr">
        <is>
          <t>Lower middle income</t>
        </is>
      </c>
      <c r="E95" s="29" t="n">
        <v>1321888</v>
      </c>
      <c r="F95" s="29" t="n">
        <v>1316029</v>
      </c>
      <c r="G95" s="29" t="n">
        <v>1230972</v>
      </c>
      <c r="H95" s="29" t="n">
        <v>985435</v>
      </c>
      <c r="I95" s="29" t="n">
        <v>853867</v>
      </c>
      <c r="J95" s="29" t="n">
        <v>887204</v>
      </c>
      <c r="K95" s="29" t="n">
        <v>826510</v>
      </c>
      <c r="L95" s="29" t="n">
        <v>777395</v>
      </c>
      <c r="M95" s="29" t="n">
        <v>600876</v>
      </c>
      <c r="N95" s="29" t="n">
        <v>472388</v>
      </c>
      <c r="O95" s="29" t="n">
        <v>405409</v>
      </c>
      <c r="P95" s="29" t="n">
        <v>359283</v>
      </c>
      <c r="Q95" s="29" t="n">
        <v>310698</v>
      </c>
      <c r="R95" s="29" t="n">
        <v>217347</v>
      </c>
      <c r="S95" s="29" t="n">
        <v>121413</v>
      </c>
      <c r="T95" s="29" t="n">
        <v>56071</v>
      </c>
      <c r="U95" s="29" t="n">
        <v>43957</v>
      </c>
      <c r="V95" s="29" t="n">
        <v>5482660</v>
      </c>
      <c r="W95" s="29" t="n">
        <v>5304082</v>
      </c>
      <c r="X95" s="30">
        <f>SUM(E95:G95)</f>
        <v/>
      </c>
      <c r="Y95" s="30">
        <f>SUM(H95:I95)</f>
        <v/>
      </c>
      <c r="Z95" s="30">
        <f>SUM(J95:K95)</f>
        <v/>
      </c>
      <c r="AA95" s="30">
        <f>SUM(L95:M95)</f>
        <v/>
      </c>
      <c r="AB95" s="30">
        <f>SUM(N95:O95)</f>
        <v/>
      </c>
      <c r="AC95" s="30">
        <f>SUM(P95:Q95)</f>
        <v/>
      </c>
      <c r="AD95" s="30">
        <f>SUM(R95:U95)</f>
        <v/>
      </c>
      <c r="AE95" s="31">
        <f>SUM(X95:AD95)</f>
        <v/>
      </c>
      <c r="AF95" s="32">
        <f>AE95/SUM($AE$5:$AE$222)</f>
        <v/>
      </c>
      <c r="AG95" s="10">
        <f>RANK(AE95,$AE$5:$AE$222)</f>
        <v/>
      </c>
      <c r="AH95" s="29" t="n">
        <v>10590927</v>
      </c>
      <c r="AI95" s="9">
        <f>IF(AH95&gt;0,AE95/AH95-1,"")</f>
        <v/>
      </c>
      <c r="AJ95" s="29" t="n">
        <v>1637</v>
      </c>
      <c r="AK95" s="19">
        <f>IF(SUM($E95:E95)&gt;=AE95/2,0+5*(AE95/2-0)/E95,IF(SUM($E95:F95)&gt;=AE95/2,5+5*(AE95/2-SUM($E95:E95))/F95,IF(SUM($E95:G95)&gt;=AE95/2,10+5*(AE95/2-SUM($E95:F95))/G95,IF(SUM($E95:H95)&gt;=AE95/2,15+5*(AE95/2-SUM($E95:G95))/H95,IF(SUM($E95:I95)&gt;=AE95/2,20+5*(AE95/2-SUM($E95:H95))/I95,IF(SUM($E95:J95)&gt;=AE95/2,25+5*(AE95/2-SUM($E95:I95))/J95,IF(SUM($E95:K95)&gt;=AE95/2,30+5*(AE95/2-SUM($E95:J95))/K95,IF(SUM($E95:L95)&gt;=AE95/2,35+5*(AE95/2-SUM($E95:K95))/L95,IF(SUM($E95:M95)&gt;=AE95/2,40+5*(AE95/2-SUM($E95:L95))/M95,IF(SUM($E95:N95)&gt;=AE95/2,45+5*(AE95/2-SUM($E95:M95))/N95,IF(SUM($E95:O95)&gt;=AE95/2,50+5*(AE95/2-SUM($E95:N95))/O95,IF(SUM($E95:P95)&gt;=AE95/2,55+5*(AE95/2-SUM($E95:O95))/P95,IF(SUM($E95:Q95)&gt;=AE95/2,60+5*(AE95/2-SUM($E95:P95))/Q95,IF(SUM($E95:R95)&gt;=AE95/2,65+5*(AE95/2-SUM($E95:Q95))/R95,IF(SUM($E95:S95)&gt;=AE95/2,70+5*(AE95/2-SUM($E95:R95))/S95,IF(SUM($E95:T95)&gt;=AE95/2,75+5*(AE95/2-SUM($E95:S95))/T95,""))))))))))))))))</f>
        <v/>
      </c>
      <c r="AL95" s="30">
        <f>SUM(H95:Q95)</f>
        <v/>
      </c>
      <c r="AM95" s="24" t="n">
        <v>0.051</v>
      </c>
      <c r="AN95" s="24" t="n">
        <v>0.063</v>
      </c>
      <c r="AO95" s="33">
        <f>IF(AND(ISNUMBER(AN95),ISNUMBER(AM95)),(AN95-AM95)*100,"")</f>
        <v/>
      </c>
      <c r="AP95" s="30">
        <f>IF(ISNUMBER(AN95),AN95*AL95,"")</f>
        <v/>
      </c>
      <c r="AQ95" s="30">
        <f>IF(ISNUMBER(AN95),AL95,0)</f>
        <v/>
      </c>
      <c r="BB95" s="30">
        <f>IF(BA95="Yes",AX95,0)</f>
        <v/>
      </c>
      <c r="BC95" s="30">
        <f>IF(AND(BA95="Yes",ISNUMBER(AP95)),AP95,0)</f>
        <v/>
      </c>
      <c r="BD95" s="30">
        <f>IF(BA95="Yes",AX95,IF(ISNUMBER(AP95),AP95,0))</f>
        <v/>
      </c>
    </row>
    <row r="96">
      <c r="A96" s="6" t="inlineStr">
        <is>
          <t>PNG</t>
        </is>
      </c>
      <c r="B96" s="6" t="inlineStr">
        <is>
          <t>Papua New Guinea</t>
        </is>
      </c>
      <c r="C96" s="6" t="inlineStr">
        <is>
          <t>East Asia &amp; Pacific</t>
        </is>
      </c>
      <c r="D96" s="6" t="inlineStr">
        <is>
          <t>Lower middle income</t>
        </is>
      </c>
      <c r="E96" s="29" t="n">
        <v>1236334</v>
      </c>
      <c r="F96" s="29" t="n">
        <v>1194056</v>
      </c>
      <c r="G96" s="29" t="n">
        <v>1137009</v>
      </c>
      <c r="H96" s="29" t="n">
        <v>1059470</v>
      </c>
      <c r="I96" s="29" t="n">
        <v>986267</v>
      </c>
      <c r="J96" s="29" t="n">
        <v>906161</v>
      </c>
      <c r="K96" s="29" t="n">
        <v>831758</v>
      </c>
      <c r="L96" s="29" t="n">
        <v>750874</v>
      </c>
      <c r="M96" s="29" t="n">
        <v>640775</v>
      </c>
      <c r="N96" s="29" t="n">
        <v>546892</v>
      </c>
      <c r="O96" s="29" t="n">
        <v>453419</v>
      </c>
      <c r="P96" s="29" t="n">
        <v>360623</v>
      </c>
      <c r="Q96" s="29" t="n">
        <v>273001</v>
      </c>
      <c r="R96" s="29" t="n">
        <v>181613</v>
      </c>
      <c r="S96" s="29" t="n">
        <v>108520</v>
      </c>
      <c r="T96" s="29" t="n">
        <v>58254</v>
      </c>
      <c r="U96" s="29" t="n">
        <v>37792</v>
      </c>
      <c r="V96" s="29" t="n">
        <v>5232622</v>
      </c>
      <c r="W96" s="29" t="n">
        <v>5530196</v>
      </c>
      <c r="X96" s="30">
        <f>SUM(E96:G96)</f>
        <v/>
      </c>
      <c r="Y96" s="30">
        <f>SUM(H96:I96)</f>
        <v/>
      </c>
      <c r="Z96" s="30">
        <f>SUM(J96:K96)</f>
        <v/>
      </c>
      <c r="AA96" s="30">
        <f>SUM(L96:M96)</f>
        <v/>
      </c>
      <c r="AB96" s="30">
        <f>SUM(N96:O96)</f>
        <v/>
      </c>
      <c r="AC96" s="30">
        <f>SUM(P96:Q96)</f>
        <v/>
      </c>
      <c r="AD96" s="30">
        <f>SUM(R96:U96)</f>
        <v/>
      </c>
      <c r="AE96" s="31">
        <f>SUM(X96:AD96)</f>
        <v/>
      </c>
      <c r="AF96" s="32">
        <f>AE96/SUM($AE$5:$AE$222)</f>
        <v/>
      </c>
      <c r="AG96" s="10">
        <f>RANK(AE96,$AE$5:$AE$222)</f>
        <v/>
      </c>
      <c r="AH96" s="29" t="n">
        <v>10576502</v>
      </c>
      <c r="AI96" s="9">
        <f>IF(AH96&gt;0,AE96/AH96-1,"")</f>
        <v/>
      </c>
      <c r="AJ96" s="29" t="n">
        <v>3020</v>
      </c>
      <c r="AK96" s="19">
        <f>IF(SUM($E96:E96)&gt;=AE96/2,0+5*(AE96/2-0)/E96,IF(SUM($E96:F96)&gt;=AE96/2,5+5*(AE96/2-SUM($E96:E96))/F96,IF(SUM($E96:G96)&gt;=AE96/2,10+5*(AE96/2-SUM($E96:F96))/G96,IF(SUM($E96:H96)&gt;=AE96/2,15+5*(AE96/2-SUM($E96:G96))/H96,IF(SUM($E96:I96)&gt;=AE96/2,20+5*(AE96/2-SUM($E96:H96))/I96,IF(SUM($E96:J96)&gt;=AE96/2,25+5*(AE96/2-SUM($E96:I96))/J96,IF(SUM($E96:K96)&gt;=AE96/2,30+5*(AE96/2-SUM($E96:J96))/K96,IF(SUM($E96:L96)&gt;=AE96/2,35+5*(AE96/2-SUM($E96:K96))/L96,IF(SUM($E96:M96)&gt;=AE96/2,40+5*(AE96/2-SUM($E96:L96))/M96,IF(SUM($E96:N96)&gt;=AE96/2,45+5*(AE96/2-SUM($E96:M96))/N96,IF(SUM($E96:O96)&gt;=AE96/2,50+5*(AE96/2-SUM($E96:N96))/O96,IF(SUM($E96:P96)&gt;=AE96/2,55+5*(AE96/2-SUM($E96:O96))/P96,IF(SUM($E96:Q96)&gt;=AE96/2,60+5*(AE96/2-SUM($E96:P96))/Q96,IF(SUM($E96:R96)&gt;=AE96/2,65+5*(AE96/2-SUM($E96:Q96))/R96,IF(SUM($E96:S96)&gt;=AE96/2,70+5*(AE96/2-SUM($E96:R96))/S96,IF(SUM($E96:T96)&gt;=AE96/2,75+5*(AE96/2-SUM($E96:S96))/T96,""))))))))))))))))</f>
        <v/>
      </c>
      <c r="AL96" s="30">
        <f>SUM(H96:Q96)</f>
        <v/>
      </c>
      <c r="AM96" s="24" t="n">
        <v>0.07200000000000001</v>
      </c>
      <c r="AN96" s="24" t="n">
        <v>0.076</v>
      </c>
      <c r="AO96" s="33">
        <f>IF(AND(ISNUMBER(AN96),ISNUMBER(AM96)),(AN96-AM96)*100,"")</f>
        <v/>
      </c>
      <c r="AP96" s="30">
        <f>IF(ISNUMBER(AN96),AN96*AL96,"")</f>
        <v/>
      </c>
      <c r="AQ96" s="30">
        <f>IF(ISNUMBER(AN96),AL96,0)</f>
        <v/>
      </c>
      <c r="BB96" s="30">
        <f>IF(BA96="Yes",AX96,0)</f>
        <v/>
      </c>
      <c r="BC96" s="30">
        <f>IF(AND(BA96="Yes",ISNUMBER(AP96)),AP96,0)</f>
        <v/>
      </c>
      <c r="BD96" s="30">
        <f>IF(BA96="Yes",AX96,IF(ISNUMBER(AP96),AP96,0))</f>
        <v/>
      </c>
    </row>
    <row r="97">
      <c r="A97" s="6" t="inlineStr">
        <is>
          <t>SWE</t>
        </is>
      </c>
      <c r="B97" s="6" t="inlineStr">
        <is>
          <t>Sweden</t>
        </is>
      </c>
      <c r="C97" s="6" t="inlineStr">
        <is>
          <t>Europe &amp; Central Asia</t>
        </is>
      </c>
      <c r="D97" s="6" t="inlineStr">
        <is>
          <t>High income</t>
        </is>
      </c>
      <c r="E97" s="29" t="n">
        <v>528948</v>
      </c>
      <c r="F97" s="29" t="n">
        <v>610979</v>
      </c>
      <c r="G97" s="29" t="n">
        <v>630398</v>
      </c>
      <c r="H97" s="29" t="n">
        <v>631634</v>
      </c>
      <c r="I97" s="29" t="n">
        <v>606419</v>
      </c>
      <c r="J97" s="29" t="n">
        <v>616188</v>
      </c>
      <c r="K97" s="29" t="n">
        <v>753955</v>
      </c>
      <c r="L97" s="29" t="n">
        <v>745658</v>
      </c>
      <c r="M97" s="29" t="n">
        <v>664428</v>
      </c>
      <c r="N97" s="29" t="n">
        <v>637822</v>
      </c>
      <c r="O97" s="29" t="n">
        <v>667477</v>
      </c>
      <c r="P97" s="29" t="n">
        <v>667708</v>
      </c>
      <c r="Q97" s="29" t="n">
        <v>618957</v>
      </c>
      <c r="R97" s="29" t="n">
        <v>548778</v>
      </c>
      <c r="S97" s="29" t="n">
        <v>506171</v>
      </c>
      <c r="T97" s="29" t="n">
        <v>499168</v>
      </c>
      <c r="U97" s="29" t="n">
        <v>661933</v>
      </c>
      <c r="V97" s="29" t="n">
        <v>5258026</v>
      </c>
      <c r="W97" s="29" t="n">
        <v>5338595</v>
      </c>
      <c r="X97" s="30">
        <f>SUM(E97:G97)</f>
        <v/>
      </c>
      <c r="Y97" s="30">
        <f>SUM(H97:I97)</f>
        <v/>
      </c>
      <c r="Z97" s="30">
        <f>SUM(J97:K97)</f>
        <v/>
      </c>
      <c r="AA97" s="30">
        <f>SUM(L97:M97)</f>
        <v/>
      </c>
      <c r="AB97" s="30">
        <f>SUM(N97:O97)</f>
        <v/>
      </c>
      <c r="AC97" s="30">
        <f>SUM(P97:Q97)</f>
        <v/>
      </c>
      <c r="AD97" s="30">
        <f>SUM(R97:U97)</f>
        <v/>
      </c>
      <c r="AE97" s="31">
        <f>SUM(X97:AD97)</f>
        <v/>
      </c>
      <c r="AF97" s="32">
        <f>AE97/SUM($AE$5:$AE$222)</f>
        <v/>
      </c>
      <c r="AG97" s="10">
        <f>RANK(AE97,$AE$5:$AE$222)</f>
        <v/>
      </c>
      <c r="AH97" s="29" t="n">
        <v>10569709</v>
      </c>
      <c r="AI97" s="9">
        <f>IF(AH97&gt;0,AE97/AH97-1,"")</f>
        <v/>
      </c>
      <c r="AJ97" s="29" t="n">
        <v>63133</v>
      </c>
      <c r="AK97" s="19">
        <f>IF(SUM($E97:E97)&gt;=AE97/2,0+5*(AE97/2-0)/E97,IF(SUM($E97:F97)&gt;=AE97/2,5+5*(AE97/2-SUM($E97:E97))/F97,IF(SUM($E97:G97)&gt;=AE97/2,10+5*(AE97/2-SUM($E97:F97))/G97,IF(SUM($E97:H97)&gt;=AE97/2,15+5*(AE97/2-SUM($E97:G97))/H97,IF(SUM($E97:I97)&gt;=AE97/2,20+5*(AE97/2-SUM($E97:H97))/I97,IF(SUM($E97:J97)&gt;=AE97/2,25+5*(AE97/2-SUM($E97:I97))/J97,IF(SUM($E97:K97)&gt;=AE97/2,30+5*(AE97/2-SUM($E97:J97))/K97,IF(SUM($E97:L97)&gt;=AE97/2,35+5*(AE97/2-SUM($E97:K97))/L97,IF(SUM($E97:M97)&gt;=AE97/2,40+5*(AE97/2-SUM($E97:L97))/M97,IF(SUM($E97:N97)&gt;=AE97/2,45+5*(AE97/2-SUM($E97:M97))/N97,IF(SUM($E97:O97)&gt;=AE97/2,50+5*(AE97/2-SUM($E97:N97))/O97,IF(SUM($E97:P97)&gt;=AE97/2,55+5*(AE97/2-SUM($E97:O97))/P97,IF(SUM($E97:Q97)&gt;=AE97/2,60+5*(AE97/2-SUM($E97:P97))/Q97,IF(SUM($E97:R97)&gt;=AE97/2,65+5*(AE97/2-SUM($E97:Q97))/R97,IF(SUM($E97:S97)&gt;=AE97/2,70+5*(AE97/2-SUM($E97:R97))/S97,IF(SUM($E97:T97)&gt;=AE97/2,75+5*(AE97/2-SUM($E97:S97))/T97,""))))))))))))))))</f>
        <v/>
      </c>
      <c r="AL97" s="30">
        <f>SUM(H97:Q97)</f>
        <v/>
      </c>
      <c r="AM97" s="24" t="n">
        <v>0.312</v>
      </c>
      <c r="AN97" s="24" t="n">
        <v>0.373</v>
      </c>
      <c r="AO97" s="33">
        <f>IF(AND(ISNUMBER(AN97),ISNUMBER(AM97)),(AN97-AM97)*100,"")</f>
        <v/>
      </c>
      <c r="AP97" s="30">
        <f>IF(ISNUMBER(AN97),AN97*AL97,"")</f>
        <v/>
      </c>
      <c r="AQ97" s="30">
        <f>IF(ISNUMBER(AN97),AL97,0)</f>
        <v/>
      </c>
      <c r="AR97" s="24" t="n">
        <v>0.4201</v>
      </c>
      <c r="AS97" s="6" t="inlineStr">
        <is>
          <t>population</t>
        </is>
      </c>
      <c r="AT97" s="6" t="inlineStr">
        <is>
          <t>16-74</t>
        </is>
      </c>
      <c r="AU97" s="24" t="n">
        <v>1</v>
      </c>
      <c r="AV97" s="30">
        <f>H97*0.8+I97+J97+K97+L97+M97+N97+O97+P97+Q97+R97+S97</f>
        <v/>
      </c>
      <c r="AX97" s="30">
        <f>IF(ISNUMBER(AW97),AW97,AR97*AU97*AV97)</f>
        <v/>
      </c>
      <c r="AY97" s="34">
        <f>AX97/AV97</f>
        <v/>
      </c>
      <c r="AZ97" s="6" t="inlineStr">
        <is>
          <t>A</t>
        </is>
      </c>
      <c r="BA97" s="6" t="inlineStr">
        <is>
          <t>Yes</t>
        </is>
      </c>
      <c r="BB97" s="30">
        <f>IF(BA97="Yes",AX97,0)</f>
        <v/>
      </c>
      <c r="BC97" s="30">
        <f>IF(AND(BA97="Yes",ISNUMBER(AP97)),AP97,0)</f>
        <v/>
      </c>
      <c r="BD97" s="30">
        <f>IF(BA97="Yes",AX97,IF(ISNUMBER(AP97),AP97,0))</f>
        <v/>
      </c>
      <c r="BE97" s="6" t="inlineStr">
        <is>
          <t>Used generative AI tools in the last 3 months</t>
        </is>
      </c>
      <c r="BF97" s="6" t="inlineStr">
        <is>
          <t>2025 survey (Q2, most countries)</t>
        </is>
      </c>
      <c r="BG97" s="6" t="inlineStr">
        <is>
          <t>Eurostat: ICT usage in households and by individuals 2025, dataset isoc_ai_iaiu</t>
        </is>
      </c>
      <c r="BH97" s="6" t="inlineStr">
        <is>
          <t>https://ec.europa.eu/eurostat/databrowser/view/isoc_ai_iaiu/default/table</t>
        </is>
      </c>
    </row>
    <row r="98">
      <c r="A98" s="6" t="inlineStr">
        <is>
          <t>GRC</t>
        </is>
      </c>
      <c r="B98" s="6" t="inlineStr">
        <is>
          <t>Greece</t>
        </is>
      </c>
      <c r="C98" s="6" t="inlineStr">
        <is>
          <t>Europe &amp; Central Asia</t>
        </is>
      </c>
      <c r="D98" s="6" t="inlineStr">
        <is>
          <t>High income</t>
        </is>
      </c>
      <c r="E98" s="29" t="n">
        <v>377947</v>
      </c>
      <c r="F98" s="29" t="n">
        <v>451402</v>
      </c>
      <c r="G98" s="29" t="n">
        <v>508997</v>
      </c>
      <c r="H98" s="29" t="n">
        <v>561473</v>
      </c>
      <c r="I98" s="29" t="n">
        <v>536243</v>
      </c>
      <c r="J98" s="29" t="n">
        <v>517675</v>
      </c>
      <c r="K98" s="29" t="n">
        <v>526949</v>
      </c>
      <c r="L98" s="29" t="n">
        <v>571655</v>
      </c>
      <c r="M98" s="29" t="n">
        <v>712304</v>
      </c>
      <c r="N98" s="29" t="n">
        <v>800004</v>
      </c>
      <c r="O98" s="29" t="n">
        <v>798383</v>
      </c>
      <c r="P98" s="29" t="n">
        <v>800705</v>
      </c>
      <c r="Q98" s="29" t="n">
        <v>709233</v>
      </c>
      <c r="R98" s="29" t="n">
        <v>664373</v>
      </c>
      <c r="S98" s="29" t="n">
        <v>575329</v>
      </c>
      <c r="T98" s="29" t="n">
        <v>507129</v>
      </c>
      <c r="U98" s="29" t="n">
        <v>794161</v>
      </c>
      <c r="V98" s="29" t="n">
        <v>5367890</v>
      </c>
      <c r="W98" s="29" t="n">
        <v>5046072</v>
      </c>
      <c r="X98" s="30">
        <f>SUM(E98:G98)</f>
        <v/>
      </c>
      <c r="Y98" s="30">
        <f>SUM(H98:I98)</f>
        <v/>
      </c>
      <c r="Z98" s="30">
        <f>SUM(J98:K98)</f>
        <v/>
      </c>
      <c r="AA98" s="30">
        <f>SUM(L98:M98)</f>
        <v/>
      </c>
      <c r="AB98" s="30">
        <f>SUM(N98:O98)</f>
        <v/>
      </c>
      <c r="AC98" s="30">
        <f>SUM(P98:Q98)</f>
        <v/>
      </c>
      <c r="AD98" s="30">
        <f>SUM(R98:U98)</f>
        <v/>
      </c>
      <c r="AE98" s="31">
        <f>SUM(X98:AD98)</f>
        <v/>
      </c>
      <c r="AF98" s="32">
        <f>AE98/SUM($AE$5:$AE$222)</f>
        <v/>
      </c>
      <c r="AG98" s="10">
        <f>RANK(AE98,$AE$5:$AE$222)</f>
        <v/>
      </c>
      <c r="AH98" s="29" t="n">
        <v>10405134</v>
      </c>
      <c r="AI98" s="9">
        <f>IF(AH98&gt;0,AE98/AH98-1,"")</f>
        <v/>
      </c>
      <c r="AJ98" s="29" t="n">
        <v>26948</v>
      </c>
      <c r="AK98" s="19">
        <f>IF(SUM($E98:E98)&gt;=AE98/2,0+5*(AE98/2-0)/E98,IF(SUM($E98:F98)&gt;=AE98/2,5+5*(AE98/2-SUM($E98:E98))/F98,IF(SUM($E98:G98)&gt;=AE98/2,10+5*(AE98/2-SUM($E98:F98))/G98,IF(SUM($E98:H98)&gt;=AE98/2,15+5*(AE98/2-SUM($E98:G98))/H98,IF(SUM($E98:I98)&gt;=AE98/2,20+5*(AE98/2-SUM($E98:H98))/I98,IF(SUM($E98:J98)&gt;=AE98/2,25+5*(AE98/2-SUM($E98:I98))/J98,IF(SUM($E98:K98)&gt;=AE98/2,30+5*(AE98/2-SUM($E98:J98))/K98,IF(SUM($E98:L98)&gt;=AE98/2,35+5*(AE98/2-SUM($E98:K98))/L98,IF(SUM($E98:M98)&gt;=AE98/2,40+5*(AE98/2-SUM($E98:L98))/M98,IF(SUM($E98:N98)&gt;=AE98/2,45+5*(AE98/2-SUM($E98:M98))/N98,IF(SUM($E98:O98)&gt;=AE98/2,50+5*(AE98/2-SUM($E98:N98))/O98,IF(SUM($E98:P98)&gt;=AE98/2,55+5*(AE98/2-SUM($E98:O98))/P98,IF(SUM($E98:Q98)&gt;=AE98/2,60+5*(AE98/2-SUM($E98:P98))/Q98,IF(SUM($E98:R98)&gt;=AE98/2,65+5*(AE98/2-SUM($E98:Q98))/R98,IF(SUM($E98:S98)&gt;=AE98/2,70+5*(AE98/2-SUM($E98:R98))/S98,IF(SUM($E98:T98)&gt;=AE98/2,75+5*(AE98/2-SUM($E98:S98))/T98,""))))))))))))))))</f>
        <v/>
      </c>
      <c r="AL98" s="30">
        <f>SUM(H98:Q98)</f>
        <v/>
      </c>
      <c r="AM98" s="24" t="n">
        <v>0.177</v>
      </c>
      <c r="AN98" s="24" t="n">
        <v>0.215</v>
      </c>
      <c r="AO98" s="33">
        <f>IF(AND(ISNUMBER(AN98),ISNUMBER(AM98)),(AN98-AM98)*100,"")</f>
        <v/>
      </c>
      <c r="AP98" s="30">
        <f>IF(ISNUMBER(AN98),AN98*AL98,"")</f>
        <v/>
      </c>
      <c r="AQ98" s="30">
        <f>IF(ISNUMBER(AN98),AL98,0)</f>
        <v/>
      </c>
      <c r="AR98" s="24" t="n">
        <v>0.4409</v>
      </c>
      <c r="AS98" s="6" t="inlineStr">
        <is>
          <t>population</t>
        </is>
      </c>
      <c r="AT98" s="6" t="inlineStr">
        <is>
          <t>16-74</t>
        </is>
      </c>
      <c r="AU98" s="24" t="n">
        <v>1</v>
      </c>
      <c r="AV98" s="30">
        <f>H98*0.8+I98+J98+K98+L98+M98+N98+O98+P98+Q98+R98+S98</f>
        <v/>
      </c>
      <c r="AX98" s="30">
        <f>IF(ISNUMBER(AW98),AW98,AR98*AU98*AV98)</f>
        <v/>
      </c>
      <c r="AY98" s="34">
        <f>AX98/AV98</f>
        <v/>
      </c>
      <c r="AZ98" s="6" t="inlineStr">
        <is>
          <t>A</t>
        </is>
      </c>
      <c r="BA98" s="6" t="inlineStr">
        <is>
          <t>Yes</t>
        </is>
      </c>
      <c r="BB98" s="30">
        <f>IF(BA98="Yes",AX98,0)</f>
        <v/>
      </c>
      <c r="BC98" s="30">
        <f>IF(AND(BA98="Yes",ISNUMBER(AP98)),AP98,0)</f>
        <v/>
      </c>
      <c r="BD98" s="30">
        <f>IF(BA98="Yes",AX98,IF(ISNUMBER(AP98),AP98,0))</f>
        <v/>
      </c>
      <c r="BE98" s="6" t="inlineStr">
        <is>
          <t>Used generative AI tools in the last 3 months</t>
        </is>
      </c>
      <c r="BF98" s="6" t="inlineStr">
        <is>
          <t>2025 survey (Q2, most countries)</t>
        </is>
      </c>
      <c r="BG98" s="6" t="inlineStr">
        <is>
          <t>Eurostat: ICT usage in households and by individuals 2025, dataset isoc_ai_iaiu</t>
        </is>
      </c>
      <c r="BH98" s="6" t="inlineStr">
        <is>
          <t>https://ec.europa.eu/eurostat/databrowser/view/isoc_ai_iaiu/default/table</t>
        </is>
      </c>
    </row>
    <row r="99">
      <c r="A99" s="6" t="inlineStr">
        <is>
          <t>AZE</t>
        </is>
      </c>
      <c r="B99" s="6" t="inlineStr">
        <is>
          <t>Azerbaijan</t>
        </is>
      </c>
      <c r="C99" s="6" t="inlineStr">
        <is>
          <t>Europe &amp; Central Asia</t>
        </is>
      </c>
      <c r="D99" s="6" t="inlineStr">
        <is>
          <t>Upper middle income</t>
        </is>
      </c>
      <c r="E99" s="29" t="n">
        <v>621256</v>
      </c>
      <c r="F99" s="29" t="n">
        <v>714173</v>
      </c>
      <c r="G99" s="29" t="n">
        <v>836984</v>
      </c>
      <c r="H99" s="29" t="n">
        <v>781174</v>
      </c>
      <c r="I99" s="29" t="n">
        <v>653419</v>
      </c>
      <c r="J99" s="29" t="n">
        <v>695642</v>
      </c>
      <c r="K99" s="29" t="n">
        <v>894316</v>
      </c>
      <c r="L99" s="29" t="n">
        <v>919853</v>
      </c>
      <c r="M99" s="29" t="n">
        <v>786699</v>
      </c>
      <c r="N99" s="29" t="n">
        <v>654845</v>
      </c>
      <c r="O99" s="29" t="n">
        <v>575494</v>
      </c>
      <c r="P99" s="29" t="n">
        <v>595616</v>
      </c>
      <c r="Q99" s="29" t="n">
        <v>578042</v>
      </c>
      <c r="R99" s="29" t="n">
        <v>448440</v>
      </c>
      <c r="S99" s="29" t="n">
        <v>254553</v>
      </c>
      <c r="T99" s="29" t="n">
        <v>129555</v>
      </c>
      <c r="U99" s="29" t="n">
        <v>106934</v>
      </c>
      <c r="V99" s="29" t="n">
        <v>5222373</v>
      </c>
      <c r="W99" s="29" t="n">
        <v>5024622</v>
      </c>
      <c r="X99" s="30">
        <f>SUM(E99:G99)</f>
        <v/>
      </c>
      <c r="Y99" s="30">
        <f>SUM(H99:I99)</f>
        <v/>
      </c>
      <c r="Z99" s="30">
        <f>SUM(J99:K99)</f>
        <v/>
      </c>
      <c r="AA99" s="30">
        <f>SUM(L99:M99)</f>
        <v/>
      </c>
      <c r="AB99" s="30">
        <f>SUM(N99:O99)</f>
        <v/>
      </c>
      <c r="AC99" s="30">
        <f>SUM(P99:Q99)</f>
        <v/>
      </c>
      <c r="AD99" s="30">
        <f>SUM(R99:U99)</f>
        <v/>
      </c>
      <c r="AE99" s="31">
        <f>SUM(X99:AD99)</f>
        <v/>
      </c>
      <c r="AF99" s="32">
        <f>AE99/SUM($AE$5:$AE$222)</f>
        <v/>
      </c>
      <c r="AG99" s="10">
        <f>RANK(AE99,$AE$5:$AE$222)</f>
        <v/>
      </c>
      <c r="AH99" s="29" t="n">
        <v>10202830</v>
      </c>
      <c r="AI99" s="9">
        <f>IF(AH99&gt;0,AE99/AH99-1,"")</f>
        <v/>
      </c>
      <c r="AJ99" s="29" t="n">
        <v>7411</v>
      </c>
      <c r="AK99" s="19">
        <f>IF(SUM($E99:E99)&gt;=AE99/2,0+5*(AE99/2-0)/E99,IF(SUM($E99:F99)&gt;=AE99/2,5+5*(AE99/2-SUM($E99:E99))/F99,IF(SUM($E99:G99)&gt;=AE99/2,10+5*(AE99/2-SUM($E99:F99))/G99,IF(SUM($E99:H99)&gt;=AE99/2,15+5*(AE99/2-SUM($E99:G99))/H99,IF(SUM($E99:I99)&gt;=AE99/2,20+5*(AE99/2-SUM($E99:H99))/I99,IF(SUM($E99:J99)&gt;=AE99/2,25+5*(AE99/2-SUM($E99:I99))/J99,IF(SUM($E99:K99)&gt;=AE99/2,30+5*(AE99/2-SUM($E99:J99))/K99,IF(SUM($E99:L99)&gt;=AE99/2,35+5*(AE99/2-SUM($E99:K99))/L99,IF(SUM($E99:M99)&gt;=AE99/2,40+5*(AE99/2-SUM($E99:L99))/M99,IF(SUM($E99:N99)&gt;=AE99/2,45+5*(AE99/2-SUM($E99:M99))/N99,IF(SUM($E99:O99)&gt;=AE99/2,50+5*(AE99/2-SUM($E99:N99))/O99,IF(SUM($E99:P99)&gt;=AE99/2,55+5*(AE99/2-SUM($E99:O99))/P99,IF(SUM($E99:Q99)&gt;=AE99/2,60+5*(AE99/2-SUM($E99:P99))/Q99,IF(SUM($E99:R99)&gt;=AE99/2,65+5*(AE99/2-SUM($E99:Q99))/R99,IF(SUM($E99:S99)&gt;=AE99/2,70+5*(AE99/2-SUM($E99:R99))/S99,IF(SUM($E99:T99)&gt;=AE99/2,75+5*(AE99/2-SUM($E99:S99))/T99,""))))))))))))))))</f>
        <v/>
      </c>
      <c r="AL99" s="30">
        <f>SUM(H99:Q99)</f>
        <v/>
      </c>
      <c r="AM99" s="24" t="n">
        <v>0.142</v>
      </c>
      <c r="AN99" s="24" t="n">
        <v>0.187</v>
      </c>
      <c r="AO99" s="33">
        <f>IF(AND(ISNUMBER(AN99),ISNUMBER(AM99)),(AN99-AM99)*100,"")</f>
        <v/>
      </c>
      <c r="AP99" s="30">
        <f>IF(ISNUMBER(AN99),AN99*AL99,"")</f>
        <v/>
      </c>
      <c r="AQ99" s="30">
        <f>IF(ISNUMBER(AN99),AL99,0)</f>
        <v/>
      </c>
      <c r="BB99" s="30">
        <f>IF(BA99="Yes",AX99,0)</f>
        <v/>
      </c>
      <c r="BC99" s="30">
        <f>IF(AND(BA99="Yes",ISNUMBER(AP99)),AP99,0)</f>
        <v/>
      </c>
      <c r="BD99" s="30">
        <f>IF(BA99="Yes",AX99,IF(ISNUMBER(AP99),AP99,0))</f>
        <v/>
      </c>
    </row>
    <row r="100">
      <c r="A100" s="6" t="inlineStr">
        <is>
          <t>ISR</t>
        </is>
      </c>
      <c r="B100" s="6" t="inlineStr">
        <is>
          <t>Israel</t>
        </is>
      </c>
      <c r="C100" s="6" t="inlineStr">
        <is>
          <t>Middle East, North Africa, Afghanistan &amp; Pakistan</t>
        </is>
      </c>
      <c r="D100" s="6" t="inlineStr">
        <is>
          <t>High income</t>
        </is>
      </c>
      <c r="E100" s="29" t="n">
        <v>924748</v>
      </c>
      <c r="F100" s="29" t="n">
        <v>934151</v>
      </c>
      <c r="G100" s="29" t="n">
        <v>890852</v>
      </c>
      <c r="H100" s="29" t="n">
        <v>816144</v>
      </c>
      <c r="I100" s="29" t="n">
        <v>768595</v>
      </c>
      <c r="J100" s="29" t="n">
        <v>696536</v>
      </c>
      <c r="K100" s="29" t="n">
        <v>645665</v>
      </c>
      <c r="L100" s="29" t="n">
        <v>620869</v>
      </c>
      <c r="M100" s="29" t="n">
        <v>601559</v>
      </c>
      <c r="N100" s="29" t="n">
        <v>573473</v>
      </c>
      <c r="O100" s="29" t="n">
        <v>529106</v>
      </c>
      <c r="P100" s="29" t="n">
        <v>441315</v>
      </c>
      <c r="Q100" s="29" t="n">
        <v>395040</v>
      </c>
      <c r="R100" s="29" t="n">
        <v>368455</v>
      </c>
      <c r="S100" s="29" t="n">
        <v>339397</v>
      </c>
      <c r="T100" s="29" t="n">
        <v>275530</v>
      </c>
      <c r="U100" s="29" t="n">
        <v>301366</v>
      </c>
      <c r="V100" s="29" t="n">
        <v>5080550</v>
      </c>
      <c r="W100" s="29" t="n">
        <v>5042251</v>
      </c>
      <c r="X100" s="30">
        <f>SUM(E100:G100)</f>
        <v/>
      </c>
      <c r="Y100" s="30">
        <f>SUM(H100:I100)</f>
        <v/>
      </c>
      <c r="Z100" s="30">
        <f>SUM(J100:K100)</f>
        <v/>
      </c>
      <c r="AA100" s="30">
        <f>SUM(L100:M100)</f>
        <v/>
      </c>
      <c r="AB100" s="30">
        <f>SUM(N100:O100)</f>
        <v/>
      </c>
      <c r="AC100" s="30">
        <f>SUM(P100:Q100)</f>
        <v/>
      </c>
      <c r="AD100" s="30">
        <f>SUM(R100:U100)</f>
        <v/>
      </c>
      <c r="AE100" s="31">
        <f>SUM(X100:AD100)</f>
        <v/>
      </c>
      <c r="AF100" s="32">
        <f>AE100/SUM($AE$5:$AE$222)</f>
        <v/>
      </c>
      <c r="AG100" s="10">
        <f>RANK(AE100,$AE$5:$AE$222)</f>
        <v/>
      </c>
      <c r="AH100" s="29" t="n">
        <v>10002200</v>
      </c>
      <c r="AI100" s="9">
        <f>IF(AH100&gt;0,AE100/AH100-1,"")</f>
        <v/>
      </c>
      <c r="AJ100" s="29" t="n">
        <v>60337</v>
      </c>
      <c r="AK100" s="19">
        <f>IF(SUM($E100:E100)&gt;=AE100/2,0+5*(AE100/2-0)/E100,IF(SUM($E100:F100)&gt;=AE100/2,5+5*(AE100/2-SUM($E100:E100))/F100,IF(SUM($E100:G100)&gt;=AE100/2,10+5*(AE100/2-SUM($E100:F100))/G100,IF(SUM($E100:H100)&gt;=AE100/2,15+5*(AE100/2-SUM($E100:G100))/H100,IF(SUM($E100:I100)&gt;=AE100/2,20+5*(AE100/2-SUM($E100:H100))/I100,IF(SUM($E100:J100)&gt;=AE100/2,25+5*(AE100/2-SUM($E100:I100))/J100,IF(SUM($E100:K100)&gt;=AE100/2,30+5*(AE100/2-SUM($E100:J100))/K100,IF(SUM($E100:L100)&gt;=AE100/2,35+5*(AE100/2-SUM($E100:K100))/L100,IF(SUM($E100:M100)&gt;=AE100/2,40+5*(AE100/2-SUM($E100:L100))/M100,IF(SUM($E100:N100)&gt;=AE100/2,45+5*(AE100/2-SUM($E100:M100))/N100,IF(SUM($E100:O100)&gt;=AE100/2,50+5*(AE100/2-SUM($E100:N100))/O100,IF(SUM($E100:P100)&gt;=AE100/2,55+5*(AE100/2-SUM($E100:O100))/P100,IF(SUM($E100:Q100)&gt;=AE100/2,60+5*(AE100/2-SUM($E100:P100))/Q100,IF(SUM($E100:R100)&gt;=AE100/2,65+5*(AE100/2-SUM($E100:Q100))/R100,IF(SUM($E100:S100)&gt;=AE100/2,70+5*(AE100/2-SUM($E100:R100))/S100,IF(SUM($E100:T100)&gt;=AE100/2,75+5*(AE100/2-SUM($E100:S100))/T100,""))))))))))))))))</f>
        <v/>
      </c>
      <c r="AL100" s="30">
        <f>SUM(H100:Q100)</f>
        <v/>
      </c>
      <c r="AM100" s="24" t="n">
        <v>0.339</v>
      </c>
      <c r="AN100" s="24" t="n">
        <v>0.387</v>
      </c>
      <c r="AO100" s="33">
        <f>IF(AND(ISNUMBER(AN100),ISNUMBER(AM100)),(AN100-AM100)*100,"")</f>
        <v/>
      </c>
      <c r="AP100" s="30">
        <f>IF(ISNUMBER(AN100),AN100*AL100,"")</f>
        <v/>
      </c>
      <c r="AQ100" s="30">
        <f>IF(ISNUMBER(AN100),AL100,0)</f>
        <v/>
      </c>
      <c r="BB100" s="30">
        <f>IF(BA100="Yes",AX100,0)</f>
        <v/>
      </c>
      <c r="BC100" s="30">
        <f>IF(AND(BA100="Yes",ISNUMBER(AP100)),AP100,0)</f>
        <v/>
      </c>
      <c r="BD100" s="30">
        <f>IF(BA100="Yes",AX100,IF(ISNUMBER(AP100),AP100,0))</f>
        <v/>
      </c>
    </row>
    <row r="101">
      <c r="A101" s="6" t="inlineStr">
        <is>
          <t>HUN</t>
        </is>
      </c>
      <c r="B101" s="6" t="inlineStr">
        <is>
          <t>Hungary</t>
        </is>
      </c>
      <c r="C101" s="6" t="inlineStr">
        <is>
          <t>Europe &amp; Central Asia</t>
        </is>
      </c>
      <c r="D101" s="6" t="inlineStr">
        <is>
          <t>High income</t>
        </is>
      </c>
      <c r="E101" s="29" t="n">
        <v>439666</v>
      </c>
      <c r="F101" s="29" t="n">
        <v>469446</v>
      </c>
      <c r="G101" s="29" t="n">
        <v>456415</v>
      </c>
      <c r="H101" s="29" t="n">
        <v>497779</v>
      </c>
      <c r="I101" s="29" t="n">
        <v>503273</v>
      </c>
      <c r="J101" s="29" t="n">
        <v>531516</v>
      </c>
      <c r="K101" s="29" t="n">
        <v>621183</v>
      </c>
      <c r="L101" s="29" t="n">
        <v>616055</v>
      </c>
      <c r="M101" s="29" t="n">
        <v>636895</v>
      </c>
      <c r="N101" s="29" t="n">
        <v>806641</v>
      </c>
      <c r="O101" s="29" t="n">
        <v>748360</v>
      </c>
      <c r="P101" s="29" t="n">
        <v>644292</v>
      </c>
      <c r="Q101" s="29" t="n">
        <v>529753</v>
      </c>
      <c r="R101" s="29" t="n">
        <v>569511</v>
      </c>
      <c r="S101" s="29" t="n">
        <v>564789</v>
      </c>
      <c r="T101" s="29" t="n">
        <v>401879</v>
      </c>
      <c r="U101" s="29" t="n">
        <v>476795</v>
      </c>
      <c r="V101" s="29" t="n">
        <v>4942199</v>
      </c>
      <c r="W101" s="29" t="n">
        <v>4572049</v>
      </c>
      <c r="X101" s="30">
        <f>SUM(E101:G101)</f>
        <v/>
      </c>
      <c r="Y101" s="30">
        <f>SUM(H101:I101)</f>
        <v/>
      </c>
      <c r="Z101" s="30">
        <f>SUM(J101:K101)</f>
        <v/>
      </c>
      <c r="AA101" s="30">
        <f>SUM(L101:M101)</f>
        <v/>
      </c>
      <c r="AB101" s="30">
        <f>SUM(N101:O101)</f>
        <v/>
      </c>
      <c r="AC101" s="30">
        <f>SUM(P101:Q101)</f>
        <v/>
      </c>
      <c r="AD101" s="30">
        <f>SUM(R101:U101)</f>
        <v/>
      </c>
      <c r="AE101" s="31">
        <f>SUM(X101:AD101)</f>
        <v/>
      </c>
      <c r="AF101" s="32">
        <f>AE101/SUM($AE$5:$AE$222)</f>
        <v/>
      </c>
      <c r="AG101" s="10">
        <f>RANK(AE101,$AE$5:$AE$222)</f>
        <v/>
      </c>
      <c r="AH101" s="29" t="n">
        <v>9562065</v>
      </c>
      <c r="AI101" s="9">
        <f>IF(AH101&gt;0,AE101/AH101-1,"")</f>
        <v/>
      </c>
      <c r="AJ101" s="29" t="n">
        <v>25907</v>
      </c>
      <c r="AK101" s="19">
        <f>IF(SUM($E101:E101)&gt;=AE101/2,0+5*(AE101/2-0)/E101,IF(SUM($E101:F101)&gt;=AE101/2,5+5*(AE101/2-SUM($E101:E101))/F101,IF(SUM($E101:G101)&gt;=AE101/2,10+5*(AE101/2-SUM($E101:F101))/G101,IF(SUM($E101:H101)&gt;=AE101/2,15+5*(AE101/2-SUM($E101:G101))/H101,IF(SUM($E101:I101)&gt;=AE101/2,20+5*(AE101/2-SUM($E101:H101))/I101,IF(SUM($E101:J101)&gt;=AE101/2,25+5*(AE101/2-SUM($E101:I101))/J101,IF(SUM($E101:K101)&gt;=AE101/2,30+5*(AE101/2-SUM($E101:J101))/K101,IF(SUM($E101:L101)&gt;=AE101/2,35+5*(AE101/2-SUM($E101:K101))/L101,IF(SUM($E101:M101)&gt;=AE101/2,40+5*(AE101/2-SUM($E101:L101))/M101,IF(SUM($E101:N101)&gt;=AE101/2,45+5*(AE101/2-SUM($E101:M101))/N101,IF(SUM($E101:O101)&gt;=AE101/2,50+5*(AE101/2-SUM($E101:N101))/O101,IF(SUM($E101:P101)&gt;=AE101/2,55+5*(AE101/2-SUM($E101:O101))/P101,IF(SUM($E101:Q101)&gt;=AE101/2,60+5*(AE101/2-SUM($E101:P101))/Q101,IF(SUM($E101:R101)&gt;=AE101/2,65+5*(AE101/2-SUM($E101:Q101))/R101,IF(SUM($E101:S101)&gt;=AE101/2,70+5*(AE101/2-SUM($E101:R101))/S101,IF(SUM($E101:T101)&gt;=AE101/2,75+5*(AE101/2-SUM($E101:S101))/T101,""))))))))))))))))</f>
        <v/>
      </c>
      <c r="AL101" s="30">
        <f>SUM(H101:Q101)</f>
        <v/>
      </c>
      <c r="AM101" s="24" t="n">
        <v>0.279</v>
      </c>
      <c r="AN101" s="24" t="n">
        <v>0.333</v>
      </c>
      <c r="AO101" s="33">
        <f>IF(AND(ISNUMBER(AN101),ISNUMBER(AM101)),(AN101-AM101)*100,"")</f>
        <v/>
      </c>
      <c r="AP101" s="30">
        <f>IF(ISNUMBER(AN101),AN101*AL101,"")</f>
        <v/>
      </c>
      <c r="AQ101" s="30">
        <f>IF(ISNUMBER(AN101),AL101,0)</f>
        <v/>
      </c>
      <c r="AR101" s="24" t="n">
        <v>0.2956</v>
      </c>
      <c r="AS101" s="6" t="inlineStr">
        <is>
          <t>population</t>
        </is>
      </c>
      <c r="AT101" s="6" t="inlineStr">
        <is>
          <t>16-74</t>
        </is>
      </c>
      <c r="AU101" s="24" t="n">
        <v>1</v>
      </c>
      <c r="AV101" s="30">
        <f>H101*0.8+I101+J101+K101+L101+M101+N101+O101+P101+Q101+R101+S101</f>
        <v/>
      </c>
      <c r="AX101" s="30">
        <f>IF(ISNUMBER(AW101),AW101,AR101*AU101*AV101)</f>
        <v/>
      </c>
      <c r="AY101" s="34">
        <f>AX101/AV101</f>
        <v/>
      </c>
      <c r="AZ101" s="6" t="inlineStr">
        <is>
          <t>A</t>
        </is>
      </c>
      <c r="BA101" s="6" t="inlineStr">
        <is>
          <t>Yes</t>
        </is>
      </c>
      <c r="BB101" s="30">
        <f>IF(BA101="Yes",AX101,0)</f>
        <v/>
      </c>
      <c r="BC101" s="30">
        <f>IF(AND(BA101="Yes",ISNUMBER(AP101)),AP101,0)</f>
        <v/>
      </c>
      <c r="BD101" s="30">
        <f>IF(BA101="Yes",AX101,IF(ISNUMBER(AP101),AP101,0))</f>
        <v/>
      </c>
      <c r="BE101" s="6" t="inlineStr">
        <is>
          <t>Used generative AI tools in the last 3 months</t>
        </is>
      </c>
      <c r="BF101" s="6" t="inlineStr">
        <is>
          <t>2025 survey (Q2, most countries)</t>
        </is>
      </c>
      <c r="BG101" s="6" t="inlineStr">
        <is>
          <t>Eurostat: ICT usage in households and by individuals 2025, dataset isoc_ai_iaiu</t>
        </is>
      </c>
      <c r="BH101" s="6" t="inlineStr">
        <is>
          <t>https://ec.europa.eu/eurostat/databrowser/view/isoc_ai_iaiu/default/table</t>
        </is>
      </c>
    </row>
    <row r="102">
      <c r="A102" s="6" t="inlineStr">
        <is>
          <t>AUT</t>
        </is>
      </c>
      <c r="B102" s="6" t="inlineStr">
        <is>
          <t>Austria</t>
        </is>
      </c>
      <c r="C102" s="6" t="inlineStr">
        <is>
          <t>Europe &amp; Central Asia</t>
        </is>
      </c>
      <c r="D102" s="6" t="inlineStr">
        <is>
          <t>High income</t>
        </is>
      </c>
      <c r="E102" s="29" t="n">
        <v>409927</v>
      </c>
      <c r="F102" s="29" t="n">
        <v>451799</v>
      </c>
      <c r="G102" s="29" t="n">
        <v>440976</v>
      </c>
      <c r="H102" s="29" t="n">
        <v>442750</v>
      </c>
      <c r="I102" s="29" t="n">
        <v>472785</v>
      </c>
      <c r="J102" s="29" t="n">
        <v>540399</v>
      </c>
      <c r="K102" s="29" t="n">
        <v>623881</v>
      </c>
      <c r="L102" s="29" t="n">
        <v>633576</v>
      </c>
      <c r="M102" s="29" t="n">
        <v>631792</v>
      </c>
      <c r="N102" s="29" t="n">
        <v>583199</v>
      </c>
      <c r="O102" s="29" t="n">
        <v>628339</v>
      </c>
      <c r="P102" s="29" t="n">
        <v>714549</v>
      </c>
      <c r="Q102" s="29" t="n">
        <v>691753</v>
      </c>
      <c r="R102" s="29" t="n">
        <v>565202</v>
      </c>
      <c r="S102" s="29" t="n">
        <v>433533</v>
      </c>
      <c r="T102" s="29" t="n">
        <v>365055</v>
      </c>
      <c r="U102" s="29" t="n">
        <v>578646</v>
      </c>
      <c r="V102" s="29" t="n">
        <v>4673092</v>
      </c>
      <c r="W102" s="29" t="n">
        <v>4535069</v>
      </c>
      <c r="X102" s="30">
        <f>SUM(E102:G102)</f>
        <v/>
      </c>
      <c r="Y102" s="30">
        <f>SUM(H102:I102)</f>
        <v/>
      </c>
      <c r="Z102" s="30">
        <f>SUM(J102:K102)</f>
        <v/>
      </c>
      <c r="AA102" s="30">
        <f>SUM(L102:M102)</f>
        <v/>
      </c>
      <c r="AB102" s="30">
        <f>SUM(N102:O102)</f>
        <v/>
      </c>
      <c r="AC102" s="30">
        <f>SUM(P102:Q102)</f>
        <v/>
      </c>
      <c r="AD102" s="30">
        <f>SUM(R102:U102)</f>
        <v/>
      </c>
      <c r="AE102" s="31">
        <f>SUM(X102:AD102)</f>
        <v/>
      </c>
      <c r="AF102" s="32">
        <f>AE102/SUM($AE$5:$AE$222)</f>
        <v/>
      </c>
      <c r="AG102" s="10">
        <f>RANK(AE102,$AE$5:$AE$222)</f>
        <v/>
      </c>
      <c r="AH102" s="29" t="n">
        <v>9177982</v>
      </c>
      <c r="AI102" s="9">
        <f>IF(AH102&gt;0,AE102/AH102-1,"")</f>
        <v/>
      </c>
      <c r="AJ102" s="29" t="n">
        <v>62930</v>
      </c>
      <c r="AK102" s="19">
        <f>IF(SUM($E102:E102)&gt;=AE102/2,0+5*(AE102/2-0)/E102,IF(SUM($E102:F102)&gt;=AE102/2,5+5*(AE102/2-SUM($E102:E102))/F102,IF(SUM($E102:G102)&gt;=AE102/2,10+5*(AE102/2-SUM($E102:F102))/G102,IF(SUM($E102:H102)&gt;=AE102/2,15+5*(AE102/2-SUM($E102:G102))/H102,IF(SUM($E102:I102)&gt;=AE102/2,20+5*(AE102/2-SUM($E102:H102))/I102,IF(SUM($E102:J102)&gt;=AE102/2,25+5*(AE102/2-SUM($E102:I102))/J102,IF(SUM($E102:K102)&gt;=AE102/2,30+5*(AE102/2-SUM($E102:J102))/K102,IF(SUM($E102:L102)&gt;=AE102/2,35+5*(AE102/2-SUM($E102:K102))/L102,IF(SUM($E102:M102)&gt;=AE102/2,40+5*(AE102/2-SUM($E102:L102))/M102,IF(SUM($E102:N102)&gt;=AE102/2,45+5*(AE102/2-SUM($E102:M102))/N102,IF(SUM($E102:O102)&gt;=AE102/2,50+5*(AE102/2-SUM($E102:N102))/O102,IF(SUM($E102:P102)&gt;=AE102/2,55+5*(AE102/2-SUM($E102:O102))/P102,IF(SUM($E102:Q102)&gt;=AE102/2,60+5*(AE102/2-SUM($E102:P102))/Q102,IF(SUM($E102:R102)&gt;=AE102/2,65+5*(AE102/2-SUM($E102:Q102))/R102,IF(SUM($E102:S102)&gt;=AE102/2,70+5*(AE102/2-SUM($E102:R102))/S102,IF(SUM($E102:T102)&gt;=AE102/2,75+5*(AE102/2-SUM($E102:S102))/T102,""))))))))))))))))</f>
        <v/>
      </c>
      <c r="AL102" s="30">
        <f>SUM(H102:Q102)</f>
        <v/>
      </c>
      <c r="AM102" s="24" t="n">
        <v>0.291</v>
      </c>
      <c r="AN102" s="24" t="n">
        <v>0.354</v>
      </c>
      <c r="AO102" s="33">
        <f>IF(AND(ISNUMBER(AN102),ISNUMBER(AM102)),(AN102-AM102)*100,"")</f>
        <v/>
      </c>
      <c r="AP102" s="30">
        <f>IF(ISNUMBER(AN102),AN102*AL102,"")</f>
        <v/>
      </c>
      <c r="AQ102" s="30">
        <f>IF(ISNUMBER(AN102),AL102,0)</f>
        <v/>
      </c>
      <c r="AR102" s="24" t="n">
        <v>0.3942</v>
      </c>
      <c r="AS102" s="6" t="inlineStr">
        <is>
          <t>population</t>
        </is>
      </c>
      <c r="AT102" s="6" t="inlineStr">
        <is>
          <t>16-74</t>
        </is>
      </c>
      <c r="AU102" s="24" t="n">
        <v>1</v>
      </c>
      <c r="AV102" s="30">
        <f>H102*0.8+I102+J102+K102+L102+M102+N102+O102+P102+Q102+R102+S102</f>
        <v/>
      </c>
      <c r="AX102" s="30">
        <f>IF(ISNUMBER(AW102),AW102,AR102*AU102*AV102)</f>
        <v/>
      </c>
      <c r="AY102" s="34">
        <f>AX102/AV102</f>
        <v/>
      </c>
      <c r="AZ102" s="6" t="inlineStr">
        <is>
          <t>A</t>
        </is>
      </c>
      <c r="BA102" s="6" t="inlineStr">
        <is>
          <t>Yes</t>
        </is>
      </c>
      <c r="BB102" s="30">
        <f>IF(BA102="Yes",AX102,0)</f>
        <v/>
      </c>
      <c r="BC102" s="30">
        <f>IF(AND(BA102="Yes",ISNUMBER(AP102)),AP102,0)</f>
        <v/>
      </c>
      <c r="BD102" s="30">
        <f>IF(BA102="Yes",AX102,IF(ISNUMBER(AP102),AP102,0))</f>
        <v/>
      </c>
      <c r="BE102" s="6" t="inlineStr">
        <is>
          <t>Used generative AI tools in the last 3 months</t>
        </is>
      </c>
      <c r="BF102" s="6" t="inlineStr">
        <is>
          <t>2025 survey (Q2, most countries)</t>
        </is>
      </c>
      <c r="BG102" s="6" t="inlineStr">
        <is>
          <t>Eurostat: ICT usage in households and by individuals 2025, dataset isoc_ai_iaiu</t>
        </is>
      </c>
      <c r="BH102" s="6" t="inlineStr">
        <is>
          <t>https://ec.europa.eu/eurostat/databrowser/view/isoc_ai_iaiu/default/table</t>
        </is>
      </c>
    </row>
    <row r="103">
      <c r="A103" s="6" t="inlineStr">
        <is>
          <t>CHE</t>
        </is>
      </c>
      <c r="B103" s="6" t="inlineStr">
        <is>
          <t>Switzerland</t>
        </is>
      </c>
      <c r="C103" s="6" t="inlineStr">
        <is>
          <t>Europe &amp; Central Asia</t>
        </is>
      </c>
      <c r="D103" s="6" t="inlineStr">
        <is>
          <t>High income</t>
        </is>
      </c>
      <c r="E103" s="29" t="n">
        <v>435072</v>
      </c>
      <c r="F103" s="29" t="n">
        <v>460028</v>
      </c>
      <c r="G103" s="29" t="n">
        <v>458167</v>
      </c>
      <c r="H103" s="29" t="n">
        <v>451437</v>
      </c>
      <c r="I103" s="29" t="n">
        <v>462601</v>
      </c>
      <c r="J103" s="29" t="n">
        <v>518612</v>
      </c>
      <c r="K103" s="29" t="n">
        <v>603823</v>
      </c>
      <c r="L103" s="29" t="n">
        <v>649240</v>
      </c>
      <c r="M103" s="29" t="n">
        <v>646255</v>
      </c>
      <c r="N103" s="29" t="n">
        <v>615795</v>
      </c>
      <c r="O103" s="29" t="n">
        <v>623773</v>
      </c>
      <c r="P103" s="29" t="n">
        <v>670788</v>
      </c>
      <c r="Q103" s="29" t="n">
        <v>639068</v>
      </c>
      <c r="R103" s="29" t="n">
        <v>515454</v>
      </c>
      <c r="S103" s="29" t="n">
        <v>418992</v>
      </c>
      <c r="T103" s="29" t="n">
        <v>374233</v>
      </c>
      <c r="U103" s="29" t="n">
        <v>549098</v>
      </c>
      <c r="V103" s="29" t="n">
        <v>4574139</v>
      </c>
      <c r="W103" s="29" t="n">
        <v>4518297</v>
      </c>
      <c r="X103" s="30">
        <f>SUM(E103:G103)</f>
        <v/>
      </c>
      <c r="Y103" s="30">
        <f>SUM(H103:I103)</f>
        <v/>
      </c>
      <c r="Z103" s="30">
        <f>SUM(J103:K103)</f>
        <v/>
      </c>
      <c r="AA103" s="30">
        <f>SUM(L103:M103)</f>
        <v/>
      </c>
      <c r="AB103" s="30">
        <f>SUM(N103:O103)</f>
        <v/>
      </c>
      <c r="AC103" s="30">
        <f>SUM(P103:Q103)</f>
        <v/>
      </c>
      <c r="AD103" s="30">
        <f>SUM(R103:U103)</f>
        <v/>
      </c>
      <c r="AE103" s="31">
        <f>SUM(X103:AD103)</f>
        <v/>
      </c>
      <c r="AF103" s="32">
        <f>AE103/SUM($AE$5:$AE$222)</f>
        <v/>
      </c>
      <c r="AG103" s="10">
        <f>RANK(AE103,$AE$5:$AE$222)</f>
        <v/>
      </c>
      <c r="AH103" s="29" t="n">
        <v>9005582</v>
      </c>
      <c r="AI103" s="9">
        <f>IF(AH103&gt;0,AE103/AH103-1,"")</f>
        <v/>
      </c>
      <c r="AJ103" s="29" t="n">
        <v>114769</v>
      </c>
      <c r="AK103" s="19">
        <f>IF(SUM($E103:E103)&gt;=AE103/2,0+5*(AE103/2-0)/E103,IF(SUM($E103:F103)&gt;=AE103/2,5+5*(AE103/2-SUM($E103:E103))/F103,IF(SUM($E103:G103)&gt;=AE103/2,10+5*(AE103/2-SUM($E103:F103))/G103,IF(SUM($E103:H103)&gt;=AE103/2,15+5*(AE103/2-SUM($E103:G103))/H103,IF(SUM($E103:I103)&gt;=AE103/2,20+5*(AE103/2-SUM($E103:H103))/I103,IF(SUM($E103:J103)&gt;=AE103/2,25+5*(AE103/2-SUM($E103:I103))/J103,IF(SUM($E103:K103)&gt;=AE103/2,30+5*(AE103/2-SUM($E103:J103))/K103,IF(SUM($E103:L103)&gt;=AE103/2,35+5*(AE103/2-SUM($E103:K103))/L103,IF(SUM($E103:M103)&gt;=AE103/2,40+5*(AE103/2-SUM($E103:L103))/M103,IF(SUM($E103:N103)&gt;=AE103/2,45+5*(AE103/2-SUM($E103:M103))/N103,IF(SUM($E103:O103)&gt;=AE103/2,50+5*(AE103/2-SUM($E103:N103))/O103,IF(SUM($E103:P103)&gt;=AE103/2,55+5*(AE103/2-SUM($E103:O103))/P103,IF(SUM($E103:Q103)&gt;=AE103/2,60+5*(AE103/2-SUM($E103:P103))/Q103,IF(SUM($E103:R103)&gt;=AE103/2,65+5*(AE103/2-SUM($E103:Q103))/R103,IF(SUM($E103:S103)&gt;=AE103/2,70+5*(AE103/2-SUM($E103:R103))/S103,IF(SUM($E103:T103)&gt;=AE103/2,75+5*(AE103/2-SUM($E103:S103))/T103,""))))))))))))))))</f>
        <v/>
      </c>
      <c r="AL103" s="30">
        <f>SUM(H103:Q103)</f>
        <v/>
      </c>
      <c r="AM103" s="24" t="n">
        <v>0.324</v>
      </c>
      <c r="AN103" s="24" t="n">
        <v>0.391</v>
      </c>
      <c r="AO103" s="33">
        <f>IF(AND(ISNUMBER(AN103),ISNUMBER(AM103)),(AN103-AM103)*100,"")</f>
        <v/>
      </c>
      <c r="AP103" s="30">
        <f>IF(ISNUMBER(AN103),AN103*AL103,"")</f>
        <v/>
      </c>
      <c r="AQ103" s="30">
        <f>IF(ISNUMBER(AN103),AL103,0)</f>
        <v/>
      </c>
      <c r="AR103" s="24" t="n">
        <v>0.4702</v>
      </c>
      <c r="AS103" s="6" t="inlineStr">
        <is>
          <t>population</t>
        </is>
      </c>
      <c r="AT103" s="6" t="inlineStr">
        <is>
          <t>16-74</t>
        </is>
      </c>
      <c r="AU103" s="24" t="n">
        <v>1</v>
      </c>
      <c r="AV103" s="30">
        <f>H103*0.8+I103+J103+K103+L103+M103+N103+O103+P103+Q103+R103+S103</f>
        <v/>
      </c>
      <c r="AX103" s="30">
        <f>IF(ISNUMBER(AW103),AW103,AR103*AU103*AV103)</f>
        <v/>
      </c>
      <c r="AY103" s="34">
        <f>AX103/AV103</f>
        <v/>
      </c>
      <c r="AZ103" s="6" t="inlineStr">
        <is>
          <t>A</t>
        </is>
      </c>
      <c r="BA103" s="6" t="inlineStr">
        <is>
          <t>Yes</t>
        </is>
      </c>
      <c r="BB103" s="30">
        <f>IF(BA103="Yes",AX103,0)</f>
        <v/>
      </c>
      <c r="BC103" s="30">
        <f>IF(AND(BA103="Yes",ISNUMBER(AP103)),AP103,0)</f>
        <v/>
      </c>
      <c r="BD103" s="30">
        <f>IF(BA103="Yes",AX103,IF(ISNUMBER(AP103),AP103,0))</f>
        <v/>
      </c>
      <c r="BE103" s="6" t="inlineStr">
        <is>
          <t>Used generative AI tools in the last 3 months</t>
        </is>
      </c>
      <c r="BF103" s="6" t="inlineStr">
        <is>
          <t>2025 survey (Q2, most countries)</t>
        </is>
      </c>
      <c r="BG103" s="6" t="inlineStr">
        <is>
          <t>Eurostat: ICT usage in households and by individuals 2025, dataset isoc_ai_iaiu</t>
        </is>
      </c>
      <c r="BH103" s="6" t="inlineStr">
        <is>
          <t>https://ec.europa.eu/eurostat/databrowser/view/isoc_ai_iaiu/default/table</t>
        </is>
      </c>
    </row>
    <row r="104">
      <c r="A104" s="6" t="inlineStr">
        <is>
          <t>BLR</t>
        </is>
      </c>
      <c r="B104" s="6" t="inlineStr">
        <is>
          <t>Belarus</t>
        </is>
      </c>
      <c r="C104" s="6" t="inlineStr">
        <is>
          <t>Europe &amp; Central Asia</t>
        </is>
      </c>
      <c r="D104" s="6" t="inlineStr">
        <is>
          <t>Upper middle income</t>
        </is>
      </c>
      <c r="E104" s="29" t="n">
        <v>356026</v>
      </c>
      <c r="F104" s="29" t="n">
        <v>504505</v>
      </c>
      <c r="G104" s="29" t="n">
        <v>583126</v>
      </c>
      <c r="H104" s="29" t="n">
        <v>511840</v>
      </c>
      <c r="I104" s="29" t="n">
        <v>431715</v>
      </c>
      <c r="J104" s="29" t="n">
        <v>449852</v>
      </c>
      <c r="K104" s="29" t="n">
        <v>598218</v>
      </c>
      <c r="L104" s="29" t="n">
        <v>751888</v>
      </c>
      <c r="M104" s="29" t="n">
        <v>731112</v>
      </c>
      <c r="N104" s="29" t="n">
        <v>652298</v>
      </c>
      <c r="O104" s="29" t="n">
        <v>619081</v>
      </c>
      <c r="P104" s="29" t="n">
        <v>589950</v>
      </c>
      <c r="Q104" s="29" t="n">
        <v>645048</v>
      </c>
      <c r="R104" s="29" t="n">
        <v>607080</v>
      </c>
      <c r="S104" s="29" t="n">
        <v>448818</v>
      </c>
      <c r="T104" s="29" t="n">
        <v>299478</v>
      </c>
      <c r="U104" s="29" t="n">
        <v>305959</v>
      </c>
      <c r="V104" s="29" t="n">
        <v>4852926</v>
      </c>
      <c r="W104" s="29" t="n">
        <v>4233068</v>
      </c>
      <c r="X104" s="30">
        <f>SUM(E104:G104)</f>
        <v/>
      </c>
      <c r="Y104" s="30">
        <f>SUM(H104:I104)</f>
        <v/>
      </c>
      <c r="Z104" s="30">
        <f>SUM(J104:K104)</f>
        <v/>
      </c>
      <c r="AA104" s="30">
        <f>SUM(L104:M104)</f>
        <v/>
      </c>
      <c r="AB104" s="30">
        <f>SUM(N104:O104)</f>
        <v/>
      </c>
      <c r="AC104" s="30">
        <f>SUM(P104:Q104)</f>
        <v/>
      </c>
      <c r="AD104" s="30">
        <f>SUM(R104:U104)</f>
        <v/>
      </c>
      <c r="AE104" s="31">
        <f>SUM(X104:AD104)</f>
        <v/>
      </c>
      <c r="AF104" s="32">
        <f>AE104/SUM($AE$5:$AE$222)</f>
        <v/>
      </c>
      <c r="AG104" s="10">
        <f>RANK(AE104,$AE$5:$AE$222)</f>
        <v/>
      </c>
      <c r="AH104" s="29" t="n">
        <v>9132629</v>
      </c>
      <c r="AI104" s="9">
        <f>IF(AH104&gt;0,AE104/AH104-1,"")</f>
        <v/>
      </c>
      <c r="AJ104" s="29" t="n">
        <v>10279</v>
      </c>
      <c r="AK104" s="19">
        <f>IF(SUM($E104:E104)&gt;=AE104/2,0+5*(AE104/2-0)/E104,IF(SUM($E104:F104)&gt;=AE104/2,5+5*(AE104/2-SUM($E104:E104))/F104,IF(SUM($E104:G104)&gt;=AE104/2,10+5*(AE104/2-SUM($E104:F104))/G104,IF(SUM($E104:H104)&gt;=AE104/2,15+5*(AE104/2-SUM($E104:G104))/H104,IF(SUM($E104:I104)&gt;=AE104/2,20+5*(AE104/2-SUM($E104:H104))/I104,IF(SUM($E104:J104)&gt;=AE104/2,25+5*(AE104/2-SUM($E104:I104))/J104,IF(SUM($E104:K104)&gt;=AE104/2,30+5*(AE104/2-SUM($E104:J104))/K104,IF(SUM($E104:L104)&gt;=AE104/2,35+5*(AE104/2-SUM($E104:K104))/L104,IF(SUM($E104:M104)&gt;=AE104/2,40+5*(AE104/2-SUM($E104:L104))/M104,IF(SUM($E104:N104)&gt;=AE104/2,45+5*(AE104/2-SUM($E104:M104))/N104,IF(SUM($E104:O104)&gt;=AE104/2,50+5*(AE104/2-SUM($E104:N104))/O104,IF(SUM($E104:P104)&gt;=AE104/2,55+5*(AE104/2-SUM($E104:O104))/P104,IF(SUM($E104:Q104)&gt;=AE104/2,60+5*(AE104/2-SUM($E104:P104))/Q104,IF(SUM($E104:R104)&gt;=AE104/2,65+5*(AE104/2-SUM($E104:Q104))/R104,IF(SUM($E104:S104)&gt;=AE104/2,70+5*(AE104/2-SUM($E104:R104))/S104,IF(SUM($E104:T104)&gt;=AE104/2,75+5*(AE104/2-SUM($E104:S104))/T104,""))))))))))))))))</f>
        <v/>
      </c>
      <c r="AL104" s="30">
        <f>SUM(H104:Q104)</f>
        <v/>
      </c>
      <c r="AM104" s="24" t="n">
        <v>0.076</v>
      </c>
      <c r="AN104" s="24" t="n">
        <v>0.103</v>
      </c>
      <c r="AO104" s="33">
        <f>IF(AND(ISNUMBER(AN104),ISNUMBER(AM104)),(AN104-AM104)*100,"")</f>
        <v/>
      </c>
      <c r="AP104" s="30">
        <f>IF(ISNUMBER(AN104),AN104*AL104,"")</f>
        <v/>
      </c>
      <c r="AQ104" s="30">
        <f>IF(ISNUMBER(AN104),AL104,0)</f>
        <v/>
      </c>
      <c r="BB104" s="30">
        <f>IF(BA104="Yes",AX104,0)</f>
        <v/>
      </c>
      <c r="BC104" s="30">
        <f>IF(AND(BA104="Yes",ISNUMBER(AP104)),AP104,0)</f>
        <v/>
      </c>
      <c r="BD104" s="30">
        <f>IF(BA104="Yes",AX104,IF(ISNUMBER(AP104),AP104,0))</f>
        <v/>
      </c>
    </row>
    <row r="105">
      <c r="A105" s="6" t="inlineStr">
        <is>
          <t>SLE</t>
        </is>
      </c>
      <c r="B105" s="6" t="inlineStr">
        <is>
          <t>Sierra Leone</t>
        </is>
      </c>
      <c r="C105" s="6" t="inlineStr">
        <is>
          <t>Sub-Saharan Africa</t>
        </is>
      </c>
      <c r="D105" s="6" t="inlineStr">
        <is>
          <t>Low income</t>
        </is>
      </c>
      <c r="E105" s="29" t="n">
        <v>1180556</v>
      </c>
      <c r="F105" s="29" t="n">
        <v>1099123</v>
      </c>
      <c r="G105" s="29" t="n">
        <v>1041037</v>
      </c>
      <c r="H105" s="29" t="n">
        <v>961279</v>
      </c>
      <c r="I105" s="29" t="n">
        <v>856679</v>
      </c>
      <c r="J105" s="29" t="n">
        <v>743148</v>
      </c>
      <c r="K105" s="29" t="n">
        <v>625155</v>
      </c>
      <c r="L105" s="29" t="n">
        <v>526266</v>
      </c>
      <c r="M105" s="29" t="n">
        <v>438244</v>
      </c>
      <c r="N105" s="29" t="n">
        <v>359464</v>
      </c>
      <c r="O105" s="29" t="n">
        <v>290219</v>
      </c>
      <c r="P105" s="29" t="n">
        <v>231255</v>
      </c>
      <c r="Q105" s="29" t="n">
        <v>177758</v>
      </c>
      <c r="R105" s="29" t="n">
        <v>126762</v>
      </c>
      <c r="S105" s="29" t="n">
        <v>82134</v>
      </c>
      <c r="T105" s="29" t="n">
        <v>47653</v>
      </c>
      <c r="U105" s="29" t="n">
        <v>33062</v>
      </c>
      <c r="V105" s="29" t="n">
        <v>4420772</v>
      </c>
      <c r="W105" s="29" t="n">
        <v>4399022</v>
      </c>
      <c r="X105" s="30">
        <f>SUM(E105:G105)</f>
        <v/>
      </c>
      <c r="Y105" s="30">
        <f>SUM(H105:I105)</f>
        <v/>
      </c>
      <c r="Z105" s="30">
        <f>SUM(J105:K105)</f>
        <v/>
      </c>
      <c r="AA105" s="30">
        <f>SUM(L105:M105)</f>
        <v/>
      </c>
      <c r="AB105" s="30">
        <f>SUM(N105:O105)</f>
        <v/>
      </c>
      <c r="AC105" s="30">
        <f>SUM(P105:Q105)</f>
        <v/>
      </c>
      <c r="AD105" s="30">
        <f>SUM(R105:U105)</f>
        <v/>
      </c>
      <c r="AE105" s="31">
        <f>SUM(X105:AD105)</f>
        <v/>
      </c>
      <c r="AF105" s="32">
        <f>AE105/SUM($AE$5:$AE$222)</f>
        <v/>
      </c>
      <c r="AG105" s="10">
        <f>RANK(AE105,$AE$5:$AE$222)</f>
        <v/>
      </c>
      <c r="AH105" s="29" t="n">
        <v>8642022</v>
      </c>
      <c r="AI105" s="9">
        <f>IF(AH105&gt;0,AE105/AH105-1,"")</f>
        <v/>
      </c>
      <c r="AJ105" s="29" t="n">
        <v>846</v>
      </c>
      <c r="AK105" s="19">
        <f>IF(SUM($E105:E105)&gt;=AE105/2,0+5*(AE105/2-0)/E105,IF(SUM($E105:F105)&gt;=AE105/2,5+5*(AE105/2-SUM($E105:E105))/F105,IF(SUM($E105:G105)&gt;=AE105/2,10+5*(AE105/2-SUM($E105:F105))/G105,IF(SUM($E105:H105)&gt;=AE105/2,15+5*(AE105/2-SUM($E105:G105))/H105,IF(SUM($E105:I105)&gt;=AE105/2,20+5*(AE105/2-SUM($E105:H105))/I105,IF(SUM($E105:J105)&gt;=AE105/2,25+5*(AE105/2-SUM($E105:I105))/J105,IF(SUM($E105:K105)&gt;=AE105/2,30+5*(AE105/2-SUM($E105:J105))/K105,IF(SUM($E105:L105)&gt;=AE105/2,35+5*(AE105/2-SUM($E105:K105))/L105,IF(SUM($E105:M105)&gt;=AE105/2,40+5*(AE105/2-SUM($E105:L105))/M105,IF(SUM($E105:N105)&gt;=AE105/2,45+5*(AE105/2-SUM($E105:M105))/N105,IF(SUM($E105:O105)&gt;=AE105/2,50+5*(AE105/2-SUM($E105:N105))/O105,IF(SUM($E105:P105)&gt;=AE105/2,55+5*(AE105/2-SUM($E105:O105))/P105,IF(SUM($E105:Q105)&gt;=AE105/2,60+5*(AE105/2-SUM($E105:P105))/Q105,IF(SUM($E105:R105)&gt;=AE105/2,65+5*(AE105/2-SUM($E105:Q105))/R105,IF(SUM($E105:S105)&gt;=AE105/2,70+5*(AE105/2-SUM($E105:R105))/S105,IF(SUM($E105:T105)&gt;=AE105/2,75+5*(AE105/2-SUM($E105:S105))/T105,""))))))))))))))))</f>
        <v/>
      </c>
      <c r="AL105" s="30">
        <f>SUM(H105:Q105)</f>
        <v/>
      </c>
      <c r="AM105" s="24" t="n">
        <v>0.08699999999999999</v>
      </c>
      <c r="AN105" s="24" t="n">
        <v>0.104</v>
      </c>
      <c r="AO105" s="33">
        <f>IF(AND(ISNUMBER(AN105),ISNUMBER(AM105)),(AN105-AM105)*100,"")</f>
        <v/>
      </c>
      <c r="AP105" s="30">
        <f>IF(ISNUMBER(AN105),AN105*AL105,"")</f>
        <v/>
      </c>
      <c r="AQ105" s="30">
        <f>IF(ISNUMBER(AN105),AL105,0)</f>
        <v/>
      </c>
      <c r="BB105" s="30">
        <f>IF(BA105="Yes",AX105,0)</f>
        <v/>
      </c>
      <c r="BC105" s="30">
        <f>IF(AND(BA105="Yes",ISNUMBER(AP105)),AP105,0)</f>
        <v/>
      </c>
      <c r="BD105" s="30">
        <f>IF(BA105="Yes",AX105,IF(ISNUMBER(AP105),AP105,0))</f>
        <v/>
      </c>
    </row>
    <row r="106">
      <c r="A106" s="6" t="inlineStr">
        <is>
          <t>TGO</t>
        </is>
      </c>
      <c r="B106" s="6" t="inlineStr">
        <is>
          <t>Togo</t>
        </is>
      </c>
      <c r="C106" s="6" t="inlineStr">
        <is>
          <t>Sub-Saharan Africa</t>
        </is>
      </c>
      <c r="D106" s="6" t="inlineStr">
        <is>
          <t>Lower middle income</t>
        </is>
      </c>
      <c r="E106" s="29" t="n">
        <v>1184978</v>
      </c>
      <c r="F106" s="29" t="n">
        <v>1170438</v>
      </c>
      <c r="G106" s="29" t="n">
        <v>1117778</v>
      </c>
      <c r="H106" s="29" t="n">
        <v>939537</v>
      </c>
      <c r="I106" s="29" t="n">
        <v>750823</v>
      </c>
      <c r="J106" s="29" t="n">
        <v>622254</v>
      </c>
      <c r="K106" s="29" t="n">
        <v>552818</v>
      </c>
      <c r="L106" s="29" t="n">
        <v>505523</v>
      </c>
      <c r="M106" s="29" t="n">
        <v>434558</v>
      </c>
      <c r="N106" s="29" t="n">
        <v>349038</v>
      </c>
      <c r="O106" s="29" t="n">
        <v>277662</v>
      </c>
      <c r="P106" s="29" t="n">
        <v>219619</v>
      </c>
      <c r="Q106" s="29" t="n">
        <v>167889</v>
      </c>
      <c r="R106" s="29" t="n">
        <v>119614</v>
      </c>
      <c r="S106" s="29" t="n">
        <v>78415</v>
      </c>
      <c r="T106" s="29" t="n">
        <v>53250</v>
      </c>
      <c r="U106" s="29" t="n">
        <v>47435</v>
      </c>
      <c r="V106" s="29" t="n">
        <v>4386495</v>
      </c>
      <c r="W106" s="29" t="n">
        <v>4205134</v>
      </c>
      <c r="X106" s="30">
        <f>SUM(E106:G106)</f>
        <v/>
      </c>
      <c r="Y106" s="30">
        <f>SUM(H106:I106)</f>
        <v/>
      </c>
      <c r="Z106" s="30">
        <f>SUM(J106:K106)</f>
        <v/>
      </c>
      <c r="AA106" s="30">
        <f>SUM(L106:M106)</f>
        <v/>
      </c>
      <c r="AB106" s="30">
        <f>SUM(N106:O106)</f>
        <v/>
      </c>
      <c r="AC106" s="30">
        <f>SUM(P106:Q106)</f>
        <v/>
      </c>
      <c r="AD106" s="30">
        <f>SUM(R106:U106)</f>
        <v/>
      </c>
      <c r="AE106" s="31">
        <f>SUM(X106:AD106)</f>
        <v/>
      </c>
      <c r="AF106" s="32">
        <f>AE106/SUM($AE$5:$AE$222)</f>
        <v/>
      </c>
      <c r="AG106" s="10">
        <f>RANK(AE106,$AE$5:$AE$222)</f>
        <v/>
      </c>
      <c r="AH106" s="29" t="n">
        <v>8406558</v>
      </c>
      <c r="AI106" s="9">
        <f>IF(AH106&gt;0,AE106/AH106-1,"")</f>
        <v/>
      </c>
      <c r="AJ106" s="29" t="n">
        <v>1384</v>
      </c>
      <c r="AK106" s="19">
        <f>IF(SUM($E106:E106)&gt;=AE106/2,0+5*(AE106/2-0)/E106,IF(SUM($E106:F106)&gt;=AE106/2,5+5*(AE106/2-SUM($E106:E106))/F106,IF(SUM($E106:G106)&gt;=AE106/2,10+5*(AE106/2-SUM($E106:F106))/G106,IF(SUM($E106:H106)&gt;=AE106/2,15+5*(AE106/2-SUM($E106:G106))/H106,IF(SUM($E106:I106)&gt;=AE106/2,20+5*(AE106/2-SUM($E106:H106))/I106,IF(SUM($E106:J106)&gt;=AE106/2,25+5*(AE106/2-SUM($E106:I106))/J106,IF(SUM($E106:K106)&gt;=AE106/2,30+5*(AE106/2-SUM($E106:J106))/K106,IF(SUM($E106:L106)&gt;=AE106/2,35+5*(AE106/2-SUM($E106:K106))/L106,IF(SUM($E106:M106)&gt;=AE106/2,40+5*(AE106/2-SUM($E106:L106))/M106,IF(SUM($E106:N106)&gt;=AE106/2,45+5*(AE106/2-SUM($E106:M106))/N106,IF(SUM($E106:O106)&gt;=AE106/2,50+5*(AE106/2-SUM($E106:N106))/O106,IF(SUM($E106:P106)&gt;=AE106/2,55+5*(AE106/2-SUM($E106:O106))/P106,IF(SUM($E106:Q106)&gt;=AE106/2,60+5*(AE106/2-SUM($E106:P106))/Q106,IF(SUM($E106:R106)&gt;=AE106/2,65+5*(AE106/2-SUM($E106:Q106))/R106,IF(SUM($E106:S106)&gt;=AE106/2,70+5*(AE106/2-SUM($E106:R106))/S106,IF(SUM($E106:T106)&gt;=AE106/2,75+5*(AE106/2-SUM($E106:S106))/T106,""))))))))))))))))</f>
        <v/>
      </c>
      <c r="AL106" s="30">
        <f>SUM(H106:Q106)</f>
        <v/>
      </c>
      <c r="AM106" s="24" t="n">
        <v>0.08699999999999999</v>
      </c>
      <c r="AN106" s="24" t="n">
        <v>0.104</v>
      </c>
      <c r="AO106" s="33">
        <f>IF(AND(ISNUMBER(AN106),ISNUMBER(AM106)),(AN106-AM106)*100,"")</f>
        <v/>
      </c>
      <c r="AP106" s="30">
        <f>IF(ISNUMBER(AN106),AN106*AL106,"")</f>
        <v/>
      </c>
      <c r="AQ106" s="30">
        <f>IF(ISNUMBER(AN106),AL106,0)</f>
        <v/>
      </c>
      <c r="BB106" s="30">
        <f>IF(BA106="Yes",AX106,0)</f>
        <v/>
      </c>
      <c r="BC106" s="30">
        <f>IF(AND(BA106="Yes",ISNUMBER(AP106)),AP106,0)</f>
        <v/>
      </c>
      <c r="BD106" s="30">
        <f>IF(BA106="Yes",AX106,IF(ISNUMBER(AP106),AP106,0))</f>
        <v/>
      </c>
    </row>
    <row r="107">
      <c r="A107" s="6" t="inlineStr">
        <is>
          <t>LAO</t>
        </is>
      </c>
      <c r="B107" s="6" t="inlineStr">
        <is>
          <t>Lao PDR</t>
        </is>
      </c>
      <c r="C107" s="6" t="inlineStr">
        <is>
          <t>East Asia &amp; Pacific</t>
        </is>
      </c>
      <c r="D107" s="6" t="inlineStr">
        <is>
          <t>Lower middle income</t>
        </is>
      </c>
      <c r="E107" s="29" t="n">
        <v>787658</v>
      </c>
      <c r="F107" s="29" t="n">
        <v>797280</v>
      </c>
      <c r="G107" s="29" t="n">
        <v>764354</v>
      </c>
      <c r="H107" s="29" t="n">
        <v>741610</v>
      </c>
      <c r="I107" s="29" t="n">
        <v>710014</v>
      </c>
      <c r="J107" s="29" t="n">
        <v>698484</v>
      </c>
      <c r="K107" s="29" t="n">
        <v>653585</v>
      </c>
      <c r="L107" s="29" t="n">
        <v>596288</v>
      </c>
      <c r="M107" s="29" t="n">
        <v>500118</v>
      </c>
      <c r="N107" s="29" t="n">
        <v>405628</v>
      </c>
      <c r="O107" s="29" t="n">
        <v>334874</v>
      </c>
      <c r="P107" s="29" t="n">
        <v>278161</v>
      </c>
      <c r="Q107" s="29" t="n">
        <v>226456</v>
      </c>
      <c r="R107" s="29" t="n">
        <v>165568</v>
      </c>
      <c r="S107" s="29" t="n">
        <v>106712</v>
      </c>
      <c r="T107" s="29" t="n">
        <v>60871</v>
      </c>
      <c r="U107" s="29" t="n">
        <v>45392</v>
      </c>
      <c r="V107" s="29" t="n">
        <v>3917640</v>
      </c>
      <c r="W107" s="29" t="n">
        <v>3955413</v>
      </c>
      <c r="X107" s="30">
        <f>SUM(E107:G107)</f>
        <v/>
      </c>
      <c r="Y107" s="30">
        <f>SUM(H107:I107)</f>
        <v/>
      </c>
      <c r="Z107" s="30">
        <f>SUM(J107:K107)</f>
        <v/>
      </c>
      <c r="AA107" s="30">
        <f>SUM(L107:M107)</f>
        <v/>
      </c>
      <c r="AB107" s="30">
        <f>SUM(N107:O107)</f>
        <v/>
      </c>
      <c r="AC107" s="30">
        <f>SUM(P107:Q107)</f>
        <v/>
      </c>
      <c r="AD107" s="30">
        <f>SUM(R107:U107)</f>
        <v/>
      </c>
      <c r="AE107" s="31">
        <f>SUM(X107:AD107)</f>
        <v/>
      </c>
      <c r="AF107" s="32">
        <f>AE107/SUM($AE$5:$AE$222)</f>
        <v/>
      </c>
      <c r="AG107" s="10">
        <f>RANK(AE107,$AE$5:$AE$222)</f>
        <v/>
      </c>
      <c r="AH107" s="29" t="n">
        <v>7769819</v>
      </c>
      <c r="AI107" s="9">
        <f>IF(AH107&gt;0,AE107/AH107-1,"")</f>
        <v/>
      </c>
      <c r="AJ107" s="29" t="n">
        <v>2325</v>
      </c>
      <c r="AK107" s="19">
        <f>IF(SUM($E107:E107)&gt;=AE107/2,0+5*(AE107/2-0)/E107,IF(SUM($E107:F107)&gt;=AE107/2,5+5*(AE107/2-SUM($E107:E107))/F107,IF(SUM($E107:G107)&gt;=AE107/2,10+5*(AE107/2-SUM($E107:F107))/G107,IF(SUM($E107:H107)&gt;=AE107/2,15+5*(AE107/2-SUM($E107:G107))/H107,IF(SUM($E107:I107)&gt;=AE107/2,20+5*(AE107/2-SUM($E107:H107))/I107,IF(SUM($E107:J107)&gt;=AE107/2,25+5*(AE107/2-SUM($E107:I107))/J107,IF(SUM($E107:K107)&gt;=AE107/2,30+5*(AE107/2-SUM($E107:J107))/K107,IF(SUM($E107:L107)&gt;=AE107/2,35+5*(AE107/2-SUM($E107:K107))/L107,IF(SUM($E107:M107)&gt;=AE107/2,40+5*(AE107/2-SUM($E107:L107))/M107,IF(SUM($E107:N107)&gt;=AE107/2,45+5*(AE107/2-SUM($E107:M107))/N107,IF(SUM($E107:O107)&gt;=AE107/2,50+5*(AE107/2-SUM($E107:N107))/O107,IF(SUM($E107:P107)&gt;=AE107/2,55+5*(AE107/2-SUM($E107:O107))/P107,IF(SUM($E107:Q107)&gt;=AE107/2,60+5*(AE107/2-SUM($E107:P107))/Q107,IF(SUM($E107:R107)&gt;=AE107/2,65+5*(AE107/2-SUM($E107:Q107))/R107,IF(SUM($E107:S107)&gt;=AE107/2,70+5*(AE107/2-SUM($E107:R107))/S107,IF(SUM($E107:T107)&gt;=AE107/2,75+5*(AE107/2-SUM($E107:S107))/T107,""))))))))))))))))</f>
        <v/>
      </c>
      <c r="AL107" s="30">
        <f>SUM(H107:Q107)</f>
        <v/>
      </c>
      <c r="AM107" s="24" t="n">
        <v>0.06</v>
      </c>
      <c r="AN107" s="24" t="n">
        <v>0.08400000000000001</v>
      </c>
      <c r="AO107" s="33">
        <f>IF(AND(ISNUMBER(AN107),ISNUMBER(AM107)),(AN107-AM107)*100,"")</f>
        <v/>
      </c>
      <c r="AP107" s="30">
        <f>IF(ISNUMBER(AN107),AN107*AL107,"")</f>
        <v/>
      </c>
      <c r="AQ107" s="30">
        <f>IF(ISNUMBER(AN107),AL107,0)</f>
        <v/>
      </c>
      <c r="BB107" s="30">
        <f>IF(BA107="Yes",AX107,0)</f>
        <v/>
      </c>
      <c r="BC107" s="30">
        <f>IF(AND(BA107="Yes",ISNUMBER(AP107)),AP107,0)</f>
        <v/>
      </c>
      <c r="BD107" s="30">
        <f>IF(BA107="Yes",AX107,IF(ISNUMBER(AP107),AP107,0))</f>
        <v/>
      </c>
    </row>
    <row r="108">
      <c r="A108" s="6" t="inlineStr">
        <is>
          <t>TKM</t>
        </is>
      </c>
      <c r="B108" s="6" t="inlineStr">
        <is>
          <t>Turkmenistan</t>
        </is>
      </c>
      <c r="C108" s="6" t="inlineStr">
        <is>
          <t>Europe &amp; Central Asia</t>
        </is>
      </c>
      <c r="D108" s="6" t="inlineStr">
        <is>
          <t>Upper middle income</t>
        </is>
      </c>
      <c r="E108" s="29" t="n">
        <v>781355</v>
      </c>
      <c r="F108" s="29" t="n">
        <v>826583</v>
      </c>
      <c r="G108" s="29" t="n">
        <v>770554</v>
      </c>
      <c r="H108" s="29" t="n">
        <v>579494</v>
      </c>
      <c r="I108" s="29" t="n">
        <v>500361</v>
      </c>
      <c r="J108" s="29" t="n">
        <v>630729</v>
      </c>
      <c r="K108" s="29" t="n">
        <v>670508</v>
      </c>
      <c r="L108" s="29" t="n">
        <v>589277</v>
      </c>
      <c r="M108" s="29" t="n">
        <v>487052</v>
      </c>
      <c r="N108" s="29" t="n">
        <v>422725</v>
      </c>
      <c r="O108" s="29" t="n">
        <v>399823</v>
      </c>
      <c r="P108" s="29" t="n">
        <v>333244</v>
      </c>
      <c r="Q108" s="29" t="n">
        <v>260843</v>
      </c>
      <c r="R108" s="29" t="n">
        <v>184235</v>
      </c>
      <c r="S108" s="29" t="n">
        <v>101013</v>
      </c>
      <c r="T108" s="29" t="n">
        <v>45513</v>
      </c>
      <c r="U108" s="29" t="n">
        <v>35538</v>
      </c>
      <c r="V108" s="29" t="n">
        <v>3877184</v>
      </c>
      <c r="W108" s="29" t="n">
        <v>3741663</v>
      </c>
      <c r="X108" s="30">
        <f>SUM(E108:G108)</f>
        <v/>
      </c>
      <c r="Y108" s="30">
        <f>SUM(H108:I108)</f>
        <v/>
      </c>
      <c r="Z108" s="30">
        <f>SUM(J108:K108)</f>
        <v/>
      </c>
      <c r="AA108" s="30">
        <f>SUM(L108:M108)</f>
        <v/>
      </c>
      <c r="AB108" s="30">
        <f>SUM(N108:O108)</f>
        <v/>
      </c>
      <c r="AC108" s="30">
        <f>SUM(P108:Q108)</f>
        <v/>
      </c>
      <c r="AD108" s="30">
        <f>SUM(R108:U108)</f>
        <v/>
      </c>
      <c r="AE108" s="31">
        <f>SUM(X108:AD108)</f>
        <v/>
      </c>
      <c r="AF108" s="32">
        <f>AE108/SUM($AE$5:$AE$222)</f>
        <v/>
      </c>
      <c r="AG108" s="10">
        <f>RANK(AE108,$AE$5:$AE$222)</f>
        <v/>
      </c>
      <c r="AH108" s="29" t="n">
        <v>7494498</v>
      </c>
      <c r="AI108" s="9">
        <f>IF(AH108&gt;0,AE108/AH108-1,"")</f>
        <v/>
      </c>
      <c r="AJ108" s="29" t="n">
        <v>6540</v>
      </c>
      <c r="AK108" s="19">
        <f>IF(SUM($E108:E108)&gt;=AE108/2,0+5*(AE108/2-0)/E108,IF(SUM($E108:F108)&gt;=AE108/2,5+5*(AE108/2-SUM($E108:E108))/F108,IF(SUM($E108:G108)&gt;=AE108/2,10+5*(AE108/2-SUM($E108:F108))/G108,IF(SUM($E108:H108)&gt;=AE108/2,15+5*(AE108/2-SUM($E108:G108))/H108,IF(SUM($E108:I108)&gt;=AE108/2,20+5*(AE108/2-SUM($E108:H108))/I108,IF(SUM($E108:J108)&gt;=AE108/2,25+5*(AE108/2-SUM($E108:I108))/J108,IF(SUM($E108:K108)&gt;=AE108/2,30+5*(AE108/2-SUM($E108:J108))/K108,IF(SUM($E108:L108)&gt;=AE108/2,35+5*(AE108/2-SUM($E108:K108))/L108,IF(SUM($E108:M108)&gt;=AE108/2,40+5*(AE108/2-SUM($E108:L108))/M108,IF(SUM($E108:N108)&gt;=AE108/2,45+5*(AE108/2-SUM($E108:M108))/N108,IF(SUM($E108:O108)&gt;=AE108/2,50+5*(AE108/2-SUM($E108:N108))/O108,IF(SUM($E108:P108)&gt;=AE108/2,55+5*(AE108/2-SUM($E108:O108))/P108,IF(SUM($E108:Q108)&gt;=AE108/2,60+5*(AE108/2-SUM($E108:P108))/Q108,IF(SUM($E108:R108)&gt;=AE108/2,65+5*(AE108/2-SUM($E108:Q108))/R108,IF(SUM($E108:S108)&gt;=AE108/2,70+5*(AE108/2-SUM($E108:R108))/S108,IF(SUM($E108:T108)&gt;=AE108/2,75+5*(AE108/2-SUM($E108:S108))/T108,""))))))))))))))))</f>
        <v/>
      </c>
      <c r="AL108" s="30">
        <f>SUM(H108:Q108)</f>
        <v/>
      </c>
      <c r="AM108" s="24" t="n">
        <v>0.051</v>
      </c>
      <c r="AN108" s="24" t="n">
        <v>0.063</v>
      </c>
      <c r="AO108" s="33">
        <f>IF(AND(ISNUMBER(AN108),ISNUMBER(AM108)),(AN108-AM108)*100,"")</f>
        <v/>
      </c>
      <c r="AP108" s="30">
        <f>IF(ISNUMBER(AN108),AN108*AL108,"")</f>
        <v/>
      </c>
      <c r="AQ108" s="30">
        <f>IF(ISNUMBER(AN108),AL108,0)</f>
        <v/>
      </c>
      <c r="BB108" s="30">
        <f>IF(BA108="Yes",AX108,0)</f>
        <v/>
      </c>
      <c r="BC108" s="30">
        <f>IF(AND(BA108="Yes",ISNUMBER(AP108)),AP108,0)</f>
        <v/>
      </c>
      <c r="BD108" s="30">
        <f>IF(BA108="Yes",AX108,IF(ISNUMBER(AP108),AP108,0))</f>
        <v/>
      </c>
    </row>
    <row r="109">
      <c r="A109" s="6" t="inlineStr">
        <is>
          <t>HKG</t>
        </is>
      </c>
      <c r="B109" s="6" t="inlineStr">
        <is>
          <t>Hong Kong SAR, China</t>
        </is>
      </c>
      <c r="C109" s="6" t="inlineStr">
        <is>
          <t>East Asia &amp; Pacific</t>
        </is>
      </c>
      <c r="D109" s="6" t="inlineStr">
        <is>
          <t>High income</t>
        </is>
      </c>
      <c r="E109" s="29" t="n">
        <v>213743</v>
      </c>
      <c r="F109" s="29" t="n">
        <v>255503</v>
      </c>
      <c r="G109" s="29" t="n">
        <v>303992</v>
      </c>
      <c r="H109" s="29" t="n">
        <v>285161</v>
      </c>
      <c r="I109" s="29" t="n">
        <v>263316</v>
      </c>
      <c r="J109" s="29" t="n">
        <v>373253</v>
      </c>
      <c r="K109" s="29" t="n">
        <v>498758</v>
      </c>
      <c r="L109" s="29" t="n">
        <v>556402</v>
      </c>
      <c r="M109" s="29" t="n">
        <v>604334</v>
      </c>
      <c r="N109" s="29" t="n">
        <v>579677</v>
      </c>
      <c r="O109" s="29" t="n">
        <v>585889</v>
      </c>
      <c r="P109" s="29" t="n">
        <v>572057</v>
      </c>
      <c r="Q109" s="29" t="n">
        <v>632025</v>
      </c>
      <c r="R109" s="29" t="n">
        <v>582054</v>
      </c>
      <c r="S109" s="29" t="n">
        <v>458460</v>
      </c>
      <c r="T109" s="29" t="n">
        <v>320916</v>
      </c>
      <c r="U109" s="29" t="n">
        <v>413360</v>
      </c>
      <c r="V109" s="29" t="n">
        <v>4123814</v>
      </c>
      <c r="W109" s="29" t="n">
        <v>3375086</v>
      </c>
      <c r="X109" s="30">
        <f>SUM(E109:G109)</f>
        <v/>
      </c>
      <c r="Y109" s="30">
        <f>SUM(H109:I109)</f>
        <v/>
      </c>
      <c r="Z109" s="30">
        <f>SUM(J109:K109)</f>
        <v/>
      </c>
      <c r="AA109" s="30">
        <f>SUM(L109:M109)</f>
        <v/>
      </c>
      <c r="AB109" s="30">
        <f>SUM(N109:O109)</f>
        <v/>
      </c>
      <c r="AC109" s="30">
        <f>SUM(P109:Q109)</f>
        <v/>
      </c>
      <c r="AD109" s="30">
        <f>SUM(R109:U109)</f>
        <v/>
      </c>
      <c r="AE109" s="31">
        <f>SUM(X109:AD109)</f>
        <v/>
      </c>
      <c r="AF109" s="32">
        <f>AE109/SUM($AE$5:$AE$222)</f>
        <v/>
      </c>
      <c r="AG109" s="10">
        <f>RANK(AE109,$AE$5:$AE$222)</f>
        <v/>
      </c>
      <c r="AH109" s="29" t="n">
        <v>7524100</v>
      </c>
      <c r="AI109" s="9">
        <f>IF(AH109&gt;0,AE109/AH109-1,"")</f>
        <v/>
      </c>
      <c r="AJ109" s="29" t="n">
        <v>56983</v>
      </c>
      <c r="AK109" s="19">
        <f>IF(SUM($E109:E109)&gt;=AE109/2,0+5*(AE109/2-0)/E109,IF(SUM($E109:F109)&gt;=AE109/2,5+5*(AE109/2-SUM($E109:E109))/F109,IF(SUM($E109:G109)&gt;=AE109/2,10+5*(AE109/2-SUM($E109:F109))/G109,IF(SUM($E109:H109)&gt;=AE109/2,15+5*(AE109/2-SUM($E109:G109))/H109,IF(SUM($E109:I109)&gt;=AE109/2,20+5*(AE109/2-SUM($E109:H109))/I109,IF(SUM($E109:J109)&gt;=AE109/2,25+5*(AE109/2-SUM($E109:I109))/J109,IF(SUM($E109:K109)&gt;=AE109/2,30+5*(AE109/2-SUM($E109:J109))/K109,IF(SUM($E109:L109)&gt;=AE109/2,35+5*(AE109/2-SUM($E109:K109))/L109,IF(SUM($E109:M109)&gt;=AE109/2,40+5*(AE109/2-SUM($E109:L109))/M109,IF(SUM($E109:N109)&gt;=AE109/2,45+5*(AE109/2-SUM($E109:M109))/N109,IF(SUM($E109:O109)&gt;=AE109/2,50+5*(AE109/2-SUM($E109:N109))/O109,IF(SUM($E109:P109)&gt;=AE109/2,55+5*(AE109/2-SUM($E109:O109))/P109,IF(SUM($E109:Q109)&gt;=AE109/2,60+5*(AE109/2-SUM($E109:P109))/Q109,IF(SUM($E109:R109)&gt;=AE109/2,65+5*(AE109/2-SUM($E109:Q109))/R109,IF(SUM($E109:S109)&gt;=AE109/2,70+5*(AE109/2-SUM($E109:R109))/S109,IF(SUM($E109:T109)&gt;=AE109/2,75+5*(AE109/2-SUM($E109:S109))/T109,""))))))))))))))))</f>
        <v/>
      </c>
      <c r="AL109" s="30">
        <f>SUM(H109:Q109)</f>
        <v/>
      </c>
      <c r="AM109" s="36" t="n"/>
      <c r="AN109" s="36" t="n"/>
      <c r="AO109" s="33">
        <f>IF(AND(ISNUMBER(AN109),ISNUMBER(AM109)),(AN109-AM109)*100,"")</f>
        <v/>
      </c>
      <c r="AP109" s="30">
        <f>IF(ISNUMBER(AN109),AN109*AL109,"")</f>
        <v/>
      </c>
      <c r="AQ109" s="30">
        <f>IF(ISNUMBER(AN109),AL109,0)</f>
        <v/>
      </c>
      <c r="BB109" s="30">
        <f>IF(BA109="Yes",AX109,0)</f>
        <v/>
      </c>
      <c r="BC109" s="30">
        <f>IF(AND(BA109="Yes",ISNUMBER(AP109)),AP109,0)</f>
        <v/>
      </c>
      <c r="BD109" s="30">
        <f>IF(BA109="Yes",AX109,IF(ISNUMBER(AP109),AP109,0))</f>
        <v/>
      </c>
    </row>
    <row r="110">
      <c r="A110" s="6" t="inlineStr">
        <is>
          <t>LBY</t>
        </is>
      </c>
      <c r="B110" s="6" t="inlineStr">
        <is>
          <t>Libya</t>
        </is>
      </c>
      <c r="C110" s="6" t="inlineStr">
        <is>
          <t>Middle East, North Africa, Afghanistan &amp; Pakistan</t>
        </is>
      </c>
      <c r="D110" s="6" t="inlineStr">
        <is>
          <t>Upper middle income</t>
        </is>
      </c>
      <c r="E110" s="29" t="n">
        <v>620162</v>
      </c>
      <c r="F110" s="29" t="n">
        <v>675382</v>
      </c>
      <c r="G110" s="29" t="n">
        <v>706870</v>
      </c>
      <c r="H110" s="29" t="n">
        <v>685711</v>
      </c>
      <c r="I110" s="29" t="n">
        <v>622613</v>
      </c>
      <c r="J110" s="29" t="n">
        <v>556305</v>
      </c>
      <c r="K110" s="29" t="n">
        <v>521674</v>
      </c>
      <c r="L110" s="29" t="n">
        <v>527948</v>
      </c>
      <c r="M110" s="29" t="n">
        <v>547036</v>
      </c>
      <c r="N110" s="29" t="n">
        <v>544248</v>
      </c>
      <c r="O110" s="29" t="n">
        <v>466044</v>
      </c>
      <c r="P110" s="29" t="n">
        <v>352562</v>
      </c>
      <c r="Q110" s="29" t="n">
        <v>244785</v>
      </c>
      <c r="R110" s="29" t="n">
        <v>155675</v>
      </c>
      <c r="S110" s="29" t="n">
        <v>98776</v>
      </c>
      <c r="T110" s="29" t="n">
        <v>68726</v>
      </c>
      <c r="U110" s="29" t="n">
        <v>64039</v>
      </c>
      <c r="V110" s="29" t="n">
        <v>3666848</v>
      </c>
      <c r="W110" s="29" t="n">
        <v>3791708</v>
      </c>
      <c r="X110" s="30">
        <f>SUM(E110:G110)</f>
        <v/>
      </c>
      <c r="Y110" s="30">
        <f>SUM(H110:I110)</f>
        <v/>
      </c>
      <c r="Z110" s="30">
        <f>SUM(J110:K110)</f>
        <v/>
      </c>
      <c r="AA110" s="30">
        <f>SUM(L110:M110)</f>
        <v/>
      </c>
      <c r="AB110" s="30">
        <f>SUM(N110:O110)</f>
        <v/>
      </c>
      <c r="AC110" s="30">
        <f>SUM(P110:Q110)</f>
        <v/>
      </c>
      <c r="AD110" s="30">
        <f>SUM(R110:U110)</f>
        <v/>
      </c>
      <c r="AE110" s="31">
        <f>SUM(X110:AD110)</f>
        <v/>
      </c>
      <c r="AF110" s="32">
        <f>AE110/SUM($AE$5:$AE$222)</f>
        <v/>
      </c>
      <c r="AG110" s="10">
        <f>RANK(AE110,$AE$5:$AE$222)</f>
        <v/>
      </c>
      <c r="AH110" s="29" t="n">
        <v>7381023</v>
      </c>
      <c r="AI110" s="9">
        <f>IF(AH110&gt;0,AE110/AH110-1,"")</f>
        <v/>
      </c>
      <c r="AJ110" s="29" t="n">
        <v>6449</v>
      </c>
      <c r="AK110" s="19">
        <f>IF(SUM($E110:E110)&gt;=AE110/2,0+5*(AE110/2-0)/E110,IF(SUM($E110:F110)&gt;=AE110/2,5+5*(AE110/2-SUM($E110:E110))/F110,IF(SUM($E110:G110)&gt;=AE110/2,10+5*(AE110/2-SUM($E110:F110))/G110,IF(SUM($E110:H110)&gt;=AE110/2,15+5*(AE110/2-SUM($E110:G110))/H110,IF(SUM($E110:I110)&gt;=AE110/2,20+5*(AE110/2-SUM($E110:H110))/I110,IF(SUM($E110:J110)&gt;=AE110/2,25+5*(AE110/2-SUM($E110:I110))/J110,IF(SUM($E110:K110)&gt;=AE110/2,30+5*(AE110/2-SUM($E110:J110))/K110,IF(SUM($E110:L110)&gt;=AE110/2,35+5*(AE110/2-SUM($E110:K110))/L110,IF(SUM($E110:M110)&gt;=AE110/2,40+5*(AE110/2-SUM($E110:L110))/M110,IF(SUM($E110:N110)&gt;=AE110/2,45+5*(AE110/2-SUM($E110:M110))/N110,IF(SUM($E110:O110)&gt;=AE110/2,50+5*(AE110/2-SUM($E110:N110))/O110,IF(SUM($E110:P110)&gt;=AE110/2,55+5*(AE110/2-SUM($E110:O110))/P110,IF(SUM($E110:Q110)&gt;=AE110/2,60+5*(AE110/2-SUM($E110:P110))/Q110,IF(SUM($E110:R110)&gt;=AE110/2,65+5*(AE110/2-SUM($E110:Q110))/R110,IF(SUM($E110:S110)&gt;=AE110/2,70+5*(AE110/2-SUM($E110:R110))/S110,IF(SUM($E110:T110)&gt;=AE110/2,75+5*(AE110/2-SUM($E110:S110))/T110,""))))))))))))))))</f>
        <v/>
      </c>
      <c r="AL110" s="30">
        <f>SUM(H110:Q110)</f>
        <v/>
      </c>
      <c r="AM110" s="24" t="n">
        <v>0.127</v>
      </c>
      <c r="AN110" s="24" t="n">
        <v>0.155</v>
      </c>
      <c r="AO110" s="33">
        <f>IF(AND(ISNUMBER(AN110),ISNUMBER(AM110)),(AN110-AM110)*100,"")</f>
        <v/>
      </c>
      <c r="AP110" s="30">
        <f>IF(ISNUMBER(AN110),AN110*AL110,"")</f>
        <v/>
      </c>
      <c r="AQ110" s="30">
        <f>IF(ISNUMBER(AN110),AL110,0)</f>
        <v/>
      </c>
      <c r="BB110" s="30">
        <f>IF(BA110="Yes",AX110,0)</f>
        <v/>
      </c>
      <c r="BC110" s="30">
        <f>IF(AND(BA110="Yes",ISNUMBER(AP110)),AP110,0)</f>
        <v/>
      </c>
      <c r="BD110" s="30">
        <f>IF(BA110="Yes",AX110,IF(ISNUMBER(AP110),AP110,0))</f>
        <v/>
      </c>
    </row>
    <row r="111">
      <c r="A111" s="6" t="inlineStr">
        <is>
          <t>KGZ</t>
        </is>
      </c>
      <c r="B111" s="6" t="inlineStr">
        <is>
          <t>Kyrgyz Republic</t>
        </is>
      </c>
      <c r="C111" s="6" t="inlineStr">
        <is>
          <t>Europe &amp; Central Asia</t>
        </is>
      </c>
      <c r="D111" s="6" t="inlineStr">
        <is>
          <t>Lower middle income</t>
        </is>
      </c>
      <c r="E111" s="29" t="n">
        <v>756817</v>
      </c>
      <c r="F111" s="29" t="n">
        <v>821107</v>
      </c>
      <c r="G111" s="29" t="n">
        <v>765116</v>
      </c>
      <c r="H111" s="29" t="n">
        <v>645946</v>
      </c>
      <c r="I111" s="29" t="n">
        <v>538046</v>
      </c>
      <c r="J111" s="29" t="n">
        <v>539416</v>
      </c>
      <c r="K111" s="29" t="n">
        <v>564589</v>
      </c>
      <c r="L111" s="29" t="n">
        <v>538641</v>
      </c>
      <c r="M111" s="29" t="n">
        <v>441221</v>
      </c>
      <c r="N111" s="29" t="n">
        <v>378787</v>
      </c>
      <c r="O111" s="29" t="n">
        <v>334694</v>
      </c>
      <c r="P111" s="29" t="n">
        <v>303509</v>
      </c>
      <c r="Q111" s="29" t="n">
        <v>277120</v>
      </c>
      <c r="R111" s="29" t="n">
        <v>207864</v>
      </c>
      <c r="S111" s="29" t="n">
        <v>126275</v>
      </c>
      <c r="T111" s="29" t="n">
        <v>60768</v>
      </c>
      <c r="U111" s="29" t="n">
        <v>43148</v>
      </c>
      <c r="V111" s="29" t="n">
        <v>3713841</v>
      </c>
      <c r="W111" s="29" t="n">
        <v>3629223</v>
      </c>
      <c r="X111" s="30">
        <f>SUM(E111:G111)</f>
        <v/>
      </c>
      <c r="Y111" s="30">
        <f>SUM(H111:I111)</f>
        <v/>
      </c>
      <c r="Z111" s="30">
        <f>SUM(J111:K111)</f>
        <v/>
      </c>
      <c r="AA111" s="30">
        <f>SUM(L111:M111)</f>
        <v/>
      </c>
      <c r="AB111" s="30">
        <f>SUM(N111:O111)</f>
        <v/>
      </c>
      <c r="AC111" s="30">
        <f>SUM(P111:Q111)</f>
        <v/>
      </c>
      <c r="AD111" s="30">
        <f>SUM(R111:U111)</f>
        <v/>
      </c>
      <c r="AE111" s="31">
        <f>SUM(X111:AD111)</f>
        <v/>
      </c>
      <c r="AF111" s="32">
        <f>AE111/SUM($AE$5:$AE$222)</f>
        <v/>
      </c>
      <c r="AG111" s="10">
        <f>RANK(AE111,$AE$5:$AE$222)</f>
        <v/>
      </c>
      <c r="AH111" s="29" t="n">
        <v>7221868</v>
      </c>
      <c r="AI111" s="9">
        <f>IF(AH111&gt;0,AE111/AH111-1,"")</f>
        <v/>
      </c>
      <c r="AJ111" s="29" t="n">
        <v>3081</v>
      </c>
      <c r="AK111" s="19">
        <f>IF(SUM($E111:E111)&gt;=AE111/2,0+5*(AE111/2-0)/E111,IF(SUM($E111:F111)&gt;=AE111/2,5+5*(AE111/2-SUM($E111:E111))/F111,IF(SUM($E111:G111)&gt;=AE111/2,10+5*(AE111/2-SUM($E111:F111))/G111,IF(SUM($E111:H111)&gt;=AE111/2,15+5*(AE111/2-SUM($E111:G111))/H111,IF(SUM($E111:I111)&gt;=AE111/2,20+5*(AE111/2-SUM($E111:H111))/I111,IF(SUM($E111:J111)&gt;=AE111/2,25+5*(AE111/2-SUM($E111:I111))/J111,IF(SUM($E111:K111)&gt;=AE111/2,30+5*(AE111/2-SUM($E111:J111))/K111,IF(SUM($E111:L111)&gt;=AE111/2,35+5*(AE111/2-SUM($E111:K111))/L111,IF(SUM($E111:M111)&gt;=AE111/2,40+5*(AE111/2-SUM($E111:L111))/M111,IF(SUM($E111:N111)&gt;=AE111/2,45+5*(AE111/2-SUM($E111:M111))/N111,IF(SUM($E111:O111)&gt;=AE111/2,50+5*(AE111/2-SUM($E111:N111))/O111,IF(SUM($E111:P111)&gt;=AE111/2,55+5*(AE111/2-SUM($E111:O111))/P111,IF(SUM($E111:Q111)&gt;=AE111/2,60+5*(AE111/2-SUM($E111:P111))/Q111,IF(SUM($E111:R111)&gt;=AE111/2,65+5*(AE111/2-SUM($E111:Q111))/R111,IF(SUM($E111:S111)&gt;=AE111/2,70+5*(AE111/2-SUM($E111:R111))/S111,IF(SUM($E111:T111)&gt;=AE111/2,75+5*(AE111/2-SUM($E111:S111))/T111,""))))))))))))))))</f>
        <v/>
      </c>
      <c r="AL111" s="30">
        <f>SUM(H111:Q111)</f>
        <v/>
      </c>
      <c r="AM111" s="24" t="n">
        <v>0.076</v>
      </c>
      <c r="AN111" s="24" t="n">
        <v>0.1</v>
      </c>
      <c r="AO111" s="33">
        <f>IF(AND(ISNUMBER(AN111),ISNUMBER(AM111)),(AN111-AM111)*100,"")</f>
        <v/>
      </c>
      <c r="AP111" s="30">
        <f>IF(ISNUMBER(AN111),AN111*AL111,"")</f>
        <v/>
      </c>
      <c r="AQ111" s="30">
        <f>IF(ISNUMBER(AN111),AL111,0)</f>
        <v/>
      </c>
      <c r="BB111" s="30">
        <f>IF(BA111="Yes",AX111,0)</f>
        <v/>
      </c>
      <c r="BC111" s="30">
        <f>IF(AND(BA111="Yes",ISNUMBER(AP111)),AP111,0)</f>
        <v/>
      </c>
      <c r="BD111" s="30">
        <f>IF(BA111="Yes",AX111,IF(ISNUMBER(AP111),AP111,0))</f>
        <v/>
      </c>
    </row>
    <row r="112">
      <c r="A112" s="6" t="inlineStr">
        <is>
          <t>PRY</t>
        </is>
      </c>
      <c r="B112" s="6" t="inlineStr">
        <is>
          <t>Paraguay</t>
        </is>
      </c>
      <c r="C112" s="6" t="inlineStr">
        <is>
          <t>Latin America &amp; Caribbean</t>
        </is>
      </c>
      <c r="D112" s="6" t="inlineStr">
        <is>
          <t>Upper middle income</t>
        </is>
      </c>
      <c r="E112" s="29" t="n">
        <v>672593</v>
      </c>
      <c r="F112" s="29" t="n">
        <v>678456</v>
      </c>
      <c r="G112" s="29" t="n">
        <v>638646</v>
      </c>
      <c r="H112" s="29" t="n">
        <v>591802</v>
      </c>
      <c r="I112" s="29" t="n">
        <v>573375</v>
      </c>
      <c r="J112" s="29" t="n">
        <v>594883</v>
      </c>
      <c r="K112" s="29" t="n">
        <v>581266</v>
      </c>
      <c r="L112" s="29" t="n">
        <v>539520</v>
      </c>
      <c r="M112" s="29" t="n">
        <v>462281</v>
      </c>
      <c r="N112" s="29" t="n">
        <v>365865</v>
      </c>
      <c r="O112" s="29" t="n">
        <v>314373</v>
      </c>
      <c r="P112" s="29" t="n">
        <v>285798</v>
      </c>
      <c r="Q112" s="29" t="n">
        <v>243046</v>
      </c>
      <c r="R112" s="29" t="n">
        <v>179090</v>
      </c>
      <c r="S112" s="29" t="n">
        <v>126610</v>
      </c>
      <c r="T112" s="29" t="n">
        <v>85472</v>
      </c>
      <c r="U112" s="29" t="n">
        <v>80008</v>
      </c>
      <c r="V112" s="29" t="n">
        <v>3497691</v>
      </c>
      <c r="W112" s="29" t="n">
        <v>3515393</v>
      </c>
      <c r="X112" s="30">
        <f>SUM(E112:G112)</f>
        <v/>
      </c>
      <c r="Y112" s="30">
        <f>SUM(H112:I112)</f>
        <v/>
      </c>
      <c r="Z112" s="30">
        <f>SUM(J112:K112)</f>
        <v/>
      </c>
      <c r="AA112" s="30">
        <f>SUM(L112:M112)</f>
        <v/>
      </c>
      <c r="AB112" s="30">
        <f>SUM(N112:O112)</f>
        <v/>
      </c>
      <c r="AC112" s="30">
        <f>SUM(P112:Q112)</f>
        <v/>
      </c>
      <c r="AD112" s="30">
        <f>SUM(R112:U112)</f>
        <v/>
      </c>
      <c r="AE112" s="31">
        <f>SUM(X112:AD112)</f>
        <v/>
      </c>
      <c r="AF112" s="32">
        <f>AE112/SUM($AE$5:$AE$222)</f>
        <v/>
      </c>
      <c r="AG112" s="10">
        <f>RANK(AE112,$AE$5:$AE$222)</f>
        <v/>
      </c>
      <c r="AH112" s="29" t="n">
        <v>6929153</v>
      </c>
      <c r="AI112" s="9">
        <f>IF(AH112&gt;0,AE112/AH112-1,"")</f>
        <v/>
      </c>
      <c r="AJ112" s="29" t="n">
        <v>7027</v>
      </c>
      <c r="AK112" s="19">
        <f>IF(SUM($E112:E112)&gt;=AE112/2,0+5*(AE112/2-0)/E112,IF(SUM($E112:F112)&gt;=AE112/2,5+5*(AE112/2-SUM($E112:E112))/F112,IF(SUM($E112:G112)&gt;=AE112/2,10+5*(AE112/2-SUM($E112:F112))/G112,IF(SUM($E112:H112)&gt;=AE112/2,15+5*(AE112/2-SUM($E112:G112))/H112,IF(SUM($E112:I112)&gt;=AE112/2,20+5*(AE112/2-SUM($E112:H112))/I112,IF(SUM($E112:J112)&gt;=AE112/2,25+5*(AE112/2-SUM($E112:I112))/J112,IF(SUM($E112:K112)&gt;=AE112/2,30+5*(AE112/2-SUM($E112:J112))/K112,IF(SUM($E112:L112)&gt;=AE112/2,35+5*(AE112/2-SUM($E112:K112))/L112,IF(SUM($E112:M112)&gt;=AE112/2,40+5*(AE112/2-SUM($E112:L112))/M112,IF(SUM($E112:N112)&gt;=AE112/2,45+5*(AE112/2-SUM($E112:M112))/N112,IF(SUM($E112:O112)&gt;=AE112/2,50+5*(AE112/2-SUM($E112:N112))/O112,IF(SUM($E112:P112)&gt;=AE112/2,55+5*(AE112/2-SUM($E112:O112))/P112,IF(SUM($E112:Q112)&gt;=AE112/2,60+5*(AE112/2-SUM($E112:P112))/Q112,IF(SUM($E112:R112)&gt;=AE112/2,65+5*(AE112/2-SUM($E112:Q112))/R112,IF(SUM($E112:S112)&gt;=AE112/2,70+5*(AE112/2-SUM($E112:R112))/S112,IF(SUM($E112:T112)&gt;=AE112/2,75+5*(AE112/2-SUM($E112:S112))/T112,""))))))))))))))))</f>
        <v/>
      </c>
      <c r="AL112" s="30">
        <f>SUM(H112:Q112)</f>
        <v/>
      </c>
      <c r="AM112" s="24" t="n">
        <v>0.101</v>
      </c>
      <c r="AN112" s="24" t="n">
        <v>0.126</v>
      </c>
      <c r="AO112" s="33">
        <f>IF(AND(ISNUMBER(AN112),ISNUMBER(AM112)),(AN112-AM112)*100,"")</f>
        <v/>
      </c>
      <c r="AP112" s="30">
        <f>IF(ISNUMBER(AN112),AN112*AL112,"")</f>
        <v/>
      </c>
      <c r="AQ112" s="30">
        <f>IF(ISNUMBER(AN112),AL112,0)</f>
        <v/>
      </c>
      <c r="BB112" s="30">
        <f>IF(BA112="Yes",AX112,0)</f>
        <v/>
      </c>
      <c r="BC112" s="30">
        <f>IF(AND(BA112="Yes",ISNUMBER(AP112)),AP112,0)</f>
        <v/>
      </c>
      <c r="BD112" s="30">
        <f>IF(BA112="Yes",AX112,IF(ISNUMBER(AP112),AP112,0))</f>
        <v/>
      </c>
    </row>
    <row r="113">
      <c r="A113" s="6" t="inlineStr">
        <is>
          <t>NIC</t>
        </is>
      </c>
      <c r="B113" s="6" t="inlineStr">
        <is>
          <t>Nicaragua</t>
        </is>
      </c>
      <c r="C113" s="6" t="inlineStr">
        <is>
          <t>Latin America &amp; Caribbean</t>
        </is>
      </c>
      <c r="D113" s="6" t="inlineStr">
        <is>
          <t>Lower middle income</t>
        </is>
      </c>
      <c r="E113" s="29" t="n">
        <v>652556</v>
      </c>
      <c r="F113" s="29" t="n">
        <v>662707</v>
      </c>
      <c r="G113" s="29" t="n">
        <v>668746</v>
      </c>
      <c r="H113" s="29" t="n">
        <v>656154</v>
      </c>
      <c r="I113" s="29" t="n">
        <v>621977</v>
      </c>
      <c r="J113" s="29" t="n">
        <v>607193</v>
      </c>
      <c r="K113" s="29" t="n">
        <v>582561</v>
      </c>
      <c r="L113" s="29" t="n">
        <v>525202</v>
      </c>
      <c r="M113" s="29" t="n">
        <v>455631</v>
      </c>
      <c r="N113" s="29" t="n">
        <v>390818</v>
      </c>
      <c r="O113" s="29" t="n">
        <v>325244</v>
      </c>
      <c r="P113" s="29" t="n">
        <v>259831</v>
      </c>
      <c r="Q113" s="29" t="n">
        <v>199626</v>
      </c>
      <c r="R113" s="29" t="n">
        <v>149840</v>
      </c>
      <c r="S113" s="29" t="n">
        <v>112529</v>
      </c>
      <c r="T113" s="29" t="n">
        <v>72675</v>
      </c>
      <c r="U113" s="29" t="n">
        <v>64212</v>
      </c>
      <c r="V113" s="29" t="n">
        <v>3559745</v>
      </c>
      <c r="W113" s="29" t="n">
        <v>3447757</v>
      </c>
      <c r="X113" s="30">
        <f>SUM(E113:G113)</f>
        <v/>
      </c>
      <c r="Y113" s="30">
        <f>SUM(H113:I113)</f>
        <v/>
      </c>
      <c r="Z113" s="30">
        <f>SUM(J113:K113)</f>
        <v/>
      </c>
      <c r="AA113" s="30">
        <f>SUM(L113:M113)</f>
        <v/>
      </c>
      <c r="AB113" s="30">
        <f>SUM(N113:O113)</f>
        <v/>
      </c>
      <c r="AC113" s="30">
        <f>SUM(P113:Q113)</f>
        <v/>
      </c>
      <c r="AD113" s="30">
        <f>SUM(R113:U113)</f>
        <v/>
      </c>
      <c r="AE113" s="31">
        <f>SUM(X113:AD113)</f>
        <v/>
      </c>
      <c r="AF113" s="32">
        <f>AE113/SUM($AE$5:$AE$222)</f>
        <v/>
      </c>
      <c r="AG113" s="10">
        <f>RANK(AE113,$AE$5:$AE$222)</f>
        <v/>
      </c>
      <c r="AH113" s="29" t="n">
        <v>6916140</v>
      </c>
      <c r="AI113" s="9">
        <f>IF(AH113&gt;0,AE113/AH113-1,"")</f>
        <v/>
      </c>
      <c r="AJ113" s="29" t="n">
        <v>3173</v>
      </c>
      <c r="AK113" s="19">
        <f>IF(SUM($E113:E113)&gt;=AE113/2,0+5*(AE113/2-0)/E113,IF(SUM($E113:F113)&gt;=AE113/2,5+5*(AE113/2-SUM($E113:E113))/F113,IF(SUM($E113:G113)&gt;=AE113/2,10+5*(AE113/2-SUM($E113:F113))/G113,IF(SUM($E113:H113)&gt;=AE113/2,15+5*(AE113/2-SUM($E113:G113))/H113,IF(SUM($E113:I113)&gt;=AE113/2,20+5*(AE113/2-SUM($E113:H113))/I113,IF(SUM($E113:J113)&gt;=AE113/2,25+5*(AE113/2-SUM($E113:I113))/J113,IF(SUM($E113:K113)&gt;=AE113/2,30+5*(AE113/2-SUM($E113:J113))/K113,IF(SUM($E113:L113)&gt;=AE113/2,35+5*(AE113/2-SUM($E113:K113))/L113,IF(SUM($E113:M113)&gt;=AE113/2,40+5*(AE113/2-SUM($E113:L113))/M113,IF(SUM($E113:N113)&gt;=AE113/2,45+5*(AE113/2-SUM($E113:M113))/N113,IF(SUM($E113:O113)&gt;=AE113/2,50+5*(AE113/2-SUM($E113:N113))/O113,IF(SUM($E113:P113)&gt;=AE113/2,55+5*(AE113/2-SUM($E113:O113))/P113,IF(SUM($E113:Q113)&gt;=AE113/2,60+5*(AE113/2-SUM($E113:P113))/Q113,IF(SUM($E113:R113)&gt;=AE113/2,65+5*(AE113/2-SUM($E113:Q113))/R113,IF(SUM($E113:S113)&gt;=AE113/2,70+5*(AE113/2-SUM($E113:R113))/S113,IF(SUM($E113:T113)&gt;=AE113/2,75+5*(AE113/2-SUM($E113:S113))/T113,""))))))))))))))))</f>
        <v/>
      </c>
      <c r="AL113" s="30">
        <f>SUM(H113:Q113)</f>
        <v/>
      </c>
      <c r="AM113" s="24" t="n">
        <v>0.1</v>
      </c>
      <c r="AN113" s="24" t="n">
        <v>0.125</v>
      </c>
      <c r="AO113" s="33">
        <f>IF(AND(ISNUMBER(AN113),ISNUMBER(AM113)),(AN113-AM113)*100,"")</f>
        <v/>
      </c>
      <c r="AP113" s="30">
        <f>IF(ISNUMBER(AN113),AN113*AL113,"")</f>
        <v/>
      </c>
      <c r="AQ113" s="30">
        <f>IF(ISNUMBER(AN113),AL113,0)</f>
        <v/>
      </c>
      <c r="BB113" s="30">
        <f>IF(BA113="Yes",AX113,0)</f>
        <v/>
      </c>
      <c r="BC113" s="30">
        <f>IF(AND(BA113="Yes",ISNUMBER(AP113)),AP113,0)</f>
        <v/>
      </c>
      <c r="BD113" s="30">
        <f>IF(BA113="Yes",AX113,IF(ISNUMBER(AP113),AP113,0))</f>
        <v/>
      </c>
    </row>
    <row r="114">
      <c r="A114" s="6" t="inlineStr">
        <is>
          <t>SRB</t>
        </is>
      </c>
      <c r="B114" s="6" t="inlineStr">
        <is>
          <t>Serbia</t>
        </is>
      </c>
      <c r="C114" s="6" t="inlineStr">
        <is>
          <t>Europe &amp; Central Asia</t>
        </is>
      </c>
      <c r="D114" s="6" t="inlineStr">
        <is>
          <t>Upper middle income</t>
        </is>
      </c>
      <c r="E114" s="29" t="n">
        <v>295234</v>
      </c>
      <c r="F114" s="29" t="n">
        <v>318100</v>
      </c>
      <c r="G114" s="29" t="n">
        <v>320436</v>
      </c>
      <c r="H114" s="29" t="n">
        <v>326063</v>
      </c>
      <c r="I114" s="29" t="n">
        <v>343160</v>
      </c>
      <c r="J114" s="29" t="n">
        <v>353949</v>
      </c>
      <c r="K114" s="29" t="n">
        <v>392957</v>
      </c>
      <c r="L114" s="29" t="n">
        <v>424013</v>
      </c>
      <c r="M114" s="29" t="n">
        <v>464048</v>
      </c>
      <c r="N114" s="29" t="n">
        <v>474923</v>
      </c>
      <c r="O114" s="29" t="n">
        <v>453975</v>
      </c>
      <c r="P114" s="29" t="n">
        <v>434268</v>
      </c>
      <c r="Q114" s="29" t="n">
        <v>438412</v>
      </c>
      <c r="R114" s="29" t="n">
        <v>447409</v>
      </c>
      <c r="S114" s="29" t="n">
        <v>450819</v>
      </c>
      <c r="T114" s="29" t="n">
        <v>303935</v>
      </c>
      <c r="U114" s="29" t="n">
        <v>307441</v>
      </c>
      <c r="V114" s="29" t="n">
        <v>3444925</v>
      </c>
      <c r="W114" s="29" t="n">
        <v>3104217</v>
      </c>
      <c r="X114" s="30">
        <f>SUM(E114:G114)</f>
        <v/>
      </c>
      <c r="Y114" s="30">
        <f>SUM(H114:I114)</f>
        <v/>
      </c>
      <c r="Z114" s="30">
        <f>SUM(J114:K114)</f>
        <v/>
      </c>
      <c r="AA114" s="30">
        <f>SUM(L114:M114)</f>
        <v/>
      </c>
      <c r="AB114" s="30">
        <f>SUM(N114:O114)</f>
        <v/>
      </c>
      <c r="AC114" s="30">
        <f>SUM(P114:Q114)</f>
        <v/>
      </c>
      <c r="AD114" s="30">
        <f>SUM(R114:U114)</f>
        <v/>
      </c>
      <c r="AE114" s="31">
        <f>SUM(X114:AD114)</f>
        <v/>
      </c>
      <c r="AF114" s="32">
        <f>AE114/SUM($AE$5:$AE$222)</f>
        <v/>
      </c>
      <c r="AG114" s="10">
        <f>RANK(AE114,$AE$5:$AE$222)</f>
        <v/>
      </c>
      <c r="AH114" s="29" t="n">
        <v>6586476</v>
      </c>
      <c r="AI114" s="9">
        <f>IF(AH114&gt;0,AE114/AH114-1,"")</f>
        <v/>
      </c>
      <c r="AJ114" s="29" t="n">
        <v>15262</v>
      </c>
      <c r="AK114" s="19">
        <f>IF(SUM($E114:E114)&gt;=AE114/2,0+5*(AE114/2-0)/E114,IF(SUM($E114:F114)&gt;=AE114/2,5+5*(AE114/2-SUM($E114:E114))/F114,IF(SUM($E114:G114)&gt;=AE114/2,10+5*(AE114/2-SUM($E114:F114))/G114,IF(SUM($E114:H114)&gt;=AE114/2,15+5*(AE114/2-SUM($E114:G114))/H114,IF(SUM($E114:I114)&gt;=AE114/2,20+5*(AE114/2-SUM($E114:H114))/I114,IF(SUM($E114:J114)&gt;=AE114/2,25+5*(AE114/2-SUM($E114:I114))/J114,IF(SUM($E114:K114)&gt;=AE114/2,30+5*(AE114/2-SUM($E114:J114))/K114,IF(SUM($E114:L114)&gt;=AE114/2,35+5*(AE114/2-SUM($E114:K114))/L114,IF(SUM($E114:M114)&gt;=AE114/2,40+5*(AE114/2-SUM($E114:L114))/M114,IF(SUM($E114:N114)&gt;=AE114/2,45+5*(AE114/2-SUM($E114:M114))/N114,IF(SUM($E114:O114)&gt;=AE114/2,50+5*(AE114/2-SUM($E114:N114))/O114,IF(SUM($E114:P114)&gt;=AE114/2,55+5*(AE114/2-SUM($E114:O114))/P114,IF(SUM($E114:Q114)&gt;=AE114/2,60+5*(AE114/2-SUM($E114:P114))/Q114,IF(SUM($E114:R114)&gt;=AE114/2,65+5*(AE114/2-SUM($E114:Q114))/R114,IF(SUM($E114:S114)&gt;=AE114/2,70+5*(AE114/2-SUM($E114:R114))/S114,IF(SUM($E114:T114)&gt;=AE114/2,75+5*(AE114/2-SUM($E114:S114))/T114,""))))))))))))))))</f>
        <v/>
      </c>
      <c r="AL114" s="30">
        <f>SUM(H114:Q114)</f>
        <v/>
      </c>
      <c r="AM114" s="24" t="n">
        <v>0.197</v>
      </c>
      <c r="AN114" s="24" t="n">
        <v>0.253</v>
      </c>
      <c r="AO114" s="33">
        <f>IF(AND(ISNUMBER(AN114),ISNUMBER(AM114)),(AN114-AM114)*100,"")</f>
        <v/>
      </c>
      <c r="AP114" s="30">
        <f>IF(ISNUMBER(AN114),AN114*AL114,"")</f>
        <v/>
      </c>
      <c r="AQ114" s="30">
        <f>IF(ISNUMBER(AN114),AL114,0)</f>
        <v/>
      </c>
      <c r="AR114" s="24" t="n">
        <v>0.1864</v>
      </c>
      <c r="AS114" s="6" t="inlineStr">
        <is>
          <t>population</t>
        </is>
      </c>
      <c r="AT114" s="6" t="inlineStr">
        <is>
          <t>16-74</t>
        </is>
      </c>
      <c r="AU114" s="24" t="n">
        <v>1</v>
      </c>
      <c r="AV114" s="30">
        <f>H114*0.8+I114+J114+K114+L114+M114+N114+O114+P114+Q114+R114+S114</f>
        <v/>
      </c>
      <c r="AX114" s="30">
        <f>IF(ISNUMBER(AW114),AW114,AR114*AU114*AV114)</f>
        <v/>
      </c>
      <c r="AY114" s="34">
        <f>AX114/AV114</f>
        <v/>
      </c>
      <c r="AZ114" s="6" t="inlineStr">
        <is>
          <t>A</t>
        </is>
      </c>
      <c r="BA114" s="6" t="inlineStr">
        <is>
          <t>Yes</t>
        </is>
      </c>
      <c r="BB114" s="30">
        <f>IF(BA114="Yes",AX114,0)</f>
        <v/>
      </c>
      <c r="BC114" s="30">
        <f>IF(AND(BA114="Yes",ISNUMBER(AP114)),AP114,0)</f>
        <v/>
      </c>
      <c r="BD114" s="30">
        <f>IF(BA114="Yes",AX114,IF(ISNUMBER(AP114),AP114,0))</f>
        <v/>
      </c>
      <c r="BE114" s="6" t="inlineStr">
        <is>
          <t>Used generative AI tools in the last 3 months</t>
        </is>
      </c>
      <c r="BF114" s="6" t="inlineStr">
        <is>
          <t>2025 survey (Q2, most countries)</t>
        </is>
      </c>
      <c r="BG114" s="6" t="inlineStr">
        <is>
          <t>Eurostat: ICT usage in households and by individuals 2025, dataset isoc_ai_iaiu</t>
        </is>
      </c>
      <c r="BH114" s="6" t="inlineStr">
        <is>
          <t>https://ec.europa.eu/eurostat/databrowser/view/isoc_ai_iaiu/default/table</t>
        </is>
      </c>
    </row>
    <row r="115">
      <c r="A115" s="6" t="inlineStr">
        <is>
          <t>COG</t>
        </is>
      </c>
      <c r="B115" s="6" t="inlineStr">
        <is>
          <t>Congo, Rep.</t>
        </is>
      </c>
      <c r="C115" s="6" t="inlineStr">
        <is>
          <t>Sub-Saharan Africa</t>
        </is>
      </c>
      <c r="D115" s="6" t="inlineStr">
        <is>
          <t>Lower middle income</t>
        </is>
      </c>
      <c r="E115" s="29" t="n">
        <v>910342</v>
      </c>
      <c r="F115" s="29" t="n">
        <v>851089</v>
      </c>
      <c r="G115" s="29" t="n">
        <v>828650</v>
      </c>
      <c r="H115" s="29" t="n">
        <v>706134</v>
      </c>
      <c r="I115" s="29" t="n">
        <v>562205</v>
      </c>
      <c r="J115" s="29" t="n">
        <v>464062</v>
      </c>
      <c r="K115" s="29" t="n">
        <v>407589</v>
      </c>
      <c r="L115" s="29" t="n">
        <v>373118</v>
      </c>
      <c r="M115" s="29" t="n">
        <v>335081</v>
      </c>
      <c r="N115" s="29" t="n">
        <v>291895</v>
      </c>
      <c r="O115" s="29" t="n">
        <v>235235</v>
      </c>
      <c r="P115" s="29" t="n">
        <v>185076</v>
      </c>
      <c r="Q115" s="29" t="n">
        <v>135446</v>
      </c>
      <c r="R115" s="29" t="n">
        <v>91382</v>
      </c>
      <c r="S115" s="29" t="n">
        <v>54796</v>
      </c>
      <c r="T115" s="29" t="n">
        <v>30349</v>
      </c>
      <c r="U115" s="29" t="n">
        <v>21986</v>
      </c>
      <c r="V115" s="29" t="n">
        <v>3242810</v>
      </c>
      <c r="W115" s="29" t="n">
        <v>3241625</v>
      </c>
      <c r="X115" s="30">
        <f>SUM(E115:G115)</f>
        <v/>
      </c>
      <c r="Y115" s="30">
        <f>SUM(H115:I115)</f>
        <v/>
      </c>
      <c r="Z115" s="30">
        <f>SUM(J115:K115)</f>
        <v/>
      </c>
      <c r="AA115" s="30">
        <f>SUM(L115:M115)</f>
        <v/>
      </c>
      <c r="AB115" s="30">
        <f>SUM(N115:O115)</f>
        <v/>
      </c>
      <c r="AC115" s="30">
        <f>SUM(P115:Q115)</f>
        <v/>
      </c>
      <c r="AD115" s="30">
        <f>SUM(R115:U115)</f>
        <v/>
      </c>
      <c r="AE115" s="31">
        <f>SUM(X115:AD115)</f>
        <v/>
      </c>
      <c r="AF115" s="32">
        <f>AE115/SUM($AE$5:$AE$222)</f>
        <v/>
      </c>
      <c r="AG115" s="10">
        <f>RANK(AE115,$AE$5:$AE$222)</f>
        <v/>
      </c>
      <c r="AH115" s="29" t="n">
        <v>6332961</v>
      </c>
      <c r="AI115" s="9">
        <f>IF(AH115&gt;0,AE115/AH115-1,"")</f>
        <v/>
      </c>
      <c r="AJ115" s="29" t="n">
        <v>2515</v>
      </c>
      <c r="AK115" s="19">
        <f>IF(SUM($E115:E115)&gt;=AE115/2,0+5*(AE115/2-0)/E115,IF(SUM($E115:F115)&gt;=AE115/2,5+5*(AE115/2-SUM($E115:E115))/F115,IF(SUM($E115:G115)&gt;=AE115/2,10+5*(AE115/2-SUM($E115:F115))/G115,IF(SUM($E115:H115)&gt;=AE115/2,15+5*(AE115/2-SUM($E115:G115))/H115,IF(SUM($E115:I115)&gt;=AE115/2,20+5*(AE115/2-SUM($E115:H115))/I115,IF(SUM($E115:J115)&gt;=AE115/2,25+5*(AE115/2-SUM($E115:I115))/J115,IF(SUM($E115:K115)&gt;=AE115/2,30+5*(AE115/2-SUM($E115:J115))/K115,IF(SUM($E115:L115)&gt;=AE115/2,35+5*(AE115/2-SUM($E115:K115))/L115,IF(SUM($E115:M115)&gt;=AE115/2,40+5*(AE115/2-SUM($E115:L115))/M115,IF(SUM($E115:N115)&gt;=AE115/2,45+5*(AE115/2-SUM($E115:M115))/N115,IF(SUM($E115:O115)&gt;=AE115/2,50+5*(AE115/2-SUM($E115:N115))/O115,IF(SUM($E115:P115)&gt;=AE115/2,55+5*(AE115/2-SUM($E115:O115))/P115,IF(SUM($E115:Q115)&gt;=AE115/2,60+5*(AE115/2-SUM($E115:P115))/Q115,IF(SUM($E115:R115)&gt;=AE115/2,65+5*(AE115/2-SUM($E115:Q115))/R115,IF(SUM($E115:S115)&gt;=AE115/2,70+5*(AE115/2-SUM($E115:R115))/S115,IF(SUM($E115:T115)&gt;=AE115/2,75+5*(AE115/2-SUM($E115:S115))/T115,""))))))))))))))))</f>
        <v/>
      </c>
      <c r="AL115" s="30">
        <f>SUM(H115:Q115)</f>
        <v/>
      </c>
      <c r="AM115" s="24" t="n">
        <v>0.07000000000000001</v>
      </c>
      <c r="AN115" s="24" t="n">
        <v>0.091</v>
      </c>
      <c r="AO115" s="33">
        <f>IF(AND(ISNUMBER(AN115),ISNUMBER(AM115)),(AN115-AM115)*100,"")</f>
        <v/>
      </c>
      <c r="AP115" s="30">
        <f>IF(ISNUMBER(AN115),AN115*AL115,"")</f>
        <v/>
      </c>
      <c r="AQ115" s="30">
        <f>IF(ISNUMBER(AN115),AL115,0)</f>
        <v/>
      </c>
      <c r="BB115" s="30">
        <f>IF(BA115="Yes",AX115,0)</f>
        <v/>
      </c>
      <c r="BC115" s="30">
        <f>IF(AND(BA115="Yes",ISNUMBER(AP115)),AP115,0)</f>
        <v/>
      </c>
      <c r="BD115" s="30">
        <f>IF(BA115="Yes",AX115,IF(ISNUMBER(AP115),AP115,0))</f>
        <v/>
      </c>
    </row>
    <row r="116">
      <c r="A116" s="6" t="inlineStr">
        <is>
          <t>BGR</t>
        </is>
      </c>
      <c r="B116" s="6" t="inlineStr">
        <is>
          <t>Bulgaria</t>
        </is>
      </c>
      <c r="C116" s="6" t="inlineStr">
        <is>
          <t>Europe &amp; Central Asia</t>
        </is>
      </c>
      <c r="D116" s="6" t="inlineStr">
        <is>
          <t>High income</t>
        </is>
      </c>
      <c r="E116" s="29" t="n">
        <v>293732</v>
      </c>
      <c r="F116" s="29" t="n">
        <v>307007</v>
      </c>
      <c r="G116" s="29" t="n">
        <v>325639</v>
      </c>
      <c r="H116" s="29" t="n">
        <v>331331</v>
      </c>
      <c r="I116" s="29" t="n">
        <v>303547</v>
      </c>
      <c r="J116" s="29" t="n">
        <v>296274</v>
      </c>
      <c r="K116" s="29" t="n">
        <v>366874</v>
      </c>
      <c r="L116" s="29" t="n">
        <v>458512</v>
      </c>
      <c r="M116" s="29" t="n">
        <v>459039</v>
      </c>
      <c r="N116" s="29" t="n">
        <v>500725</v>
      </c>
      <c r="O116" s="29" t="n">
        <v>492238</v>
      </c>
      <c r="P116" s="29" t="n">
        <v>447157</v>
      </c>
      <c r="Q116" s="29" t="n">
        <v>420743</v>
      </c>
      <c r="R116" s="29" t="n">
        <v>408588</v>
      </c>
      <c r="S116" s="29" t="n">
        <v>377310</v>
      </c>
      <c r="T116" s="29" t="n">
        <v>321714</v>
      </c>
      <c r="U116" s="29" t="n">
        <v>322870</v>
      </c>
      <c r="V116" s="29" t="n">
        <v>3320472</v>
      </c>
      <c r="W116" s="29" t="n">
        <v>3112828</v>
      </c>
      <c r="X116" s="30">
        <f>SUM(E116:G116)</f>
        <v/>
      </c>
      <c r="Y116" s="30">
        <f>SUM(H116:I116)</f>
        <v/>
      </c>
      <c r="Z116" s="30">
        <f>SUM(J116:K116)</f>
        <v/>
      </c>
      <c r="AA116" s="30">
        <f>SUM(L116:M116)</f>
        <v/>
      </c>
      <c r="AB116" s="30">
        <f>SUM(N116:O116)</f>
        <v/>
      </c>
      <c r="AC116" s="30">
        <f>SUM(P116:Q116)</f>
        <v/>
      </c>
      <c r="AD116" s="30">
        <f>SUM(R116:U116)</f>
        <v/>
      </c>
      <c r="AE116" s="31">
        <f>SUM(X116:AD116)</f>
        <v/>
      </c>
      <c r="AF116" s="32">
        <f>AE116/SUM($AE$5:$AE$222)</f>
        <v/>
      </c>
      <c r="AG116" s="10">
        <f>RANK(AE116,$AE$5:$AE$222)</f>
        <v/>
      </c>
      <c r="AH116" s="29" t="n">
        <v>6441421</v>
      </c>
      <c r="AI116" s="9">
        <f>IF(AH116&gt;0,AE116/AH116-1,"")</f>
        <v/>
      </c>
      <c r="AJ116" s="29" t="n">
        <v>20328</v>
      </c>
      <c r="AK116" s="19">
        <f>IF(SUM($E116:E116)&gt;=AE116/2,0+5*(AE116/2-0)/E116,IF(SUM($E116:F116)&gt;=AE116/2,5+5*(AE116/2-SUM($E116:E116))/F116,IF(SUM($E116:G116)&gt;=AE116/2,10+5*(AE116/2-SUM($E116:F116))/G116,IF(SUM($E116:H116)&gt;=AE116/2,15+5*(AE116/2-SUM($E116:G116))/H116,IF(SUM($E116:I116)&gt;=AE116/2,20+5*(AE116/2-SUM($E116:H116))/I116,IF(SUM($E116:J116)&gt;=AE116/2,25+5*(AE116/2-SUM($E116:I116))/J116,IF(SUM($E116:K116)&gt;=AE116/2,30+5*(AE116/2-SUM($E116:J116))/K116,IF(SUM($E116:L116)&gt;=AE116/2,35+5*(AE116/2-SUM($E116:K116))/L116,IF(SUM($E116:M116)&gt;=AE116/2,40+5*(AE116/2-SUM($E116:L116))/M116,IF(SUM($E116:N116)&gt;=AE116/2,45+5*(AE116/2-SUM($E116:M116))/N116,IF(SUM($E116:O116)&gt;=AE116/2,50+5*(AE116/2-SUM($E116:N116))/O116,IF(SUM($E116:P116)&gt;=AE116/2,55+5*(AE116/2-SUM($E116:O116))/P116,IF(SUM($E116:Q116)&gt;=AE116/2,60+5*(AE116/2-SUM($E116:P116))/Q116,IF(SUM($E116:R116)&gt;=AE116/2,65+5*(AE116/2-SUM($E116:Q116))/R116,IF(SUM($E116:S116)&gt;=AE116/2,70+5*(AE116/2-SUM($E116:R116))/S116,IF(SUM($E116:T116)&gt;=AE116/2,75+5*(AE116/2-SUM($E116:S116))/T116,""))))))))))))))))</f>
        <v/>
      </c>
      <c r="AL116" s="30">
        <f>SUM(H116:Q116)</f>
        <v/>
      </c>
      <c r="AM116" s="24" t="n">
        <v>0.254</v>
      </c>
      <c r="AN116" s="24" t="n">
        <v>0.307</v>
      </c>
      <c r="AO116" s="33">
        <f>IF(AND(ISNUMBER(AN116),ISNUMBER(AM116)),(AN116-AM116)*100,"")</f>
        <v/>
      </c>
      <c r="AP116" s="30">
        <f>IF(ISNUMBER(AN116),AN116*AL116,"")</f>
        <v/>
      </c>
      <c r="AQ116" s="30">
        <f>IF(ISNUMBER(AN116),AL116,0)</f>
        <v/>
      </c>
      <c r="AR116" s="24" t="n">
        <v>0.225</v>
      </c>
      <c r="AS116" s="6" t="inlineStr">
        <is>
          <t>population</t>
        </is>
      </c>
      <c r="AT116" s="6" t="inlineStr">
        <is>
          <t>16-74</t>
        </is>
      </c>
      <c r="AU116" s="24" t="n">
        <v>1</v>
      </c>
      <c r="AV116" s="30">
        <f>H116*0.8+I116+J116+K116+L116+M116+N116+O116+P116+Q116+R116+S116</f>
        <v/>
      </c>
      <c r="AX116" s="30">
        <f>IF(ISNUMBER(AW116),AW116,AR116*AU116*AV116)</f>
        <v/>
      </c>
      <c r="AY116" s="34">
        <f>AX116/AV116</f>
        <v/>
      </c>
      <c r="AZ116" s="6" t="inlineStr">
        <is>
          <t>A</t>
        </is>
      </c>
      <c r="BA116" s="6" t="inlineStr">
        <is>
          <t>Yes</t>
        </is>
      </c>
      <c r="BB116" s="30">
        <f>IF(BA116="Yes",AX116,0)</f>
        <v/>
      </c>
      <c r="BC116" s="30">
        <f>IF(AND(BA116="Yes",ISNUMBER(AP116)),AP116,0)</f>
        <v/>
      </c>
      <c r="BD116" s="30">
        <f>IF(BA116="Yes",AX116,IF(ISNUMBER(AP116),AP116,0))</f>
        <v/>
      </c>
      <c r="BE116" s="6" t="inlineStr">
        <is>
          <t>Used generative AI tools in the last 3 months</t>
        </is>
      </c>
      <c r="BF116" s="6" t="inlineStr">
        <is>
          <t>2025 survey (Q2, most countries)</t>
        </is>
      </c>
      <c r="BG116" s="6" t="inlineStr">
        <is>
          <t>Eurostat: ICT usage in households and by individuals 2025, dataset isoc_ai_iaiu</t>
        </is>
      </c>
      <c r="BH116" s="6" t="inlineStr">
        <is>
          <t>https://ec.europa.eu/eurostat/databrowser/view/isoc_ai_iaiu/default/table</t>
        </is>
      </c>
    </row>
    <row r="117">
      <c r="A117" s="6" t="inlineStr">
        <is>
          <t>SLV</t>
        </is>
      </c>
      <c r="B117" s="6" t="inlineStr">
        <is>
          <t>El Salvador</t>
        </is>
      </c>
      <c r="C117" s="6" t="inlineStr">
        <is>
          <t>Latin America &amp; Caribbean</t>
        </is>
      </c>
      <c r="D117" s="6" t="inlineStr">
        <is>
          <t>Upper middle income</t>
        </is>
      </c>
      <c r="E117" s="29" t="n">
        <v>487743</v>
      </c>
      <c r="F117" s="29" t="n">
        <v>508162</v>
      </c>
      <c r="G117" s="29" t="n">
        <v>556280</v>
      </c>
      <c r="H117" s="29" t="n">
        <v>556310</v>
      </c>
      <c r="I117" s="29" t="n">
        <v>580232</v>
      </c>
      <c r="J117" s="29" t="n">
        <v>631227</v>
      </c>
      <c r="K117" s="29" t="n">
        <v>556485</v>
      </c>
      <c r="L117" s="29" t="n">
        <v>429367</v>
      </c>
      <c r="M117" s="29" t="n">
        <v>363255</v>
      </c>
      <c r="N117" s="29" t="n">
        <v>352811</v>
      </c>
      <c r="O117" s="29" t="n">
        <v>312494</v>
      </c>
      <c r="P117" s="29" t="n">
        <v>275390</v>
      </c>
      <c r="Q117" s="29" t="n">
        <v>226831</v>
      </c>
      <c r="R117" s="29" t="n">
        <v>181580</v>
      </c>
      <c r="S117" s="29" t="n">
        <v>142013</v>
      </c>
      <c r="T117" s="29" t="n">
        <v>102900</v>
      </c>
      <c r="U117" s="29" t="n">
        <v>102425</v>
      </c>
      <c r="V117" s="29" t="n">
        <v>3341752</v>
      </c>
      <c r="W117" s="29" t="n">
        <v>3023753</v>
      </c>
      <c r="X117" s="30">
        <f>SUM(E117:G117)</f>
        <v/>
      </c>
      <c r="Y117" s="30">
        <f>SUM(H117:I117)</f>
        <v/>
      </c>
      <c r="Z117" s="30">
        <f>SUM(J117:K117)</f>
        <v/>
      </c>
      <c r="AA117" s="30">
        <f>SUM(L117:M117)</f>
        <v/>
      </c>
      <c r="AB117" s="30">
        <f>SUM(N117:O117)</f>
        <v/>
      </c>
      <c r="AC117" s="30">
        <f>SUM(P117:Q117)</f>
        <v/>
      </c>
      <c r="AD117" s="30">
        <f>SUM(R117:U117)</f>
        <v/>
      </c>
      <c r="AE117" s="31">
        <f>SUM(X117:AD117)</f>
        <v/>
      </c>
      <c r="AF117" s="32">
        <f>AE117/SUM($AE$5:$AE$222)</f>
        <v/>
      </c>
      <c r="AG117" s="10">
        <f>RANK(AE117,$AE$5:$AE$222)</f>
        <v/>
      </c>
      <c r="AH117" s="29" t="n">
        <v>6338193</v>
      </c>
      <c r="AI117" s="9">
        <f>IF(AH117&gt;0,AE117/AH117-1,"")</f>
        <v/>
      </c>
      <c r="AJ117" s="29" t="n">
        <v>5767</v>
      </c>
      <c r="AK117" s="19">
        <f>IF(SUM($E117:E117)&gt;=AE117/2,0+5*(AE117/2-0)/E117,IF(SUM($E117:F117)&gt;=AE117/2,5+5*(AE117/2-SUM($E117:E117))/F117,IF(SUM($E117:G117)&gt;=AE117/2,10+5*(AE117/2-SUM($E117:F117))/G117,IF(SUM($E117:H117)&gt;=AE117/2,15+5*(AE117/2-SUM($E117:G117))/H117,IF(SUM($E117:I117)&gt;=AE117/2,20+5*(AE117/2-SUM($E117:H117))/I117,IF(SUM($E117:J117)&gt;=AE117/2,25+5*(AE117/2-SUM($E117:I117))/J117,IF(SUM($E117:K117)&gt;=AE117/2,30+5*(AE117/2-SUM($E117:J117))/K117,IF(SUM($E117:L117)&gt;=AE117/2,35+5*(AE117/2-SUM($E117:K117))/L117,IF(SUM($E117:M117)&gt;=AE117/2,40+5*(AE117/2-SUM($E117:L117))/M117,IF(SUM($E117:N117)&gt;=AE117/2,45+5*(AE117/2-SUM($E117:M117))/N117,IF(SUM($E117:O117)&gt;=AE117/2,50+5*(AE117/2-SUM($E117:N117))/O117,IF(SUM($E117:P117)&gt;=AE117/2,55+5*(AE117/2-SUM($E117:O117))/P117,IF(SUM($E117:Q117)&gt;=AE117/2,60+5*(AE117/2-SUM($E117:P117))/Q117,IF(SUM($E117:R117)&gt;=AE117/2,65+5*(AE117/2-SUM($E117:Q117))/R117,IF(SUM($E117:S117)&gt;=AE117/2,70+5*(AE117/2-SUM($E117:R117))/S117,IF(SUM($E117:T117)&gt;=AE117/2,75+5*(AE117/2-SUM($E117:S117))/T117,""))))))))))))))))</f>
        <v/>
      </c>
      <c r="AL117" s="30">
        <f>SUM(H117:Q117)</f>
        <v/>
      </c>
      <c r="AM117" s="24" t="n">
        <v>0.146</v>
      </c>
      <c r="AN117" s="24" t="n">
        <v>0.201</v>
      </c>
      <c r="AO117" s="33">
        <f>IF(AND(ISNUMBER(AN117),ISNUMBER(AM117)),(AN117-AM117)*100,"")</f>
        <v/>
      </c>
      <c r="AP117" s="30">
        <f>IF(ISNUMBER(AN117),AN117*AL117,"")</f>
        <v/>
      </c>
      <c r="AQ117" s="30">
        <f>IF(ISNUMBER(AN117),AL117,0)</f>
        <v/>
      </c>
      <c r="BB117" s="30">
        <f>IF(BA117="Yes",AX117,0)</f>
        <v/>
      </c>
      <c r="BC117" s="30">
        <f>IF(AND(BA117="Yes",ISNUMBER(AP117)),AP117,0)</f>
        <v/>
      </c>
      <c r="BD117" s="30">
        <f>IF(BA117="Yes",AX117,IF(ISNUMBER(AP117),AP117,0))</f>
        <v/>
      </c>
    </row>
    <row r="118">
      <c r="A118" s="6" t="inlineStr">
        <is>
          <t>SGP</t>
        </is>
      </c>
      <c r="B118" s="6" t="inlineStr">
        <is>
          <t>Singapore</t>
        </is>
      </c>
      <c r="C118" s="6" t="inlineStr">
        <is>
          <t>East Asia &amp; Pacific</t>
        </is>
      </c>
      <c r="D118" s="6" t="inlineStr">
        <is>
          <t>High income</t>
        </is>
      </c>
      <c r="E118" s="29" t="n">
        <v>245975</v>
      </c>
      <c r="F118" s="29" t="n">
        <v>237395</v>
      </c>
      <c r="G118" s="29" t="n">
        <v>230976</v>
      </c>
      <c r="H118" s="29" t="n">
        <v>316872</v>
      </c>
      <c r="I118" s="29" t="n">
        <v>533429</v>
      </c>
      <c r="J118" s="29" t="n">
        <v>625198</v>
      </c>
      <c r="K118" s="29" t="n">
        <v>613283</v>
      </c>
      <c r="L118" s="29" t="n">
        <v>532266</v>
      </c>
      <c r="M118" s="29" t="n">
        <v>455429</v>
      </c>
      <c r="N118" s="29" t="n">
        <v>402016</v>
      </c>
      <c r="O118" s="29" t="n">
        <v>377527</v>
      </c>
      <c r="P118" s="29" t="n">
        <v>339635</v>
      </c>
      <c r="Q118" s="29" t="n">
        <v>332715</v>
      </c>
      <c r="R118" s="29" t="n">
        <v>297988</v>
      </c>
      <c r="S118" s="29" t="n">
        <v>234822</v>
      </c>
      <c r="T118" s="29" t="n">
        <v>165001</v>
      </c>
      <c r="U118" s="29" t="n">
        <v>170651</v>
      </c>
      <c r="V118" s="29" t="n">
        <v>2954711</v>
      </c>
      <c r="W118" s="29" t="n">
        <v>3156467</v>
      </c>
      <c r="X118" s="30">
        <f>SUM(E118:G118)</f>
        <v/>
      </c>
      <c r="Y118" s="30">
        <f>SUM(H118:I118)</f>
        <v/>
      </c>
      <c r="Z118" s="30">
        <f>SUM(J118:K118)</f>
        <v/>
      </c>
      <c r="AA118" s="30">
        <f>SUM(L118:M118)</f>
        <v/>
      </c>
      <c r="AB118" s="30">
        <f>SUM(N118:O118)</f>
        <v/>
      </c>
      <c r="AC118" s="30">
        <f>SUM(P118:Q118)</f>
        <v/>
      </c>
      <c r="AD118" s="30">
        <f>SUM(R118:U118)</f>
        <v/>
      </c>
      <c r="AE118" s="31">
        <f>SUM(X118:AD118)</f>
        <v/>
      </c>
      <c r="AF118" s="32">
        <f>AE118/SUM($AE$5:$AE$222)</f>
        <v/>
      </c>
      <c r="AG118" s="10">
        <f>RANK(AE118,$AE$5:$AE$222)</f>
        <v/>
      </c>
      <c r="AH118" s="29" t="n">
        <v>6036860</v>
      </c>
      <c r="AI118" s="9">
        <f>IF(AH118&gt;0,AE118/AH118-1,"")</f>
        <v/>
      </c>
      <c r="AJ118" s="29" t="n">
        <v>98814</v>
      </c>
      <c r="AK118" s="19">
        <f>IF(SUM($E118:E118)&gt;=AE118/2,0+5*(AE118/2-0)/E118,IF(SUM($E118:F118)&gt;=AE118/2,5+5*(AE118/2-SUM($E118:E118))/F118,IF(SUM($E118:G118)&gt;=AE118/2,10+5*(AE118/2-SUM($E118:F118))/G118,IF(SUM($E118:H118)&gt;=AE118/2,15+5*(AE118/2-SUM($E118:G118))/H118,IF(SUM($E118:I118)&gt;=AE118/2,20+5*(AE118/2-SUM($E118:H118))/I118,IF(SUM($E118:J118)&gt;=AE118/2,25+5*(AE118/2-SUM($E118:I118))/J118,IF(SUM($E118:K118)&gt;=AE118/2,30+5*(AE118/2-SUM($E118:J118))/K118,IF(SUM($E118:L118)&gt;=AE118/2,35+5*(AE118/2-SUM($E118:K118))/L118,IF(SUM($E118:M118)&gt;=AE118/2,40+5*(AE118/2-SUM($E118:L118))/M118,IF(SUM($E118:N118)&gt;=AE118/2,45+5*(AE118/2-SUM($E118:M118))/N118,IF(SUM($E118:O118)&gt;=AE118/2,50+5*(AE118/2-SUM($E118:N118))/O118,IF(SUM($E118:P118)&gt;=AE118/2,55+5*(AE118/2-SUM($E118:O118))/P118,IF(SUM($E118:Q118)&gt;=AE118/2,60+5*(AE118/2-SUM($E118:P118))/Q118,IF(SUM($E118:R118)&gt;=AE118/2,65+5*(AE118/2-SUM($E118:Q118))/R118,IF(SUM($E118:S118)&gt;=AE118/2,70+5*(AE118/2-SUM($E118:R118))/S118,IF(SUM($E118:T118)&gt;=AE118/2,75+5*(AE118/2-SUM($E118:S118))/T118,""))))))))))))))))</f>
        <v/>
      </c>
      <c r="AL118" s="30">
        <f>SUM(H118:Q118)</f>
        <v/>
      </c>
      <c r="AM118" s="24" t="n">
        <v>0.586</v>
      </c>
      <c r="AN118" s="24" t="n">
        <v>0.643</v>
      </c>
      <c r="AO118" s="33">
        <f>IF(AND(ISNUMBER(AN118),ISNUMBER(AM118)),(AN118-AM118)*100,"")</f>
        <v/>
      </c>
      <c r="AP118" s="30">
        <f>IF(ISNUMBER(AN118),AN118*AL118,"")</f>
        <v/>
      </c>
      <c r="AQ118" s="30">
        <f>IF(ISNUMBER(AN118),AL118,0)</f>
        <v/>
      </c>
      <c r="AR118" s="24" t="n">
        <v>0.64</v>
      </c>
      <c r="AS118" s="6" t="inlineStr">
        <is>
          <t>population</t>
        </is>
      </c>
      <c r="AT118" s="6" t="inlineStr">
        <is>
          <t>21+</t>
        </is>
      </c>
      <c r="AU118" s="24" t="n">
        <v>1</v>
      </c>
      <c r="AV118" s="30">
        <f>I118*0.8+J118+K118+L118+M118+N118+O118+P118+Q118+R118+S118+T118+U118</f>
        <v/>
      </c>
      <c r="AX118" s="30">
        <f>IF(ISNUMBER(AW118),AW118,AR118*AU118*AV118)</f>
        <v/>
      </c>
      <c r="AY118" s="34">
        <f>AX118/AV118</f>
        <v/>
      </c>
      <c r="AZ118" s="6" t="inlineStr">
        <is>
          <t>B</t>
        </is>
      </c>
      <c r="BA118" s="6" t="inlineStr">
        <is>
          <t>Yes</t>
        </is>
      </c>
      <c r="BB118" s="30">
        <f>IF(BA118="Yes",AX118,0)</f>
        <v/>
      </c>
      <c r="BC118" s="30">
        <f>IF(AND(BA118="Yes",ISNUMBER(AP118)),AP118,0)</f>
        <v/>
      </c>
      <c r="BD118" s="30">
        <f>IF(BA118="Yes",AX118,IF(ISNUMBER(AP118),AP118,0))</f>
        <v/>
      </c>
      <c r="BE118" s="6" t="inlineStr">
        <is>
          <t>Use AI chatbots (e.g. ChatGPT, Gemini)</t>
        </is>
      </c>
      <c r="BF118" s="6" t="inlineStr">
        <is>
          <t>October-November 2025 (n=1,879)</t>
        </is>
      </c>
      <c r="BG118" s="6" t="inlineStr">
        <is>
          <t>Institute of Policy Studies, National University of Singapore: Survey on Measuring Social Capital in the Digital Age (Singapore Perspectives 2026)</t>
        </is>
      </c>
      <c r="BH118" s="6" t="inlineStr">
        <is>
          <t>https://lkyspp.nus.edu.sg/docs/default-source/ips/sp2026_findings_survey-on-measuring-social-capital-in-the-digital-age.pdf</t>
        </is>
      </c>
    </row>
    <row r="119">
      <c r="A119" s="6" t="inlineStr">
        <is>
          <t>DNK</t>
        </is>
      </c>
      <c r="B119" s="6" t="inlineStr">
        <is>
          <t>Denmark</t>
        </is>
      </c>
      <c r="C119" s="6" t="inlineStr">
        <is>
          <t>Europe &amp; Central Asia</t>
        </is>
      </c>
      <c r="D119" s="6" t="inlineStr">
        <is>
          <t>High income</t>
        </is>
      </c>
      <c r="E119" s="29" t="n">
        <v>304820</v>
      </c>
      <c r="F119" s="29" t="n">
        <v>317970</v>
      </c>
      <c r="G119" s="29" t="n">
        <v>312356</v>
      </c>
      <c r="H119" s="29" t="n">
        <v>352232</v>
      </c>
      <c r="I119" s="29" t="n">
        <v>371388</v>
      </c>
      <c r="J119" s="29" t="n">
        <v>402255</v>
      </c>
      <c r="K119" s="29" t="n">
        <v>412982</v>
      </c>
      <c r="L119" s="29" t="n">
        <v>374091</v>
      </c>
      <c r="M119" s="29" t="n">
        <v>337214</v>
      </c>
      <c r="N119" s="29" t="n">
        <v>365252</v>
      </c>
      <c r="O119" s="29" t="n">
        <v>396512</v>
      </c>
      <c r="P119" s="29" t="n">
        <v>405713</v>
      </c>
      <c r="Q119" s="29" t="n">
        <v>387310</v>
      </c>
      <c r="R119" s="29" t="n">
        <v>333381</v>
      </c>
      <c r="S119" s="29" t="n">
        <v>298442</v>
      </c>
      <c r="T119" s="29" t="n">
        <v>285482</v>
      </c>
      <c r="U119" s="29" t="n">
        <v>351769</v>
      </c>
      <c r="V119" s="29" t="n">
        <v>3022023</v>
      </c>
      <c r="W119" s="29" t="n">
        <v>2987146</v>
      </c>
      <c r="X119" s="30">
        <f>SUM(E119:G119)</f>
        <v/>
      </c>
      <c r="Y119" s="30">
        <f>SUM(H119:I119)</f>
        <v/>
      </c>
      <c r="Z119" s="30">
        <f>SUM(J119:K119)</f>
        <v/>
      </c>
      <c r="AA119" s="30">
        <f>SUM(L119:M119)</f>
        <v/>
      </c>
      <c r="AB119" s="30">
        <f>SUM(N119:O119)</f>
        <v/>
      </c>
      <c r="AC119" s="30">
        <f>SUM(P119:Q119)</f>
        <v/>
      </c>
      <c r="AD119" s="30">
        <f>SUM(R119:U119)</f>
        <v/>
      </c>
      <c r="AE119" s="31">
        <f>SUM(X119:AD119)</f>
        <v/>
      </c>
      <c r="AF119" s="32">
        <f>AE119/SUM($AE$5:$AE$222)</f>
        <v/>
      </c>
      <c r="AG119" s="10">
        <f>RANK(AE119,$AE$5:$AE$222)</f>
        <v/>
      </c>
      <c r="AH119" s="29" t="n">
        <v>5976992</v>
      </c>
      <c r="AI119" s="9">
        <f>IF(AH119&gt;0,AE119/AH119-1,"")</f>
        <v/>
      </c>
      <c r="AJ119" s="29" t="n">
        <v>76970</v>
      </c>
      <c r="AK119" s="19">
        <f>IF(SUM($E119:E119)&gt;=AE119/2,0+5*(AE119/2-0)/E119,IF(SUM($E119:F119)&gt;=AE119/2,5+5*(AE119/2-SUM($E119:E119))/F119,IF(SUM($E119:G119)&gt;=AE119/2,10+5*(AE119/2-SUM($E119:F119))/G119,IF(SUM($E119:H119)&gt;=AE119/2,15+5*(AE119/2-SUM($E119:G119))/H119,IF(SUM($E119:I119)&gt;=AE119/2,20+5*(AE119/2-SUM($E119:H119))/I119,IF(SUM($E119:J119)&gt;=AE119/2,25+5*(AE119/2-SUM($E119:I119))/J119,IF(SUM($E119:K119)&gt;=AE119/2,30+5*(AE119/2-SUM($E119:J119))/K119,IF(SUM($E119:L119)&gt;=AE119/2,35+5*(AE119/2-SUM($E119:K119))/L119,IF(SUM($E119:M119)&gt;=AE119/2,40+5*(AE119/2-SUM($E119:L119))/M119,IF(SUM($E119:N119)&gt;=AE119/2,45+5*(AE119/2-SUM($E119:M119))/N119,IF(SUM($E119:O119)&gt;=AE119/2,50+5*(AE119/2-SUM($E119:N119))/O119,IF(SUM($E119:P119)&gt;=AE119/2,55+5*(AE119/2-SUM($E119:O119))/P119,IF(SUM($E119:Q119)&gt;=AE119/2,60+5*(AE119/2-SUM($E119:P119))/Q119,IF(SUM($E119:R119)&gt;=AE119/2,65+5*(AE119/2-SUM($E119:Q119))/R119,IF(SUM($E119:S119)&gt;=AE119/2,70+5*(AE119/2-SUM($E119:R119))/S119,IF(SUM($E119:T119)&gt;=AE119/2,75+5*(AE119/2-SUM($E119:S119))/T119,""))))))))))))))))</f>
        <v/>
      </c>
      <c r="AL119" s="30">
        <f>SUM(H119:Q119)</f>
        <v/>
      </c>
      <c r="AM119" s="24" t="n">
        <v>0.266</v>
      </c>
      <c r="AN119" s="24" t="n">
        <v>0.324</v>
      </c>
      <c r="AO119" s="33">
        <f>IF(AND(ISNUMBER(AN119),ISNUMBER(AM119)),(AN119-AM119)*100,"")</f>
        <v/>
      </c>
      <c r="AP119" s="30">
        <f>IF(ISNUMBER(AN119),AN119*AL119,"")</f>
        <v/>
      </c>
      <c r="AQ119" s="30">
        <f>IF(ISNUMBER(AN119),AL119,0)</f>
        <v/>
      </c>
      <c r="AR119" s="24" t="n">
        <v>0.4844</v>
      </c>
      <c r="AS119" s="6" t="inlineStr">
        <is>
          <t>population</t>
        </is>
      </c>
      <c r="AT119" s="6" t="inlineStr">
        <is>
          <t>16-74</t>
        </is>
      </c>
      <c r="AU119" s="24" t="n">
        <v>1</v>
      </c>
      <c r="AV119" s="30">
        <f>H119*0.8+I119+J119+K119+L119+M119+N119+O119+P119+Q119+R119+S119</f>
        <v/>
      </c>
      <c r="AX119" s="30">
        <f>IF(ISNUMBER(AW119),AW119,AR119*AU119*AV119)</f>
        <v/>
      </c>
      <c r="AY119" s="34">
        <f>AX119/AV119</f>
        <v/>
      </c>
      <c r="AZ119" s="6" t="inlineStr">
        <is>
          <t>A</t>
        </is>
      </c>
      <c r="BA119" s="6" t="inlineStr">
        <is>
          <t>Yes</t>
        </is>
      </c>
      <c r="BB119" s="30">
        <f>IF(BA119="Yes",AX119,0)</f>
        <v/>
      </c>
      <c r="BC119" s="30">
        <f>IF(AND(BA119="Yes",ISNUMBER(AP119)),AP119,0)</f>
        <v/>
      </c>
      <c r="BD119" s="30">
        <f>IF(BA119="Yes",AX119,IF(ISNUMBER(AP119),AP119,0))</f>
        <v/>
      </c>
      <c r="BE119" s="6" t="inlineStr">
        <is>
          <t>Used generative AI tools in the last 3 months</t>
        </is>
      </c>
      <c r="BF119" s="6" t="inlineStr">
        <is>
          <t>2025 survey (Q2, most countries)</t>
        </is>
      </c>
      <c r="BG119" s="6" t="inlineStr">
        <is>
          <t>Eurostat: ICT usage in households and by individuals 2025, dataset isoc_ai_iaiu</t>
        </is>
      </c>
      <c r="BH119" s="6" t="inlineStr">
        <is>
          <t>https://ec.europa.eu/eurostat/databrowser/view/isoc_ai_iaiu/default/table</t>
        </is>
      </c>
    </row>
    <row r="120">
      <c r="A120" s="6" t="inlineStr">
        <is>
          <t>LBN</t>
        </is>
      </c>
      <c r="B120" s="6" t="inlineStr">
        <is>
          <t>Lebanon</t>
        </is>
      </c>
      <c r="C120" s="6" t="inlineStr">
        <is>
          <t>Middle East, North Africa, Afghanistan &amp; Pakistan</t>
        </is>
      </c>
      <c r="D120" s="6" t="inlineStr">
        <is>
          <t>Lower middle income</t>
        </is>
      </c>
      <c r="E120" s="29" t="n">
        <v>455868</v>
      </c>
      <c r="F120" s="29" t="n">
        <v>474809</v>
      </c>
      <c r="G120" s="29" t="n">
        <v>566055</v>
      </c>
      <c r="H120" s="29" t="n">
        <v>532848</v>
      </c>
      <c r="I120" s="29" t="n">
        <v>481315</v>
      </c>
      <c r="J120" s="29" t="n">
        <v>430084</v>
      </c>
      <c r="K120" s="29" t="n">
        <v>361723</v>
      </c>
      <c r="L120" s="29" t="n">
        <v>348570</v>
      </c>
      <c r="M120" s="29" t="n">
        <v>354095</v>
      </c>
      <c r="N120" s="29" t="n">
        <v>326077</v>
      </c>
      <c r="O120" s="29" t="n">
        <v>314420</v>
      </c>
      <c r="P120" s="29" t="n">
        <v>319851</v>
      </c>
      <c r="Q120" s="29" t="n">
        <v>272853</v>
      </c>
      <c r="R120" s="29" t="n">
        <v>221379</v>
      </c>
      <c r="S120" s="29" t="n">
        <v>161854</v>
      </c>
      <c r="T120" s="29" t="n">
        <v>115752</v>
      </c>
      <c r="U120" s="29" t="n">
        <v>111871</v>
      </c>
      <c r="V120" s="29" t="n">
        <v>3003394</v>
      </c>
      <c r="W120" s="29" t="n">
        <v>2846030</v>
      </c>
      <c r="X120" s="30">
        <f>SUM(E120:G120)</f>
        <v/>
      </c>
      <c r="Y120" s="30">
        <f>SUM(H120:I120)</f>
        <v/>
      </c>
      <c r="Z120" s="30">
        <f>SUM(J120:K120)</f>
        <v/>
      </c>
      <c r="AA120" s="30">
        <f>SUM(L120:M120)</f>
        <v/>
      </c>
      <c r="AB120" s="30">
        <f>SUM(N120:O120)</f>
        <v/>
      </c>
      <c r="AC120" s="30">
        <f>SUM(P120:Q120)</f>
        <v/>
      </c>
      <c r="AD120" s="30">
        <f>SUM(R120:U120)</f>
        <v/>
      </c>
      <c r="AE120" s="31">
        <f>SUM(X120:AD120)</f>
        <v/>
      </c>
      <c r="AF120" s="32">
        <f>AE120/SUM($AE$5:$AE$222)</f>
        <v/>
      </c>
      <c r="AG120" s="10">
        <f>RANK(AE120,$AE$5:$AE$222)</f>
        <v/>
      </c>
      <c r="AH120" s="29" t="n">
        <v>5805962</v>
      </c>
      <c r="AI120" s="9">
        <f>IF(AH120&gt;0,AE120/AH120-1,"")</f>
        <v/>
      </c>
      <c r="AJ120" s="29" t="n">
        <v>4473</v>
      </c>
      <c r="AK120" s="19">
        <f>IF(SUM($E120:E120)&gt;=AE120/2,0+5*(AE120/2-0)/E120,IF(SUM($E120:F120)&gt;=AE120/2,5+5*(AE120/2-SUM($E120:E120))/F120,IF(SUM($E120:G120)&gt;=AE120/2,10+5*(AE120/2-SUM($E120:F120))/G120,IF(SUM($E120:H120)&gt;=AE120/2,15+5*(AE120/2-SUM($E120:G120))/H120,IF(SUM($E120:I120)&gt;=AE120/2,20+5*(AE120/2-SUM($E120:H120))/I120,IF(SUM($E120:J120)&gt;=AE120/2,25+5*(AE120/2-SUM($E120:I120))/J120,IF(SUM($E120:K120)&gt;=AE120/2,30+5*(AE120/2-SUM($E120:J120))/K120,IF(SUM($E120:L120)&gt;=AE120/2,35+5*(AE120/2-SUM($E120:K120))/L120,IF(SUM($E120:M120)&gt;=AE120/2,40+5*(AE120/2-SUM($E120:L120))/M120,IF(SUM($E120:N120)&gt;=AE120/2,45+5*(AE120/2-SUM($E120:M120))/N120,IF(SUM($E120:O120)&gt;=AE120/2,50+5*(AE120/2-SUM($E120:N120))/O120,IF(SUM($E120:P120)&gt;=AE120/2,55+5*(AE120/2-SUM($E120:O120))/P120,IF(SUM($E120:Q120)&gt;=AE120/2,60+5*(AE120/2-SUM($E120:P120))/Q120,IF(SUM($E120:R120)&gt;=AE120/2,65+5*(AE120/2-SUM($E120:Q120))/R120,IF(SUM($E120:S120)&gt;=AE120/2,70+5*(AE120/2-SUM($E120:R120))/S120,IF(SUM($E120:T120)&gt;=AE120/2,75+5*(AE120/2-SUM($E120:S120))/T120,""))))))))))))))))</f>
        <v/>
      </c>
      <c r="AL120" s="30">
        <f>SUM(H120:Q120)</f>
        <v/>
      </c>
      <c r="AM120" s="24" t="n">
        <v>0.248</v>
      </c>
      <c r="AN120" s="24" t="n">
        <v>0.277</v>
      </c>
      <c r="AO120" s="33">
        <f>IF(AND(ISNUMBER(AN120),ISNUMBER(AM120)),(AN120-AM120)*100,"")</f>
        <v/>
      </c>
      <c r="AP120" s="30">
        <f>IF(ISNUMBER(AN120),AN120*AL120,"")</f>
        <v/>
      </c>
      <c r="AQ120" s="30">
        <f>IF(ISNUMBER(AN120),AL120,0)</f>
        <v/>
      </c>
      <c r="BB120" s="30">
        <f>IF(BA120="Yes",AX120,0)</f>
        <v/>
      </c>
      <c r="BC120" s="30">
        <f>IF(AND(BA120="Yes",ISNUMBER(AP120)),AP120,0)</f>
        <v/>
      </c>
      <c r="BD120" s="30">
        <f>IF(BA120="Yes",AX120,IF(ISNUMBER(AP120),AP120,0))</f>
        <v/>
      </c>
    </row>
    <row r="121">
      <c r="A121" s="6" t="inlineStr">
        <is>
          <t>LBR</t>
        </is>
      </c>
      <c r="B121" s="6" t="inlineStr">
        <is>
          <t>Liberia</t>
        </is>
      </c>
      <c r="C121" s="6" t="inlineStr">
        <is>
          <t>Sub-Saharan Africa</t>
        </is>
      </c>
      <c r="D121" s="6" t="inlineStr">
        <is>
          <t>Low income</t>
        </is>
      </c>
      <c r="E121" s="29" t="n">
        <v>790333</v>
      </c>
      <c r="F121" s="29" t="n">
        <v>738192</v>
      </c>
      <c r="G121" s="29" t="n">
        <v>711251</v>
      </c>
      <c r="H121" s="29" t="n">
        <v>655536</v>
      </c>
      <c r="I121" s="29" t="n">
        <v>547825</v>
      </c>
      <c r="J121" s="29" t="n">
        <v>445761</v>
      </c>
      <c r="K121" s="29" t="n">
        <v>363373</v>
      </c>
      <c r="L121" s="29" t="n">
        <v>321717</v>
      </c>
      <c r="M121" s="29" t="n">
        <v>283522</v>
      </c>
      <c r="N121" s="29" t="n">
        <v>235713</v>
      </c>
      <c r="O121" s="29" t="n">
        <v>183695</v>
      </c>
      <c r="P121" s="29" t="n">
        <v>147646</v>
      </c>
      <c r="Q121" s="29" t="n">
        <v>115510</v>
      </c>
      <c r="R121" s="29" t="n">
        <v>83293</v>
      </c>
      <c r="S121" s="29" t="n">
        <v>54427</v>
      </c>
      <c r="T121" s="29" t="n">
        <v>31256</v>
      </c>
      <c r="U121" s="29" t="n">
        <v>22156</v>
      </c>
      <c r="V121" s="29" t="n">
        <v>2869501</v>
      </c>
      <c r="W121" s="29" t="n">
        <v>2861705</v>
      </c>
      <c r="X121" s="30">
        <f>SUM(E121:G121)</f>
        <v/>
      </c>
      <c r="Y121" s="30">
        <f>SUM(H121:I121)</f>
        <v/>
      </c>
      <c r="Z121" s="30">
        <f>SUM(J121:K121)</f>
        <v/>
      </c>
      <c r="AA121" s="30">
        <f>SUM(L121:M121)</f>
        <v/>
      </c>
      <c r="AB121" s="30">
        <f>SUM(N121:O121)</f>
        <v/>
      </c>
      <c r="AC121" s="30">
        <f>SUM(P121:Q121)</f>
        <v/>
      </c>
      <c r="AD121" s="30">
        <f>SUM(R121:U121)</f>
        <v/>
      </c>
      <c r="AE121" s="31">
        <f>SUM(X121:AD121)</f>
        <v/>
      </c>
      <c r="AF121" s="32">
        <f>AE121/SUM($AE$5:$AE$222)</f>
        <v/>
      </c>
      <c r="AG121" s="10">
        <f>RANK(AE121,$AE$5:$AE$222)</f>
        <v/>
      </c>
      <c r="AH121" s="29" t="n">
        <v>5612817</v>
      </c>
      <c r="AI121" s="9">
        <f>IF(AH121&gt;0,AE121/AH121-1,"")</f>
        <v/>
      </c>
      <c r="AJ121" s="29" t="n">
        <v>915</v>
      </c>
      <c r="AK121" s="19">
        <f>IF(SUM($E121:E121)&gt;=AE121/2,0+5*(AE121/2-0)/E121,IF(SUM($E121:F121)&gt;=AE121/2,5+5*(AE121/2-SUM($E121:E121))/F121,IF(SUM($E121:G121)&gt;=AE121/2,10+5*(AE121/2-SUM($E121:F121))/G121,IF(SUM($E121:H121)&gt;=AE121/2,15+5*(AE121/2-SUM($E121:G121))/H121,IF(SUM($E121:I121)&gt;=AE121/2,20+5*(AE121/2-SUM($E121:H121))/I121,IF(SUM($E121:J121)&gt;=AE121/2,25+5*(AE121/2-SUM($E121:I121))/J121,IF(SUM($E121:K121)&gt;=AE121/2,30+5*(AE121/2-SUM($E121:J121))/K121,IF(SUM($E121:L121)&gt;=AE121/2,35+5*(AE121/2-SUM($E121:K121))/L121,IF(SUM($E121:M121)&gt;=AE121/2,40+5*(AE121/2-SUM($E121:L121))/M121,IF(SUM($E121:N121)&gt;=AE121/2,45+5*(AE121/2-SUM($E121:M121))/N121,IF(SUM($E121:O121)&gt;=AE121/2,50+5*(AE121/2-SUM($E121:N121))/O121,IF(SUM($E121:P121)&gt;=AE121/2,55+5*(AE121/2-SUM($E121:O121))/P121,IF(SUM($E121:Q121)&gt;=AE121/2,60+5*(AE121/2-SUM($E121:P121))/Q121,IF(SUM($E121:R121)&gt;=AE121/2,65+5*(AE121/2-SUM($E121:Q121))/R121,IF(SUM($E121:S121)&gt;=AE121/2,70+5*(AE121/2-SUM($E121:R121))/S121,IF(SUM($E121:T121)&gt;=AE121/2,75+5*(AE121/2-SUM($E121:S121))/T121,""))))))))))))))))</f>
        <v/>
      </c>
      <c r="AL121" s="30">
        <f>SUM(H121:Q121)</f>
        <v/>
      </c>
      <c r="AM121" s="24" t="n">
        <v>0.08699999999999999</v>
      </c>
      <c r="AN121" s="24" t="n">
        <v>0.104</v>
      </c>
      <c r="AO121" s="33">
        <f>IF(AND(ISNUMBER(AN121),ISNUMBER(AM121)),(AN121-AM121)*100,"")</f>
        <v/>
      </c>
      <c r="AP121" s="30">
        <f>IF(ISNUMBER(AN121),AN121*AL121,"")</f>
        <v/>
      </c>
      <c r="AQ121" s="30">
        <f>IF(ISNUMBER(AN121),AL121,0)</f>
        <v/>
      </c>
      <c r="BB121" s="30">
        <f>IF(BA121="Yes",AX121,0)</f>
        <v/>
      </c>
      <c r="BC121" s="30">
        <f>IF(AND(BA121="Yes",ISNUMBER(AP121)),AP121,0)</f>
        <v/>
      </c>
      <c r="BD121" s="30">
        <f>IF(BA121="Yes",AX121,IF(ISNUMBER(AP121),AP121,0))</f>
        <v/>
      </c>
    </row>
    <row r="122">
      <c r="A122" s="6" t="inlineStr">
        <is>
          <t>FIN</t>
        </is>
      </c>
      <c r="B122" s="6" t="inlineStr">
        <is>
          <t>Finland</t>
        </is>
      </c>
      <c r="C122" s="6" t="inlineStr">
        <is>
          <t>Europe &amp; Central Asia</t>
        </is>
      </c>
      <c r="D122" s="6" t="inlineStr">
        <is>
          <t>High income</t>
        </is>
      </c>
      <c r="E122" s="29" t="n">
        <v>233596</v>
      </c>
      <c r="F122" s="29" t="n">
        <v>261752</v>
      </c>
      <c r="G122" s="29" t="n">
        <v>313792</v>
      </c>
      <c r="H122" s="29" t="n">
        <v>323967</v>
      </c>
      <c r="I122" s="29" t="n">
        <v>317873</v>
      </c>
      <c r="J122" s="29" t="n">
        <v>326624</v>
      </c>
      <c r="K122" s="29" t="n">
        <v>368478</v>
      </c>
      <c r="L122" s="29" t="n">
        <v>365051</v>
      </c>
      <c r="M122" s="29" t="n">
        <v>372328</v>
      </c>
      <c r="N122" s="29" t="n">
        <v>355298</v>
      </c>
      <c r="O122" s="29" t="n">
        <v>321074</v>
      </c>
      <c r="P122" s="29" t="n">
        <v>353793</v>
      </c>
      <c r="Q122" s="29" t="n">
        <v>366264</v>
      </c>
      <c r="R122" s="29" t="n">
        <v>350162</v>
      </c>
      <c r="S122" s="29" t="n">
        <v>338257</v>
      </c>
      <c r="T122" s="29" t="n">
        <v>320209</v>
      </c>
      <c r="U122" s="29" t="n">
        <v>357918</v>
      </c>
      <c r="V122" s="29" t="n">
        <v>2854292</v>
      </c>
      <c r="W122" s="29" t="n">
        <v>2792144</v>
      </c>
      <c r="X122" s="30">
        <f>SUM(E122:G122)</f>
        <v/>
      </c>
      <c r="Y122" s="30">
        <f>SUM(H122:I122)</f>
        <v/>
      </c>
      <c r="Z122" s="30">
        <f>SUM(J122:K122)</f>
        <v/>
      </c>
      <c r="AA122" s="30">
        <f>SUM(L122:M122)</f>
        <v/>
      </c>
      <c r="AB122" s="30">
        <f>SUM(N122:O122)</f>
        <v/>
      </c>
      <c r="AC122" s="30">
        <f>SUM(P122:Q122)</f>
        <v/>
      </c>
      <c r="AD122" s="30">
        <f>SUM(R122:U122)</f>
        <v/>
      </c>
      <c r="AE122" s="31">
        <f>SUM(X122:AD122)</f>
        <v/>
      </c>
      <c r="AF122" s="32">
        <f>AE122/SUM($AE$5:$AE$222)</f>
        <v/>
      </c>
      <c r="AG122" s="10">
        <f>RANK(AE122,$AE$5:$AE$222)</f>
        <v/>
      </c>
      <c r="AH122" s="29" t="n">
        <v>5619911</v>
      </c>
      <c r="AI122" s="9">
        <f>IF(AH122&gt;0,AE122/AH122-1,"")</f>
        <v/>
      </c>
      <c r="AJ122" s="29" t="n">
        <v>56149</v>
      </c>
      <c r="AK122" s="19">
        <f>IF(SUM($E122:E122)&gt;=AE122/2,0+5*(AE122/2-0)/E122,IF(SUM($E122:F122)&gt;=AE122/2,5+5*(AE122/2-SUM($E122:E122))/F122,IF(SUM($E122:G122)&gt;=AE122/2,10+5*(AE122/2-SUM($E122:F122))/G122,IF(SUM($E122:H122)&gt;=AE122/2,15+5*(AE122/2-SUM($E122:G122))/H122,IF(SUM($E122:I122)&gt;=AE122/2,20+5*(AE122/2-SUM($E122:H122))/I122,IF(SUM($E122:J122)&gt;=AE122/2,25+5*(AE122/2-SUM($E122:I122))/J122,IF(SUM($E122:K122)&gt;=AE122/2,30+5*(AE122/2-SUM($E122:J122))/K122,IF(SUM($E122:L122)&gt;=AE122/2,35+5*(AE122/2-SUM($E122:K122))/L122,IF(SUM($E122:M122)&gt;=AE122/2,40+5*(AE122/2-SUM($E122:L122))/M122,IF(SUM($E122:N122)&gt;=AE122/2,45+5*(AE122/2-SUM($E122:M122))/N122,IF(SUM($E122:O122)&gt;=AE122/2,50+5*(AE122/2-SUM($E122:N122))/O122,IF(SUM($E122:P122)&gt;=AE122/2,55+5*(AE122/2-SUM($E122:O122))/P122,IF(SUM($E122:Q122)&gt;=AE122/2,60+5*(AE122/2-SUM($E122:P122))/Q122,IF(SUM($E122:R122)&gt;=AE122/2,65+5*(AE122/2-SUM($E122:Q122))/R122,IF(SUM($E122:S122)&gt;=AE122/2,70+5*(AE122/2-SUM($E122:R122))/S122,IF(SUM($E122:T122)&gt;=AE122/2,75+5*(AE122/2-SUM($E122:S122))/T122,""))))))))))))))))</f>
        <v/>
      </c>
      <c r="AL122" s="30">
        <f>SUM(H122:Q122)</f>
        <v/>
      </c>
      <c r="AM122" s="24" t="n">
        <v>0.256</v>
      </c>
      <c r="AN122" s="24" t="n">
        <v>0.306</v>
      </c>
      <c r="AO122" s="33">
        <f>IF(AND(ISNUMBER(AN122),ISNUMBER(AM122)),(AN122-AM122)*100,"")</f>
        <v/>
      </c>
      <c r="AP122" s="30">
        <f>IF(ISNUMBER(AN122),AN122*AL122,"")</f>
        <v/>
      </c>
      <c r="AQ122" s="30">
        <f>IF(ISNUMBER(AN122),AL122,0)</f>
        <v/>
      </c>
      <c r="AR122" s="24" t="n">
        <v>0.4627000000000001</v>
      </c>
      <c r="AS122" s="6" t="inlineStr">
        <is>
          <t>population</t>
        </is>
      </c>
      <c r="AT122" s="6" t="inlineStr">
        <is>
          <t>16-74</t>
        </is>
      </c>
      <c r="AU122" s="24" t="n">
        <v>1</v>
      </c>
      <c r="AV122" s="30">
        <f>H122*0.8+I122+J122+K122+L122+M122+N122+O122+P122+Q122+R122+S122</f>
        <v/>
      </c>
      <c r="AX122" s="30">
        <f>IF(ISNUMBER(AW122),AW122,AR122*AU122*AV122)</f>
        <v/>
      </c>
      <c r="AY122" s="34">
        <f>AX122/AV122</f>
        <v/>
      </c>
      <c r="AZ122" s="6" t="inlineStr">
        <is>
          <t>A</t>
        </is>
      </c>
      <c r="BA122" s="6" t="inlineStr">
        <is>
          <t>Yes</t>
        </is>
      </c>
      <c r="BB122" s="30">
        <f>IF(BA122="Yes",AX122,0)</f>
        <v/>
      </c>
      <c r="BC122" s="30">
        <f>IF(AND(BA122="Yes",ISNUMBER(AP122)),AP122,0)</f>
        <v/>
      </c>
      <c r="BD122" s="30">
        <f>IF(BA122="Yes",AX122,IF(ISNUMBER(AP122),AP122,0))</f>
        <v/>
      </c>
      <c r="BE122" s="6" t="inlineStr">
        <is>
          <t>Used generative AI tools in the last 3 months</t>
        </is>
      </c>
      <c r="BF122" s="6" t="inlineStr">
        <is>
          <t>2025 survey (Q2, most countries)</t>
        </is>
      </c>
      <c r="BG122" s="6" t="inlineStr">
        <is>
          <t>Eurostat: ICT usage in households and by individuals 2025, dataset isoc_ai_iaiu</t>
        </is>
      </c>
      <c r="BH122" s="6" t="inlineStr">
        <is>
          <t>https://ec.europa.eu/eurostat/databrowser/view/isoc_ai_iaiu/default/table</t>
        </is>
      </c>
    </row>
    <row r="123">
      <c r="A123" s="6" t="inlineStr">
        <is>
          <t>NOR</t>
        </is>
      </c>
      <c r="B123" s="6" t="inlineStr">
        <is>
          <t>Norway</t>
        </is>
      </c>
      <c r="C123" s="6" t="inlineStr">
        <is>
          <t>Europe &amp; Central Asia</t>
        </is>
      </c>
      <c r="D123" s="6" t="inlineStr">
        <is>
          <t>High income</t>
        </is>
      </c>
      <c r="E123" s="29" t="n">
        <v>274704</v>
      </c>
      <c r="F123" s="29" t="n">
        <v>297424</v>
      </c>
      <c r="G123" s="29" t="n">
        <v>321342</v>
      </c>
      <c r="H123" s="29" t="n">
        <v>342245</v>
      </c>
      <c r="I123" s="29" t="n">
        <v>347713</v>
      </c>
      <c r="J123" s="29" t="n">
        <v>370682</v>
      </c>
      <c r="K123" s="29" t="n">
        <v>394851</v>
      </c>
      <c r="L123" s="29" t="n">
        <v>393303</v>
      </c>
      <c r="M123" s="29" t="n">
        <v>367105</v>
      </c>
      <c r="N123" s="29" t="n">
        <v>353327</v>
      </c>
      <c r="O123" s="29" t="n">
        <v>375821</v>
      </c>
      <c r="P123" s="29" t="n">
        <v>371407</v>
      </c>
      <c r="Q123" s="29" t="n">
        <v>330381</v>
      </c>
      <c r="R123" s="29" t="n">
        <v>298692</v>
      </c>
      <c r="S123" s="29" t="n">
        <v>261481</v>
      </c>
      <c r="T123" s="29" t="n">
        <v>233845</v>
      </c>
      <c r="U123" s="29" t="n">
        <v>276550</v>
      </c>
      <c r="V123" s="29" t="n">
        <v>2782667</v>
      </c>
      <c r="W123" s="29" t="n">
        <v>2828206</v>
      </c>
      <c r="X123" s="30">
        <f>SUM(E123:G123)</f>
        <v/>
      </c>
      <c r="Y123" s="30">
        <f>SUM(H123:I123)</f>
        <v/>
      </c>
      <c r="Z123" s="30">
        <f>SUM(J123:K123)</f>
        <v/>
      </c>
      <c r="AA123" s="30">
        <f>SUM(L123:M123)</f>
        <v/>
      </c>
      <c r="AB123" s="30">
        <f>SUM(N123:O123)</f>
        <v/>
      </c>
      <c r="AC123" s="30">
        <f>SUM(P123:Q123)</f>
        <v/>
      </c>
      <c r="AD123" s="30">
        <f>SUM(R123:U123)</f>
        <v/>
      </c>
      <c r="AE123" s="31">
        <f>SUM(X123:AD123)</f>
        <v/>
      </c>
      <c r="AF123" s="32">
        <f>AE123/SUM($AE$5:$AE$222)</f>
        <v/>
      </c>
      <c r="AG123" s="10">
        <f>RANK(AE123,$AE$5:$AE$222)</f>
        <v/>
      </c>
      <c r="AH123" s="29" t="n">
        <v>5572279</v>
      </c>
      <c r="AI123" s="9">
        <f>IF(AH123&gt;0,AE123/AH123-1,"")</f>
        <v/>
      </c>
      <c r="AJ123" s="29" t="n">
        <v>94594</v>
      </c>
      <c r="AK123" s="19">
        <f>IF(SUM($E123:E123)&gt;=AE123/2,0+5*(AE123/2-0)/E123,IF(SUM($E123:F123)&gt;=AE123/2,5+5*(AE123/2-SUM($E123:E123))/F123,IF(SUM($E123:G123)&gt;=AE123/2,10+5*(AE123/2-SUM($E123:F123))/G123,IF(SUM($E123:H123)&gt;=AE123/2,15+5*(AE123/2-SUM($E123:G123))/H123,IF(SUM($E123:I123)&gt;=AE123/2,20+5*(AE123/2-SUM($E123:H123))/I123,IF(SUM($E123:J123)&gt;=AE123/2,25+5*(AE123/2-SUM($E123:I123))/J123,IF(SUM($E123:K123)&gt;=AE123/2,30+5*(AE123/2-SUM($E123:J123))/K123,IF(SUM($E123:L123)&gt;=AE123/2,35+5*(AE123/2-SUM($E123:K123))/L123,IF(SUM($E123:M123)&gt;=AE123/2,40+5*(AE123/2-SUM($E123:L123))/M123,IF(SUM($E123:N123)&gt;=AE123/2,45+5*(AE123/2-SUM($E123:M123))/N123,IF(SUM($E123:O123)&gt;=AE123/2,50+5*(AE123/2-SUM($E123:N123))/O123,IF(SUM($E123:P123)&gt;=AE123/2,55+5*(AE123/2-SUM($E123:O123))/P123,IF(SUM($E123:Q123)&gt;=AE123/2,60+5*(AE123/2-SUM($E123:P123))/Q123,IF(SUM($E123:R123)&gt;=AE123/2,65+5*(AE123/2-SUM($E123:Q123))/R123,IF(SUM($E123:S123)&gt;=AE123/2,70+5*(AE123/2-SUM($E123:R123))/S123,IF(SUM($E123:T123)&gt;=AE123/2,75+5*(AE123/2-SUM($E123:S123))/T123,""))))))))))))))))</f>
        <v/>
      </c>
      <c r="AL123" s="30">
        <f>SUM(H123:Q123)</f>
        <v/>
      </c>
      <c r="AM123" s="24" t="n">
        <v>0.453</v>
      </c>
      <c r="AN123" s="24" t="n">
        <v>0.494</v>
      </c>
      <c r="AO123" s="33">
        <f>IF(AND(ISNUMBER(AN123),ISNUMBER(AM123)),(AN123-AM123)*100,"")</f>
        <v/>
      </c>
      <c r="AP123" s="30">
        <f>IF(ISNUMBER(AN123),AN123*AL123,"")</f>
        <v/>
      </c>
      <c r="AQ123" s="30">
        <f>IF(ISNUMBER(AN123),AL123,0)</f>
        <v/>
      </c>
      <c r="AR123" s="24" t="n">
        <v>0.5632</v>
      </c>
      <c r="AS123" s="6" t="inlineStr">
        <is>
          <t>population</t>
        </is>
      </c>
      <c r="AT123" s="6" t="inlineStr">
        <is>
          <t>16-74</t>
        </is>
      </c>
      <c r="AU123" s="24" t="n">
        <v>1</v>
      </c>
      <c r="AV123" s="30">
        <f>H123*0.8+I123+J123+K123+L123+M123+N123+O123+P123+Q123+R123+S123</f>
        <v/>
      </c>
      <c r="AX123" s="30">
        <f>IF(ISNUMBER(AW123),AW123,AR123*AU123*AV123)</f>
        <v/>
      </c>
      <c r="AY123" s="34">
        <f>AX123/AV123</f>
        <v/>
      </c>
      <c r="AZ123" s="6" t="inlineStr">
        <is>
          <t>A</t>
        </is>
      </c>
      <c r="BA123" s="6" t="inlineStr">
        <is>
          <t>Yes</t>
        </is>
      </c>
      <c r="BB123" s="30">
        <f>IF(BA123="Yes",AX123,0)</f>
        <v/>
      </c>
      <c r="BC123" s="30">
        <f>IF(AND(BA123="Yes",ISNUMBER(AP123)),AP123,0)</f>
        <v/>
      </c>
      <c r="BD123" s="30">
        <f>IF(BA123="Yes",AX123,IF(ISNUMBER(AP123),AP123,0))</f>
        <v/>
      </c>
      <c r="BE123" s="6" t="inlineStr">
        <is>
          <t>Used generative AI tools in the last 3 months</t>
        </is>
      </c>
      <c r="BF123" s="6" t="inlineStr">
        <is>
          <t>2025 survey (Q2, most countries)</t>
        </is>
      </c>
      <c r="BG123" s="6" t="inlineStr">
        <is>
          <t>Eurostat: ICT usage in households and by individuals 2025, dataset isoc_ai_iaiu</t>
        </is>
      </c>
      <c r="BH123" s="6" t="inlineStr">
        <is>
          <t>https://ec.europa.eu/eurostat/databrowser/view/isoc_ai_iaiu/default/table</t>
        </is>
      </c>
    </row>
    <row r="124">
      <c r="A124" s="6" t="inlineStr">
        <is>
          <t>CAF</t>
        </is>
      </c>
      <c r="B124" s="6" t="inlineStr">
        <is>
          <t>Central African Republic</t>
        </is>
      </c>
      <c r="C124" s="6" t="inlineStr">
        <is>
          <t>Sub-Saharan Africa</t>
        </is>
      </c>
      <c r="D124" s="6" t="inlineStr">
        <is>
          <t>Low income</t>
        </is>
      </c>
      <c r="E124" s="29" t="n">
        <v>1038064</v>
      </c>
      <c r="F124" s="29" t="n">
        <v>839166</v>
      </c>
      <c r="G124" s="29" t="n">
        <v>806782</v>
      </c>
      <c r="H124" s="29" t="n">
        <v>674574</v>
      </c>
      <c r="I124" s="29" t="n">
        <v>563478</v>
      </c>
      <c r="J124" s="29" t="n">
        <v>423239</v>
      </c>
      <c r="K124" s="29" t="n">
        <v>291681</v>
      </c>
      <c r="L124" s="29" t="n">
        <v>206729</v>
      </c>
      <c r="M124" s="29" t="n">
        <v>149297</v>
      </c>
      <c r="N124" s="29" t="n">
        <v>114223</v>
      </c>
      <c r="O124" s="29" t="n">
        <v>104987</v>
      </c>
      <c r="P124" s="29" t="n">
        <v>98892</v>
      </c>
      <c r="Q124" s="29" t="n">
        <v>80991</v>
      </c>
      <c r="R124" s="29" t="n">
        <v>59569</v>
      </c>
      <c r="S124" s="29" t="n">
        <v>36479</v>
      </c>
      <c r="T124" s="29" t="n">
        <v>16333</v>
      </c>
      <c r="U124" s="29" t="n">
        <v>8801</v>
      </c>
      <c r="V124" s="29" t="n">
        <v>2862802</v>
      </c>
      <c r="W124" s="29" t="n">
        <v>2650483</v>
      </c>
      <c r="X124" s="30">
        <f>SUM(E124:G124)</f>
        <v/>
      </c>
      <c r="Y124" s="30">
        <f>SUM(H124:I124)</f>
        <v/>
      </c>
      <c r="Z124" s="30">
        <f>SUM(J124:K124)</f>
        <v/>
      </c>
      <c r="AA124" s="30">
        <f>SUM(L124:M124)</f>
        <v/>
      </c>
      <c r="AB124" s="30">
        <f>SUM(N124:O124)</f>
        <v/>
      </c>
      <c r="AC124" s="30">
        <f>SUM(P124:Q124)</f>
        <v/>
      </c>
      <c r="AD124" s="30">
        <f>SUM(R124:U124)</f>
        <v/>
      </c>
      <c r="AE124" s="31">
        <f>SUM(X124:AD124)</f>
        <v/>
      </c>
      <c r="AF124" s="32">
        <f>AE124/SUM($AE$5:$AE$222)</f>
        <v/>
      </c>
      <c r="AG124" s="10">
        <f>RANK(AE124,$AE$5:$AE$222)</f>
        <v/>
      </c>
      <c r="AH124" s="29" t="n">
        <v>5330690</v>
      </c>
      <c r="AI124" s="9">
        <f>IF(AH124&gt;0,AE124/AH124-1,"")</f>
        <v/>
      </c>
      <c r="AJ124" s="29" t="n">
        <v>556</v>
      </c>
      <c r="AK124" s="19">
        <f>IF(SUM($E124:E124)&gt;=AE124/2,0+5*(AE124/2-0)/E124,IF(SUM($E124:F124)&gt;=AE124/2,5+5*(AE124/2-SUM($E124:E124))/F124,IF(SUM($E124:G124)&gt;=AE124/2,10+5*(AE124/2-SUM($E124:F124))/G124,IF(SUM($E124:H124)&gt;=AE124/2,15+5*(AE124/2-SUM($E124:G124))/H124,IF(SUM($E124:I124)&gt;=AE124/2,20+5*(AE124/2-SUM($E124:H124))/I124,IF(SUM($E124:J124)&gt;=AE124/2,25+5*(AE124/2-SUM($E124:I124))/J124,IF(SUM($E124:K124)&gt;=AE124/2,30+5*(AE124/2-SUM($E124:J124))/K124,IF(SUM($E124:L124)&gt;=AE124/2,35+5*(AE124/2-SUM($E124:K124))/L124,IF(SUM($E124:M124)&gt;=AE124/2,40+5*(AE124/2-SUM($E124:L124))/M124,IF(SUM($E124:N124)&gt;=AE124/2,45+5*(AE124/2-SUM($E124:M124))/N124,IF(SUM($E124:O124)&gt;=AE124/2,50+5*(AE124/2-SUM($E124:N124))/O124,IF(SUM($E124:P124)&gt;=AE124/2,55+5*(AE124/2-SUM($E124:O124))/P124,IF(SUM($E124:Q124)&gt;=AE124/2,60+5*(AE124/2-SUM($E124:P124))/Q124,IF(SUM($E124:R124)&gt;=AE124/2,65+5*(AE124/2-SUM($E124:Q124))/R124,IF(SUM($E124:S124)&gt;=AE124/2,70+5*(AE124/2-SUM($E124:R124))/S124,IF(SUM($E124:T124)&gt;=AE124/2,75+5*(AE124/2-SUM($E124:S124))/T124,""))))))))))))))))</f>
        <v/>
      </c>
      <c r="AL124" s="30">
        <f>SUM(H124:Q124)</f>
        <v/>
      </c>
      <c r="AM124" s="24" t="n">
        <v>0.07000000000000001</v>
      </c>
      <c r="AN124" s="24" t="n">
        <v>0.091</v>
      </c>
      <c r="AO124" s="33">
        <f>IF(AND(ISNUMBER(AN124),ISNUMBER(AM124)),(AN124-AM124)*100,"")</f>
        <v/>
      </c>
      <c r="AP124" s="30">
        <f>IF(ISNUMBER(AN124),AN124*AL124,"")</f>
        <v/>
      </c>
      <c r="AQ124" s="30">
        <f>IF(ISNUMBER(AN124),AL124,0)</f>
        <v/>
      </c>
      <c r="BB124" s="30">
        <f>IF(BA124="Yes",AX124,0)</f>
        <v/>
      </c>
      <c r="BC124" s="30">
        <f>IF(AND(BA124="Yes",ISNUMBER(AP124)),AP124,0)</f>
        <v/>
      </c>
      <c r="BD124" s="30">
        <f>IF(BA124="Yes",AX124,IF(ISNUMBER(AP124),AP124,0))</f>
        <v/>
      </c>
    </row>
    <row r="125">
      <c r="A125" s="6" t="inlineStr">
        <is>
          <t>OMN</t>
        </is>
      </c>
      <c r="B125" s="6" t="inlineStr">
        <is>
          <t>Oman</t>
        </is>
      </c>
      <c r="C125" s="6" t="inlineStr">
        <is>
          <t>Middle East, North Africa, Afghanistan &amp; Pakistan</t>
        </is>
      </c>
      <c r="D125" s="6" t="inlineStr">
        <is>
          <t>High income</t>
        </is>
      </c>
      <c r="E125" s="29" t="n">
        <v>435318</v>
      </c>
      <c r="F125" s="29" t="n">
        <v>479978</v>
      </c>
      <c r="G125" s="29" t="n">
        <v>421031</v>
      </c>
      <c r="H125" s="29" t="n">
        <v>316184</v>
      </c>
      <c r="I125" s="29" t="n">
        <v>433711</v>
      </c>
      <c r="J125" s="29" t="n">
        <v>574195</v>
      </c>
      <c r="K125" s="29" t="n">
        <v>677231</v>
      </c>
      <c r="L125" s="29" t="n">
        <v>689124</v>
      </c>
      <c r="M125" s="29" t="n">
        <v>525935</v>
      </c>
      <c r="N125" s="29" t="n">
        <v>348609</v>
      </c>
      <c r="O125" s="29" t="n">
        <v>220184</v>
      </c>
      <c r="P125" s="29" t="n">
        <v>135140</v>
      </c>
      <c r="Q125" s="29" t="n">
        <v>90406</v>
      </c>
      <c r="R125" s="29" t="n">
        <v>58238</v>
      </c>
      <c r="S125" s="29" t="n">
        <v>37752</v>
      </c>
      <c r="T125" s="29" t="n">
        <v>26158</v>
      </c>
      <c r="U125" s="29" t="n">
        <v>25497</v>
      </c>
      <c r="V125" s="29" t="n">
        <v>2065720</v>
      </c>
      <c r="W125" s="29" t="n">
        <v>3428971</v>
      </c>
      <c r="X125" s="30">
        <f>SUM(E125:G125)</f>
        <v/>
      </c>
      <c r="Y125" s="30">
        <f>SUM(H125:I125)</f>
        <v/>
      </c>
      <c r="Z125" s="30">
        <f>SUM(J125:K125)</f>
        <v/>
      </c>
      <c r="AA125" s="30">
        <f>SUM(L125:M125)</f>
        <v/>
      </c>
      <c r="AB125" s="30">
        <f>SUM(N125:O125)</f>
        <v/>
      </c>
      <c r="AC125" s="30">
        <f>SUM(P125:Q125)</f>
        <v/>
      </c>
      <c r="AD125" s="30">
        <f>SUM(R125:U125)</f>
        <v/>
      </c>
      <c r="AE125" s="31">
        <f>SUM(X125:AD125)</f>
        <v/>
      </c>
      <c r="AF125" s="32">
        <f>AE125/SUM($AE$5:$AE$222)</f>
        <v/>
      </c>
      <c r="AG125" s="10">
        <f>RANK(AE125,$AE$5:$AE$222)</f>
        <v/>
      </c>
      <c r="AH125" s="29" t="n">
        <v>5281538</v>
      </c>
      <c r="AI125" s="9">
        <f>IF(AH125&gt;0,AE125/AH125-1,"")</f>
        <v/>
      </c>
      <c r="AJ125" s="29" t="n">
        <v>19947</v>
      </c>
      <c r="AK125" s="19">
        <f>IF(SUM($E125:E125)&gt;=AE125/2,0+5*(AE125/2-0)/E125,IF(SUM($E125:F125)&gt;=AE125/2,5+5*(AE125/2-SUM($E125:E125))/F125,IF(SUM($E125:G125)&gt;=AE125/2,10+5*(AE125/2-SUM($E125:F125))/G125,IF(SUM($E125:H125)&gt;=AE125/2,15+5*(AE125/2-SUM($E125:G125))/H125,IF(SUM($E125:I125)&gt;=AE125/2,20+5*(AE125/2-SUM($E125:H125))/I125,IF(SUM($E125:J125)&gt;=AE125/2,25+5*(AE125/2-SUM($E125:I125))/J125,IF(SUM($E125:K125)&gt;=AE125/2,30+5*(AE125/2-SUM($E125:J125))/K125,IF(SUM($E125:L125)&gt;=AE125/2,35+5*(AE125/2-SUM($E125:K125))/L125,IF(SUM($E125:M125)&gt;=AE125/2,40+5*(AE125/2-SUM($E125:L125))/M125,IF(SUM($E125:N125)&gt;=AE125/2,45+5*(AE125/2-SUM($E125:M125))/N125,IF(SUM($E125:O125)&gt;=AE125/2,50+5*(AE125/2-SUM($E125:N125))/O125,IF(SUM($E125:P125)&gt;=AE125/2,55+5*(AE125/2-SUM($E125:O125))/P125,IF(SUM($E125:Q125)&gt;=AE125/2,60+5*(AE125/2-SUM($E125:P125))/Q125,IF(SUM($E125:R125)&gt;=AE125/2,65+5*(AE125/2-SUM($E125:Q125))/R125,IF(SUM($E125:S125)&gt;=AE125/2,70+5*(AE125/2-SUM($E125:R125))/S125,IF(SUM($E125:T125)&gt;=AE125/2,75+5*(AE125/2-SUM($E125:S125))/T125,""))))))))))))))))</f>
        <v/>
      </c>
      <c r="AL125" s="30">
        <f>SUM(H125:Q125)</f>
        <v/>
      </c>
      <c r="AM125" s="24" t="n">
        <v>0.226</v>
      </c>
      <c r="AN125" s="24" t="n">
        <v>0.276</v>
      </c>
      <c r="AO125" s="33">
        <f>IF(AND(ISNUMBER(AN125),ISNUMBER(AM125)),(AN125-AM125)*100,"")</f>
        <v/>
      </c>
      <c r="AP125" s="30">
        <f>IF(ISNUMBER(AN125),AN125*AL125,"")</f>
        <v/>
      </c>
      <c r="AQ125" s="30">
        <f>IF(ISNUMBER(AN125),AL125,0)</f>
        <v/>
      </c>
      <c r="BB125" s="30">
        <f>IF(BA125="Yes",AX125,0)</f>
        <v/>
      </c>
      <c r="BC125" s="30">
        <f>IF(AND(BA125="Yes",ISNUMBER(AP125)),AP125,0)</f>
        <v/>
      </c>
      <c r="BD125" s="30">
        <f>IF(BA125="Yes",AX125,IF(ISNUMBER(AP125),AP125,0))</f>
        <v/>
      </c>
    </row>
    <row r="126">
      <c r="A126" s="6" t="inlineStr">
        <is>
          <t>IRL</t>
        </is>
      </c>
      <c r="B126" s="6" t="inlineStr">
        <is>
          <t>Ireland</t>
        </is>
      </c>
      <c r="C126" s="6" t="inlineStr">
        <is>
          <t>Europe &amp; Central Asia</t>
        </is>
      </c>
      <c r="D126" s="6" t="inlineStr">
        <is>
          <t>High income</t>
        </is>
      </c>
      <c r="E126" s="29" t="n">
        <v>293068</v>
      </c>
      <c r="F126" s="29" t="n">
        <v>332533</v>
      </c>
      <c r="G126" s="29" t="n">
        <v>366847</v>
      </c>
      <c r="H126" s="29" t="n">
        <v>380555</v>
      </c>
      <c r="I126" s="29" t="n">
        <v>362269</v>
      </c>
      <c r="J126" s="29" t="n">
        <v>339281</v>
      </c>
      <c r="K126" s="29" t="n">
        <v>320515</v>
      </c>
      <c r="L126" s="29" t="n">
        <v>349636</v>
      </c>
      <c r="M126" s="29" t="n">
        <v>411971</v>
      </c>
      <c r="N126" s="29" t="n">
        <v>420265</v>
      </c>
      <c r="O126" s="29" t="n">
        <v>379745</v>
      </c>
      <c r="P126" s="29" t="n">
        <v>333885</v>
      </c>
      <c r="Q126" s="29" t="n">
        <v>304886</v>
      </c>
      <c r="R126" s="29" t="n">
        <v>266858</v>
      </c>
      <c r="S126" s="29" t="n">
        <v>224276</v>
      </c>
      <c r="T126" s="29" t="n">
        <v>180473</v>
      </c>
      <c r="U126" s="29" t="n">
        <v>217305</v>
      </c>
      <c r="V126" s="29" t="n">
        <v>2769498</v>
      </c>
      <c r="W126" s="29" t="n">
        <v>2714870</v>
      </c>
      <c r="X126" s="30">
        <f>SUM(E126:G126)</f>
        <v/>
      </c>
      <c r="Y126" s="30">
        <f>SUM(H126:I126)</f>
        <v/>
      </c>
      <c r="Z126" s="30">
        <f>SUM(J126:K126)</f>
        <v/>
      </c>
      <c r="AA126" s="30">
        <f>SUM(L126:M126)</f>
        <v/>
      </c>
      <c r="AB126" s="30">
        <f>SUM(N126:O126)</f>
        <v/>
      </c>
      <c r="AC126" s="30">
        <f>SUM(P126:Q126)</f>
        <v/>
      </c>
      <c r="AD126" s="30">
        <f>SUM(R126:U126)</f>
        <v/>
      </c>
      <c r="AE126" s="31">
        <f>SUM(X126:AD126)</f>
        <v/>
      </c>
      <c r="AF126" s="32">
        <f>AE126/SUM($AE$5:$AE$222)</f>
        <v/>
      </c>
      <c r="AG126" s="10">
        <f>RANK(AE126,$AE$5:$AE$222)</f>
        <v/>
      </c>
      <c r="AH126" s="29" t="n">
        <v>5395790</v>
      </c>
      <c r="AI126" s="9">
        <f>IF(AH126&gt;0,AE126/AH126-1,"")</f>
        <v/>
      </c>
      <c r="AJ126" s="29" t="n">
        <v>131592</v>
      </c>
      <c r="AK126" s="19">
        <f>IF(SUM($E126:E126)&gt;=AE126/2,0+5*(AE126/2-0)/E126,IF(SUM($E126:F126)&gt;=AE126/2,5+5*(AE126/2-SUM($E126:E126))/F126,IF(SUM($E126:G126)&gt;=AE126/2,10+5*(AE126/2-SUM($E126:F126))/G126,IF(SUM($E126:H126)&gt;=AE126/2,15+5*(AE126/2-SUM($E126:G126))/H126,IF(SUM($E126:I126)&gt;=AE126/2,20+5*(AE126/2-SUM($E126:H126))/I126,IF(SUM($E126:J126)&gt;=AE126/2,25+5*(AE126/2-SUM($E126:I126))/J126,IF(SUM($E126:K126)&gt;=AE126/2,30+5*(AE126/2-SUM($E126:J126))/K126,IF(SUM($E126:L126)&gt;=AE126/2,35+5*(AE126/2-SUM($E126:K126))/L126,IF(SUM($E126:M126)&gt;=AE126/2,40+5*(AE126/2-SUM($E126:L126))/M126,IF(SUM($E126:N126)&gt;=AE126/2,45+5*(AE126/2-SUM($E126:M126))/N126,IF(SUM($E126:O126)&gt;=AE126/2,50+5*(AE126/2-SUM($E126:N126))/O126,IF(SUM($E126:P126)&gt;=AE126/2,55+5*(AE126/2-SUM($E126:O126))/P126,IF(SUM($E126:Q126)&gt;=AE126/2,60+5*(AE126/2-SUM($E126:P126))/Q126,IF(SUM($E126:R126)&gt;=AE126/2,65+5*(AE126/2-SUM($E126:Q126))/R126,IF(SUM($E126:S126)&gt;=AE126/2,70+5*(AE126/2-SUM($E126:R126))/S126,IF(SUM($E126:T126)&gt;=AE126/2,75+5*(AE126/2-SUM($E126:S126))/T126,""))))))))))))))))</f>
        <v/>
      </c>
      <c r="AL126" s="30">
        <f>SUM(H126:Q126)</f>
        <v/>
      </c>
      <c r="AM126" s="24" t="n">
        <v>0.417</v>
      </c>
      <c r="AN126" s="24" t="n">
        <v>0.499</v>
      </c>
      <c r="AO126" s="33">
        <f>IF(AND(ISNUMBER(AN126),ISNUMBER(AM126)),(AN126-AM126)*100,"")</f>
        <v/>
      </c>
      <c r="AP126" s="30">
        <f>IF(ISNUMBER(AN126),AN126*AL126,"")</f>
        <v/>
      </c>
      <c r="AQ126" s="30">
        <f>IF(ISNUMBER(AN126),AL126,0)</f>
        <v/>
      </c>
      <c r="AR126" s="24" t="n">
        <v>0.4493</v>
      </c>
      <c r="AS126" s="6" t="inlineStr">
        <is>
          <t>population</t>
        </is>
      </c>
      <c r="AT126" s="6" t="inlineStr">
        <is>
          <t>16-74</t>
        </is>
      </c>
      <c r="AU126" s="24" t="n">
        <v>1</v>
      </c>
      <c r="AV126" s="30">
        <f>H126*0.8+I126+J126+K126+L126+M126+N126+O126+P126+Q126+R126+S126</f>
        <v/>
      </c>
      <c r="AX126" s="30">
        <f>IF(ISNUMBER(AW126),AW126,AR126*AU126*AV126)</f>
        <v/>
      </c>
      <c r="AY126" s="34">
        <f>AX126/AV126</f>
        <v/>
      </c>
      <c r="AZ126" s="6" t="inlineStr">
        <is>
          <t>A</t>
        </is>
      </c>
      <c r="BA126" s="6" t="inlineStr">
        <is>
          <t>Yes</t>
        </is>
      </c>
      <c r="BB126" s="30">
        <f>IF(BA126="Yes",AX126,0)</f>
        <v/>
      </c>
      <c r="BC126" s="30">
        <f>IF(AND(BA126="Yes",ISNUMBER(AP126)),AP126,0)</f>
        <v/>
      </c>
      <c r="BD126" s="30">
        <f>IF(BA126="Yes",AX126,IF(ISNUMBER(AP126),AP126,0))</f>
        <v/>
      </c>
      <c r="BE126" s="6" t="inlineStr">
        <is>
          <t>Used generative AI tools in the last 3 months</t>
        </is>
      </c>
      <c r="BF126" s="6" t="inlineStr">
        <is>
          <t>2025 survey (Q2, most countries)</t>
        </is>
      </c>
      <c r="BG126" s="6" t="inlineStr">
        <is>
          <t>Eurostat: ICT usage in households and by individuals 2025, dataset isoc_ai_iaiu</t>
        </is>
      </c>
      <c r="BH126" s="6" t="inlineStr">
        <is>
          <t>https://ec.europa.eu/eurostat/databrowser/view/isoc_ai_iaiu/default/table</t>
        </is>
      </c>
    </row>
    <row r="127">
      <c r="A127" s="6" t="inlineStr">
        <is>
          <t>SVK</t>
        </is>
      </c>
      <c r="B127" s="6" t="inlineStr">
        <is>
          <t>Slovak Republic</t>
        </is>
      </c>
      <c r="C127" s="6" t="inlineStr">
        <is>
          <t>Europe &amp; Central Asia</t>
        </is>
      </c>
      <c r="D127" s="6" t="inlineStr">
        <is>
          <t>High income</t>
        </is>
      </c>
      <c r="E127" s="29" t="n">
        <v>260642</v>
      </c>
      <c r="F127" s="29" t="n">
        <v>292514</v>
      </c>
      <c r="G127" s="29" t="n">
        <v>289779</v>
      </c>
      <c r="H127" s="29" t="n">
        <v>280089</v>
      </c>
      <c r="I127" s="29" t="n">
        <v>256967</v>
      </c>
      <c r="J127" s="29" t="n">
        <v>283445</v>
      </c>
      <c r="K127" s="29" t="n">
        <v>355574</v>
      </c>
      <c r="L127" s="29" t="n">
        <v>404858</v>
      </c>
      <c r="M127" s="29" t="n">
        <v>432825</v>
      </c>
      <c r="N127" s="29" t="n">
        <v>450806</v>
      </c>
      <c r="O127" s="29" t="n">
        <v>399496</v>
      </c>
      <c r="P127" s="29" t="n">
        <v>336405</v>
      </c>
      <c r="Q127" s="29" t="n">
        <v>339821</v>
      </c>
      <c r="R127" s="29" t="n">
        <v>330124</v>
      </c>
      <c r="S127" s="29" t="n">
        <v>295389</v>
      </c>
      <c r="T127" s="29" t="n">
        <v>199444</v>
      </c>
      <c r="U127" s="29" t="n">
        <v>205633</v>
      </c>
      <c r="V127" s="29" t="n">
        <v>2771184</v>
      </c>
      <c r="W127" s="29" t="n">
        <v>2642627</v>
      </c>
      <c r="X127" s="30">
        <f>SUM(E127:G127)</f>
        <v/>
      </c>
      <c r="Y127" s="30">
        <f>SUM(H127:I127)</f>
        <v/>
      </c>
      <c r="Z127" s="30">
        <f>SUM(J127:K127)</f>
        <v/>
      </c>
      <c r="AA127" s="30">
        <f>SUM(L127:M127)</f>
        <v/>
      </c>
      <c r="AB127" s="30">
        <f>SUM(N127:O127)</f>
        <v/>
      </c>
      <c r="AC127" s="30">
        <f>SUM(P127:Q127)</f>
        <v/>
      </c>
      <c r="AD127" s="30">
        <f>SUM(R127:U127)</f>
        <v/>
      </c>
      <c r="AE127" s="31">
        <f>SUM(X127:AD127)</f>
        <v/>
      </c>
      <c r="AF127" s="32">
        <f>AE127/SUM($AE$5:$AE$222)</f>
        <v/>
      </c>
      <c r="AG127" s="10">
        <f>RANK(AE127,$AE$5:$AE$222)</f>
        <v/>
      </c>
      <c r="AH127" s="29" t="n">
        <v>5422069</v>
      </c>
      <c r="AI127" s="9">
        <f>IF(AH127&gt;0,AE127/AH127-1,"")</f>
        <v/>
      </c>
      <c r="AJ127" s="29" t="n">
        <v>28544</v>
      </c>
      <c r="AK127" s="19">
        <f>IF(SUM($E127:E127)&gt;=AE127/2,0+5*(AE127/2-0)/E127,IF(SUM($E127:F127)&gt;=AE127/2,5+5*(AE127/2-SUM($E127:E127))/F127,IF(SUM($E127:G127)&gt;=AE127/2,10+5*(AE127/2-SUM($E127:F127))/G127,IF(SUM($E127:H127)&gt;=AE127/2,15+5*(AE127/2-SUM($E127:G127))/H127,IF(SUM($E127:I127)&gt;=AE127/2,20+5*(AE127/2-SUM($E127:H127))/I127,IF(SUM($E127:J127)&gt;=AE127/2,25+5*(AE127/2-SUM($E127:I127))/J127,IF(SUM($E127:K127)&gt;=AE127/2,30+5*(AE127/2-SUM($E127:J127))/K127,IF(SUM($E127:L127)&gt;=AE127/2,35+5*(AE127/2-SUM($E127:K127))/L127,IF(SUM($E127:M127)&gt;=AE127/2,40+5*(AE127/2-SUM($E127:L127))/M127,IF(SUM($E127:N127)&gt;=AE127/2,45+5*(AE127/2-SUM($E127:M127))/N127,IF(SUM($E127:O127)&gt;=AE127/2,50+5*(AE127/2-SUM($E127:N127))/O127,IF(SUM($E127:P127)&gt;=AE127/2,55+5*(AE127/2-SUM($E127:O127))/P127,IF(SUM($E127:Q127)&gt;=AE127/2,60+5*(AE127/2-SUM($E127:P127))/Q127,IF(SUM($E127:R127)&gt;=AE127/2,65+5*(AE127/2-SUM($E127:Q127))/R127,IF(SUM($E127:S127)&gt;=AE127/2,70+5*(AE127/2-SUM($E127:R127))/S127,IF(SUM($E127:T127)&gt;=AE127/2,75+5*(AE127/2-SUM($E127:S127))/T127,""))))))))))))))))</f>
        <v/>
      </c>
      <c r="AL127" s="30">
        <f>SUM(H127:Q127)</f>
        <v/>
      </c>
      <c r="AM127" s="24" t="n">
        <v>0.221</v>
      </c>
      <c r="AN127" s="24" t="n">
        <v>0.271</v>
      </c>
      <c r="AO127" s="33">
        <f>IF(AND(ISNUMBER(AN127),ISNUMBER(AM127)),(AN127-AM127)*100,"")</f>
        <v/>
      </c>
      <c r="AP127" s="30">
        <f>IF(ISNUMBER(AN127),AN127*AL127,"")</f>
        <v/>
      </c>
      <c r="AQ127" s="30">
        <f>IF(ISNUMBER(AN127),AL127,0)</f>
        <v/>
      </c>
      <c r="AR127" s="24" t="n">
        <v>0.3079</v>
      </c>
      <c r="AS127" s="6" t="inlineStr">
        <is>
          <t>population</t>
        </is>
      </c>
      <c r="AT127" s="6" t="inlineStr">
        <is>
          <t>16-74</t>
        </is>
      </c>
      <c r="AU127" s="24" t="n">
        <v>1</v>
      </c>
      <c r="AV127" s="30">
        <f>H127*0.8+I127+J127+K127+L127+M127+N127+O127+P127+Q127+R127+S127</f>
        <v/>
      </c>
      <c r="AX127" s="30">
        <f>IF(ISNUMBER(AW127),AW127,AR127*AU127*AV127)</f>
        <v/>
      </c>
      <c r="AY127" s="34">
        <f>AX127/AV127</f>
        <v/>
      </c>
      <c r="AZ127" s="6" t="inlineStr">
        <is>
          <t>A</t>
        </is>
      </c>
      <c r="BA127" s="6" t="inlineStr">
        <is>
          <t>Yes</t>
        </is>
      </c>
      <c r="BB127" s="30">
        <f>IF(BA127="Yes",AX127,0)</f>
        <v/>
      </c>
      <c r="BC127" s="30">
        <f>IF(AND(BA127="Yes",ISNUMBER(AP127)),AP127,0)</f>
        <v/>
      </c>
      <c r="BD127" s="30">
        <f>IF(BA127="Yes",AX127,IF(ISNUMBER(AP127),AP127,0))</f>
        <v/>
      </c>
      <c r="BE127" s="6" t="inlineStr">
        <is>
          <t>Used generative AI tools in the last 3 months</t>
        </is>
      </c>
      <c r="BF127" s="6" t="inlineStr">
        <is>
          <t>2025 survey (Q2, most countries)</t>
        </is>
      </c>
      <c r="BG127" s="6" t="inlineStr">
        <is>
          <t>Eurostat: ICT usage in households and by individuals 2025, dataset isoc_ai_iaiu</t>
        </is>
      </c>
      <c r="BH127" s="6" t="inlineStr">
        <is>
          <t>https://ec.europa.eu/eurostat/databrowser/view/isoc_ai_iaiu/default/table</t>
        </is>
      </c>
    </row>
    <row r="128">
      <c r="A128" s="6" t="inlineStr">
        <is>
          <t>PSE</t>
        </is>
      </c>
      <c r="B128" s="6" t="inlineStr">
        <is>
          <t>West Bank and Gaza</t>
        </is>
      </c>
      <c r="C128" s="6" t="inlineStr">
        <is>
          <t>Middle East, North Africa, Afghanistan &amp; Pakistan</t>
        </is>
      </c>
      <c r="D128" s="6" t="inlineStr">
        <is>
          <t>Lower middle income</t>
        </is>
      </c>
      <c r="E128" s="29" t="n">
        <v>689669</v>
      </c>
      <c r="F128" s="29" t="n">
        <v>694744</v>
      </c>
      <c r="G128" s="29" t="n">
        <v>650605</v>
      </c>
      <c r="H128" s="29" t="n">
        <v>563843</v>
      </c>
      <c r="I128" s="29" t="n">
        <v>480910</v>
      </c>
      <c r="J128" s="29" t="n">
        <v>434938</v>
      </c>
      <c r="K128" s="29" t="n">
        <v>417943</v>
      </c>
      <c r="L128" s="29" t="n">
        <v>350087</v>
      </c>
      <c r="M128" s="29" t="n">
        <v>274097</v>
      </c>
      <c r="N128" s="29" t="n">
        <v>216286</v>
      </c>
      <c r="O128" s="29" t="n">
        <v>173654</v>
      </c>
      <c r="P128" s="29" t="n">
        <v>143353</v>
      </c>
      <c r="Q128" s="29" t="n">
        <v>114953</v>
      </c>
      <c r="R128" s="29" t="n">
        <v>84570</v>
      </c>
      <c r="S128" s="29" t="n">
        <v>58347</v>
      </c>
      <c r="T128" s="29" t="n">
        <v>36556</v>
      </c>
      <c r="U128" s="29" t="n">
        <v>29041</v>
      </c>
      <c r="V128" s="29" t="n">
        <v>2727489</v>
      </c>
      <c r="W128" s="29" t="n">
        <v>2686107</v>
      </c>
      <c r="X128" s="30">
        <f>SUM(E128:G128)</f>
        <v/>
      </c>
      <c r="Y128" s="30">
        <f>SUM(H128:I128)</f>
        <v/>
      </c>
      <c r="Z128" s="30">
        <f>SUM(J128:K128)</f>
        <v/>
      </c>
      <c r="AA128" s="30">
        <f>SUM(L128:M128)</f>
        <v/>
      </c>
      <c r="AB128" s="30">
        <f>SUM(N128:O128)</f>
        <v/>
      </c>
      <c r="AC128" s="30">
        <f>SUM(P128:Q128)</f>
        <v/>
      </c>
      <c r="AD128" s="30">
        <f>SUM(R128:U128)</f>
        <v/>
      </c>
      <c r="AE128" s="31">
        <f>SUM(X128:AD128)</f>
        <v/>
      </c>
      <c r="AF128" s="32">
        <f>AE128/SUM($AE$5:$AE$222)</f>
        <v/>
      </c>
      <c r="AG128" s="10">
        <f>RANK(AE128,$AE$5:$AE$222)</f>
        <v/>
      </c>
      <c r="AH128" s="29" t="n">
        <v>5289152</v>
      </c>
      <c r="AI128" s="9">
        <f>IF(AH128&gt;0,AE128/AH128-1,"")</f>
        <v/>
      </c>
      <c r="AJ128" s="29" t="n">
        <v>3171</v>
      </c>
      <c r="AK128" s="19">
        <f>IF(SUM($E128:E128)&gt;=AE128/2,0+5*(AE128/2-0)/E128,IF(SUM($E128:F128)&gt;=AE128/2,5+5*(AE128/2-SUM($E128:E128))/F128,IF(SUM($E128:G128)&gt;=AE128/2,10+5*(AE128/2-SUM($E128:F128))/G128,IF(SUM($E128:H128)&gt;=AE128/2,15+5*(AE128/2-SUM($E128:G128))/H128,IF(SUM($E128:I128)&gt;=AE128/2,20+5*(AE128/2-SUM($E128:H128))/I128,IF(SUM($E128:J128)&gt;=AE128/2,25+5*(AE128/2-SUM($E128:I128))/J128,IF(SUM($E128:K128)&gt;=AE128/2,30+5*(AE128/2-SUM($E128:J128))/K128,IF(SUM($E128:L128)&gt;=AE128/2,35+5*(AE128/2-SUM($E128:K128))/L128,IF(SUM($E128:M128)&gt;=AE128/2,40+5*(AE128/2-SUM($E128:L128))/M128,IF(SUM($E128:N128)&gt;=AE128/2,45+5*(AE128/2-SUM($E128:M128))/N128,IF(SUM($E128:O128)&gt;=AE128/2,50+5*(AE128/2-SUM($E128:N128))/O128,IF(SUM($E128:P128)&gt;=AE128/2,55+5*(AE128/2-SUM($E128:O128))/P128,IF(SUM($E128:Q128)&gt;=AE128/2,60+5*(AE128/2-SUM($E128:P128))/Q128,IF(SUM($E128:R128)&gt;=AE128/2,65+5*(AE128/2-SUM($E128:Q128))/R128,IF(SUM($E128:S128)&gt;=AE128/2,70+5*(AE128/2-SUM($E128:R128))/S128,IF(SUM($E128:T128)&gt;=AE128/2,75+5*(AE128/2-SUM($E128:S128))/T128,""))))))))))))))))</f>
        <v/>
      </c>
      <c r="AL128" s="30">
        <f>SUM(H128:Q128)</f>
        <v/>
      </c>
      <c r="AM128" s="36" t="n"/>
      <c r="AN128" s="36" t="n"/>
      <c r="AO128" s="33">
        <f>IF(AND(ISNUMBER(AN128),ISNUMBER(AM128)),(AN128-AM128)*100,"")</f>
        <v/>
      </c>
      <c r="AP128" s="30">
        <f>IF(ISNUMBER(AN128),AN128*AL128,"")</f>
        <v/>
      </c>
      <c r="AQ128" s="30">
        <f>IF(ISNUMBER(AN128),AL128,0)</f>
        <v/>
      </c>
      <c r="BB128" s="30">
        <f>IF(BA128="Yes",AX128,0)</f>
        <v/>
      </c>
      <c r="BC128" s="30">
        <f>IF(AND(BA128="Yes",ISNUMBER(AP128)),AP128,0)</f>
        <v/>
      </c>
      <c r="BD128" s="30">
        <f>IF(BA128="Yes",AX128,IF(ISNUMBER(AP128),AP128,0))</f>
        <v/>
      </c>
    </row>
    <row r="129">
      <c r="A129" s="6" t="inlineStr">
        <is>
          <t>NZL</t>
        </is>
      </c>
      <c r="B129" s="6" t="inlineStr">
        <is>
          <t>New Zealand</t>
        </is>
      </c>
      <c r="C129" s="6" t="inlineStr">
        <is>
          <t>East Asia &amp; Pacific</t>
        </is>
      </c>
      <c r="D129" s="6" t="inlineStr">
        <is>
          <t>High income</t>
        </is>
      </c>
      <c r="E129" s="29" t="n">
        <v>302451</v>
      </c>
      <c r="F129" s="29" t="n">
        <v>314061</v>
      </c>
      <c r="G129" s="29" t="n">
        <v>335414</v>
      </c>
      <c r="H129" s="29" t="n">
        <v>342949</v>
      </c>
      <c r="I129" s="29" t="n">
        <v>337137</v>
      </c>
      <c r="J129" s="29" t="n">
        <v>350884</v>
      </c>
      <c r="K129" s="29" t="n">
        <v>389918</v>
      </c>
      <c r="L129" s="29" t="n">
        <v>380500</v>
      </c>
      <c r="M129" s="29" t="n">
        <v>340340</v>
      </c>
      <c r="N129" s="29" t="n">
        <v>312799</v>
      </c>
      <c r="O129" s="29" t="n">
        <v>332588</v>
      </c>
      <c r="P129" s="29" t="n">
        <v>326245</v>
      </c>
      <c r="Q129" s="29" t="n">
        <v>321773</v>
      </c>
      <c r="R129" s="29" t="n">
        <v>283702</v>
      </c>
      <c r="S129" s="29" t="n">
        <v>236001</v>
      </c>
      <c r="T129" s="29" t="n">
        <v>192310</v>
      </c>
      <c r="U129" s="29" t="n">
        <v>225629</v>
      </c>
      <c r="V129" s="29" t="n">
        <v>2678081</v>
      </c>
      <c r="W129" s="29" t="n">
        <v>2646620</v>
      </c>
      <c r="X129" s="30">
        <f>SUM(E129:G129)</f>
        <v/>
      </c>
      <c r="Y129" s="30">
        <f>SUM(H129:I129)</f>
        <v/>
      </c>
      <c r="Z129" s="30">
        <f>SUM(J129:K129)</f>
        <v/>
      </c>
      <c r="AA129" s="30">
        <f>SUM(L129:M129)</f>
        <v/>
      </c>
      <c r="AB129" s="30">
        <f>SUM(N129:O129)</f>
        <v/>
      </c>
      <c r="AC129" s="30">
        <f>SUM(P129:Q129)</f>
        <v/>
      </c>
      <c r="AD129" s="30">
        <f>SUM(R129:U129)</f>
        <v/>
      </c>
      <c r="AE129" s="31">
        <f>SUM(X129:AD129)</f>
        <v/>
      </c>
      <c r="AF129" s="32">
        <f>AE129/SUM($AE$5:$AE$222)</f>
        <v/>
      </c>
      <c r="AG129" s="10">
        <f>RANK(AE129,$AE$5:$AE$222)</f>
        <v/>
      </c>
      <c r="AH129" s="29" t="n">
        <v>5290000</v>
      </c>
      <c r="AI129" s="9">
        <f>IF(AH129&gt;0,AE129/AH129-1,"")</f>
        <v/>
      </c>
      <c r="AJ129" s="29" t="n">
        <v>49591</v>
      </c>
      <c r="AK129" s="19">
        <f>IF(SUM($E129:E129)&gt;=AE129/2,0+5*(AE129/2-0)/E129,IF(SUM($E129:F129)&gt;=AE129/2,5+5*(AE129/2-SUM($E129:E129))/F129,IF(SUM($E129:G129)&gt;=AE129/2,10+5*(AE129/2-SUM($E129:F129))/G129,IF(SUM($E129:H129)&gt;=AE129/2,15+5*(AE129/2-SUM($E129:G129))/H129,IF(SUM($E129:I129)&gt;=AE129/2,20+5*(AE129/2-SUM($E129:H129))/I129,IF(SUM($E129:J129)&gt;=AE129/2,25+5*(AE129/2-SUM($E129:I129))/J129,IF(SUM($E129:K129)&gt;=AE129/2,30+5*(AE129/2-SUM($E129:J129))/K129,IF(SUM($E129:L129)&gt;=AE129/2,35+5*(AE129/2-SUM($E129:K129))/L129,IF(SUM($E129:M129)&gt;=AE129/2,40+5*(AE129/2-SUM($E129:L129))/M129,IF(SUM($E129:N129)&gt;=AE129/2,45+5*(AE129/2-SUM($E129:M129))/N129,IF(SUM($E129:O129)&gt;=AE129/2,50+5*(AE129/2-SUM($E129:N129))/O129,IF(SUM($E129:P129)&gt;=AE129/2,55+5*(AE129/2-SUM($E129:O129))/P129,IF(SUM($E129:Q129)&gt;=AE129/2,60+5*(AE129/2-SUM($E129:P129))/Q129,IF(SUM($E129:R129)&gt;=AE129/2,65+5*(AE129/2-SUM($E129:Q129))/R129,IF(SUM($E129:S129)&gt;=AE129/2,70+5*(AE129/2-SUM($E129:R129))/S129,IF(SUM($E129:T129)&gt;=AE129/2,75+5*(AE129/2-SUM($E129:S129))/T129,""))))))))))))))))</f>
        <v/>
      </c>
      <c r="AL129" s="30">
        <f>SUM(H129:Q129)</f>
        <v/>
      </c>
      <c r="AM129" s="24" t="n">
        <v>0.376</v>
      </c>
      <c r="AN129" s="24" t="n">
        <v>0.441</v>
      </c>
      <c r="AO129" s="33">
        <f>IF(AND(ISNUMBER(AN129),ISNUMBER(AM129)),(AN129-AM129)*100,"")</f>
        <v/>
      </c>
      <c r="AP129" s="30">
        <f>IF(ISNUMBER(AN129),AN129*AL129,"")</f>
        <v/>
      </c>
      <c r="AQ129" s="30">
        <f>IF(ISNUMBER(AN129),AL129,0)</f>
        <v/>
      </c>
      <c r="AR129" s="24" t="n">
        <v>0.6</v>
      </c>
      <c r="AS129" s="6" t="inlineStr">
        <is>
          <t>internet users</t>
        </is>
      </c>
      <c r="AT129" s="6" t="inlineStr">
        <is>
          <t>16+</t>
        </is>
      </c>
      <c r="AU129" s="24" t="n">
        <v>0.95</v>
      </c>
      <c r="AV129" s="30">
        <f>H129*0.8+I129+J129+K129+L129+M129+N129+O129+P129+Q129+R129+S129+T129+U129</f>
        <v/>
      </c>
      <c r="AX129" s="30">
        <f>IF(ISNUMBER(AW129),AW129,AR129*AU129*AV129)</f>
        <v/>
      </c>
      <c r="AY129" s="34">
        <f>AX129/AV129</f>
        <v/>
      </c>
      <c r="AZ129" s="6" t="inlineStr">
        <is>
          <t>B</t>
        </is>
      </c>
      <c r="BA129" s="6" t="inlineStr">
        <is>
          <t>No</t>
        </is>
      </c>
      <c r="BB129" s="30">
        <f>IF(BA129="Yes",AX129,0)</f>
        <v/>
      </c>
      <c r="BC129" s="30">
        <f>IF(AND(BA129="Yes",ISNUMBER(AP129)),AP129,0)</f>
        <v/>
      </c>
      <c r="BD129" s="30">
        <f>IF(BA129="Yes",AX129,IF(ISNUMBER(AP129),AP129,0))</f>
        <v/>
      </c>
      <c r="BE129" s="6" t="inlineStr">
        <is>
          <t>Familiar with or have used AI tools (internet users 16+)</t>
        </is>
      </c>
      <c r="BF129" s="6" t="inlineStr">
        <is>
          <t>March-May 2025 (online panel, n=2,063)</t>
        </is>
      </c>
      <c r="BG129" s="6" t="inlineStr">
        <is>
          <t>AUT New Zealand Policy Research Institute (World Internet Project NZ): World Internet Project New Zealand 2025</t>
        </is>
      </c>
      <c r="BH129" s="6" t="inlineStr">
        <is>
          <t>https://nzpri.aut.ac.nz/__data/assets/pdf_file/0008/1073906/WIP-NZ-Report-2025_InternetNZ.pdf</t>
        </is>
      </c>
    </row>
    <row r="130">
      <c r="A130" s="6" t="inlineStr">
        <is>
          <t>MRT</t>
        </is>
      </c>
      <c r="B130" s="6" t="inlineStr">
        <is>
          <t>Mauritania</t>
        </is>
      </c>
      <c r="C130" s="6" t="inlineStr">
        <is>
          <t>Sub-Saharan Africa</t>
        </is>
      </c>
      <c r="D130" s="6" t="inlineStr">
        <is>
          <t>Lower middle income</t>
        </is>
      </c>
      <c r="E130" s="29" t="n">
        <v>828851</v>
      </c>
      <c r="F130" s="29" t="n">
        <v>749701</v>
      </c>
      <c r="G130" s="29" t="n">
        <v>674218</v>
      </c>
      <c r="H130" s="29" t="n">
        <v>580605</v>
      </c>
      <c r="I130" s="29" t="n">
        <v>478070</v>
      </c>
      <c r="J130" s="29" t="n">
        <v>399346</v>
      </c>
      <c r="K130" s="29" t="n">
        <v>338392</v>
      </c>
      <c r="L130" s="29" t="n">
        <v>284325</v>
      </c>
      <c r="M130" s="29" t="n">
        <v>234728</v>
      </c>
      <c r="N130" s="29" t="n">
        <v>191024</v>
      </c>
      <c r="O130" s="29" t="n">
        <v>157951</v>
      </c>
      <c r="P130" s="29" t="n">
        <v>126972</v>
      </c>
      <c r="Q130" s="29" t="n">
        <v>98322</v>
      </c>
      <c r="R130" s="29" t="n">
        <v>72509</v>
      </c>
      <c r="S130" s="29" t="n">
        <v>48288</v>
      </c>
      <c r="T130" s="29" t="n">
        <v>28991</v>
      </c>
      <c r="U130" s="29" t="n">
        <v>22779</v>
      </c>
      <c r="V130" s="29" t="n">
        <v>2706268</v>
      </c>
      <c r="W130" s="29" t="n">
        <v>2608804</v>
      </c>
      <c r="X130" s="30">
        <f>SUM(E130:G130)</f>
        <v/>
      </c>
      <c r="Y130" s="30">
        <f>SUM(H130:I130)</f>
        <v/>
      </c>
      <c r="Z130" s="30">
        <f>SUM(J130:K130)</f>
        <v/>
      </c>
      <c r="AA130" s="30">
        <f>SUM(L130:M130)</f>
        <v/>
      </c>
      <c r="AB130" s="30">
        <f>SUM(N130:O130)</f>
        <v/>
      </c>
      <c r="AC130" s="30">
        <f>SUM(P130:Q130)</f>
        <v/>
      </c>
      <c r="AD130" s="30">
        <f>SUM(R130:U130)</f>
        <v/>
      </c>
      <c r="AE130" s="31">
        <f>SUM(X130:AD130)</f>
        <v/>
      </c>
      <c r="AF130" s="32">
        <f>AE130/SUM($AE$5:$AE$222)</f>
        <v/>
      </c>
      <c r="AG130" s="10">
        <f>RANK(AE130,$AE$5:$AE$222)</f>
        <v/>
      </c>
      <c r="AH130" s="29" t="n">
        <v>5169395</v>
      </c>
      <c r="AI130" s="9">
        <f>IF(AH130&gt;0,AE130/AH130-1,"")</f>
        <v/>
      </c>
      <c r="AJ130" s="29" t="n">
        <v>2198</v>
      </c>
      <c r="AK130" s="19">
        <f>IF(SUM($E130:E130)&gt;=AE130/2,0+5*(AE130/2-0)/E130,IF(SUM($E130:F130)&gt;=AE130/2,5+5*(AE130/2-SUM($E130:E130))/F130,IF(SUM($E130:G130)&gt;=AE130/2,10+5*(AE130/2-SUM($E130:F130))/G130,IF(SUM($E130:H130)&gt;=AE130/2,15+5*(AE130/2-SUM($E130:G130))/H130,IF(SUM($E130:I130)&gt;=AE130/2,20+5*(AE130/2-SUM($E130:H130))/I130,IF(SUM($E130:J130)&gt;=AE130/2,25+5*(AE130/2-SUM($E130:I130))/J130,IF(SUM($E130:K130)&gt;=AE130/2,30+5*(AE130/2-SUM($E130:J130))/K130,IF(SUM($E130:L130)&gt;=AE130/2,35+5*(AE130/2-SUM($E130:K130))/L130,IF(SUM($E130:M130)&gt;=AE130/2,40+5*(AE130/2-SUM($E130:L130))/M130,IF(SUM($E130:N130)&gt;=AE130/2,45+5*(AE130/2-SUM($E130:M130))/N130,IF(SUM($E130:O130)&gt;=AE130/2,50+5*(AE130/2-SUM($E130:N130))/O130,IF(SUM($E130:P130)&gt;=AE130/2,55+5*(AE130/2-SUM($E130:O130))/P130,IF(SUM($E130:Q130)&gt;=AE130/2,60+5*(AE130/2-SUM($E130:P130))/Q130,IF(SUM($E130:R130)&gt;=AE130/2,65+5*(AE130/2-SUM($E130:Q130))/R130,IF(SUM($E130:S130)&gt;=AE130/2,70+5*(AE130/2-SUM($E130:R130))/S130,IF(SUM($E130:T130)&gt;=AE130/2,75+5*(AE130/2-SUM($E130:S130))/T130,""))))))))))))))))</f>
        <v/>
      </c>
      <c r="AL130" s="30">
        <f>SUM(H130:Q130)</f>
        <v/>
      </c>
      <c r="AM130" s="24" t="n">
        <v>0.08699999999999999</v>
      </c>
      <c r="AN130" s="24" t="n">
        <v>0.104</v>
      </c>
      <c r="AO130" s="33">
        <f>IF(AND(ISNUMBER(AN130),ISNUMBER(AM130)),(AN130-AM130)*100,"")</f>
        <v/>
      </c>
      <c r="AP130" s="30">
        <f>IF(ISNUMBER(AN130),AN130*AL130,"")</f>
        <v/>
      </c>
      <c r="AQ130" s="30">
        <f>IF(ISNUMBER(AN130),AL130,0)</f>
        <v/>
      </c>
      <c r="BB130" s="30">
        <f>IF(BA130="Yes",AX130,0)</f>
        <v/>
      </c>
      <c r="BC130" s="30">
        <f>IF(AND(BA130="Yes",ISNUMBER(AP130)),AP130,0)</f>
        <v/>
      </c>
      <c r="BD130" s="30">
        <f>IF(BA130="Yes",AX130,IF(ISNUMBER(AP130),AP130,0))</f>
        <v/>
      </c>
    </row>
    <row r="131">
      <c r="A131" s="6" t="inlineStr">
        <is>
          <t>CRI</t>
        </is>
      </c>
      <c r="B131" s="6" t="inlineStr">
        <is>
          <t>Costa Rica</t>
        </is>
      </c>
      <c r="C131" s="6" t="inlineStr">
        <is>
          <t>Latin America &amp; Caribbean</t>
        </is>
      </c>
      <c r="D131" s="6" t="inlineStr">
        <is>
          <t>High income</t>
        </is>
      </c>
      <c r="E131" s="29" t="n">
        <v>261375</v>
      </c>
      <c r="F131" s="29" t="n">
        <v>329388</v>
      </c>
      <c r="G131" s="29" t="n">
        <v>352670</v>
      </c>
      <c r="H131" s="29" t="n">
        <v>361313</v>
      </c>
      <c r="I131" s="29" t="n">
        <v>369909</v>
      </c>
      <c r="J131" s="29" t="n">
        <v>397587</v>
      </c>
      <c r="K131" s="29" t="n">
        <v>408684</v>
      </c>
      <c r="L131" s="29" t="n">
        <v>415100</v>
      </c>
      <c r="M131" s="29" t="n">
        <v>387302</v>
      </c>
      <c r="N131" s="29" t="n">
        <v>340607</v>
      </c>
      <c r="O131" s="29" t="n">
        <v>302353</v>
      </c>
      <c r="P131" s="29" t="n">
        <v>291947</v>
      </c>
      <c r="Q131" s="29" t="n">
        <v>277612</v>
      </c>
      <c r="R131" s="29" t="n">
        <v>226635</v>
      </c>
      <c r="S131" s="29" t="n">
        <v>169366</v>
      </c>
      <c r="T131" s="29" t="n">
        <v>121120</v>
      </c>
      <c r="U131" s="29" t="n">
        <v>139981</v>
      </c>
      <c r="V131" s="29" t="n">
        <v>2607277</v>
      </c>
      <c r="W131" s="29" t="n">
        <v>2545672</v>
      </c>
      <c r="X131" s="30">
        <f>SUM(E131:G131)</f>
        <v/>
      </c>
      <c r="Y131" s="30">
        <f>SUM(H131:I131)</f>
        <v/>
      </c>
      <c r="Z131" s="30">
        <f>SUM(J131:K131)</f>
        <v/>
      </c>
      <c r="AA131" s="30">
        <f>SUM(L131:M131)</f>
        <v/>
      </c>
      <c r="AB131" s="30">
        <f>SUM(N131:O131)</f>
        <v/>
      </c>
      <c r="AC131" s="30">
        <f>SUM(P131:Q131)</f>
        <v/>
      </c>
      <c r="AD131" s="30">
        <f>SUM(R131:U131)</f>
        <v/>
      </c>
      <c r="AE131" s="31">
        <f>SUM(X131:AD131)</f>
        <v/>
      </c>
      <c r="AF131" s="32">
        <f>AE131/SUM($AE$5:$AE$222)</f>
        <v/>
      </c>
      <c r="AG131" s="10">
        <f>RANK(AE131,$AE$5:$AE$222)</f>
        <v/>
      </c>
      <c r="AH131" s="29" t="n">
        <v>5129910</v>
      </c>
      <c r="AI131" s="9">
        <f>IF(AH131&gt;0,AE131/AH131-1,"")</f>
        <v/>
      </c>
      <c r="AJ131" s="29" t="n">
        <v>19970</v>
      </c>
      <c r="AK131" s="19">
        <f>IF(SUM($E131:E131)&gt;=AE131/2,0+5*(AE131/2-0)/E131,IF(SUM($E131:F131)&gt;=AE131/2,5+5*(AE131/2-SUM($E131:E131))/F131,IF(SUM($E131:G131)&gt;=AE131/2,10+5*(AE131/2-SUM($E131:F131))/G131,IF(SUM($E131:H131)&gt;=AE131/2,15+5*(AE131/2-SUM($E131:G131))/H131,IF(SUM($E131:I131)&gt;=AE131/2,20+5*(AE131/2-SUM($E131:H131))/I131,IF(SUM($E131:J131)&gt;=AE131/2,25+5*(AE131/2-SUM($E131:I131))/J131,IF(SUM($E131:K131)&gt;=AE131/2,30+5*(AE131/2-SUM($E131:J131))/K131,IF(SUM($E131:L131)&gt;=AE131/2,35+5*(AE131/2-SUM($E131:K131))/L131,IF(SUM($E131:M131)&gt;=AE131/2,40+5*(AE131/2-SUM($E131:L131))/M131,IF(SUM($E131:N131)&gt;=AE131/2,45+5*(AE131/2-SUM($E131:M131))/N131,IF(SUM($E131:O131)&gt;=AE131/2,50+5*(AE131/2-SUM($E131:N131))/O131,IF(SUM($E131:P131)&gt;=AE131/2,55+5*(AE131/2-SUM($E131:O131))/P131,IF(SUM($E131:Q131)&gt;=AE131/2,60+5*(AE131/2-SUM($E131:P131))/Q131,IF(SUM($E131:R131)&gt;=AE131/2,65+5*(AE131/2-SUM($E131:Q131))/R131,IF(SUM($E131:S131)&gt;=AE131/2,70+5*(AE131/2-SUM($E131:R131))/S131,IF(SUM($E131:T131)&gt;=AE131/2,75+5*(AE131/2-SUM($E131:S131))/T131,""))))))))))))))))</f>
        <v/>
      </c>
      <c r="AL131" s="30">
        <f>SUM(H131:Q131)</f>
        <v/>
      </c>
      <c r="AM131" s="24" t="n">
        <v>0.251</v>
      </c>
      <c r="AN131" s="24" t="n">
        <v>0.297</v>
      </c>
      <c r="AO131" s="33">
        <f>IF(AND(ISNUMBER(AN131),ISNUMBER(AM131)),(AN131-AM131)*100,"")</f>
        <v/>
      </c>
      <c r="AP131" s="30">
        <f>IF(ISNUMBER(AN131),AN131*AL131,"")</f>
        <v/>
      </c>
      <c r="AQ131" s="30">
        <f>IF(ISNUMBER(AN131),AL131,0)</f>
        <v/>
      </c>
      <c r="BB131" s="30">
        <f>IF(BA131="Yes",AX131,0)</f>
        <v/>
      </c>
      <c r="BC131" s="30">
        <f>IF(AND(BA131="Yes",ISNUMBER(AP131)),AP131,0)</f>
        <v/>
      </c>
      <c r="BD131" s="30">
        <f>IF(BA131="Yes",AX131,IF(ISNUMBER(AP131),AP131,0))</f>
        <v/>
      </c>
    </row>
    <row r="132">
      <c r="A132" s="6" t="inlineStr">
        <is>
          <t>KWT</t>
        </is>
      </c>
      <c r="B132" s="6" t="inlineStr">
        <is>
          <t>Kuwait</t>
        </is>
      </c>
      <c r="C132" s="6" t="inlineStr">
        <is>
          <t>Middle East, North Africa, Afghanistan &amp; Pakistan</t>
        </is>
      </c>
      <c r="D132" s="6" t="inlineStr">
        <is>
          <t>High income</t>
        </is>
      </c>
      <c r="E132" s="29" t="n">
        <v>260675</v>
      </c>
      <c r="F132" s="29" t="n">
        <v>298361</v>
      </c>
      <c r="G132" s="29" t="n">
        <v>315407</v>
      </c>
      <c r="H132" s="29" t="n">
        <v>278281</v>
      </c>
      <c r="I132" s="29" t="n">
        <v>249291</v>
      </c>
      <c r="J132" s="29" t="n">
        <v>416258</v>
      </c>
      <c r="K132" s="29" t="n">
        <v>520274</v>
      </c>
      <c r="L132" s="29" t="n">
        <v>609039</v>
      </c>
      <c r="M132" s="29" t="n">
        <v>590360</v>
      </c>
      <c r="N132" s="29" t="n">
        <v>458742</v>
      </c>
      <c r="O132" s="29" t="n">
        <v>343243</v>
      </c>
      <c r="P132" s="29" t="n">
        <v>233968</v>
      </c>
      <c r="Q132" s="29" t="n">
        <v>136929</v>
      </c>
      <c r="R132" s="29" t="n">
        <v>75281</v>
      </c>
      <c r="S132" s="29" t="n">
        <v>40699</v>
      </c>
      <c r="T132" s="29" t="n">
        <v>21579</v>
      </c>
      <c r="U132" s="29" t="n">
        <v>16908</v>
      </c>
      <c r="V132" s="29" t="n">
        <v>1893864</v>
      </c>
      <c r="W132" s="29" t="n">
        <v>2971431</v>
      </c>
      <c r="X132" s="30">
        <f>SUM(E132:G132)</f>
        <v/>
      </c>
      <c r="Y132" s="30">
        <f>SUM(H132:I132)</f>
        <v/>
      </c>
      <c r="Z132" s="30">
        <f>SUM(J132:K132)</f>
        <v/>
      </c>
      <c r="AA132" s="30">
        <f>SUM(L132:M132)</f>
        <v/>
      </c>
      <c r="AB132" s="30">
        <f>SUM(N132:O132)</f>
        <v/>
      </c>
      <c r="AC132" s="30">
        <f>SUM(P132:Q132)</f>
        <v/>
      </c>
      <c r="AD132" s="30">
        <f>SUM(R132:U132)</f>
        <v/>
      </c>
      <c r="AE132" s="31">
        <f>SUM(X132:AD132)</f>
        <v/>
      </c>
      <c r="AF132" s="32">
        <f>AE132/SUM($AE$5:$AE$222)</f>
        <v/>
      </c>
      <c r="AG132" s="10">
        <f>RANK(AE132,$AE$5:$AE$222)</f>
        <v/>
      </c>
      <c r="AH132" s="29" t="n">
        <v>4897263</v>
      </c>
      <c r="AI132" s="9">
        <f>IF(AH132&gt;0,AE132/AH132-1,"")</f>
        <v/>
      </c>
      <c r="AJ132" s="29" t="n">
        <v>32312</v>
      </c>
      <c r="AK132" s="19">
        <f>IF(SUM($E132:E132)&gt;=AE132/2,0+5*(AE132/2-0)/E132,IF(SUM($E132:F132)&gt;=AE132/2,5+5*(AE132/2-SUM($E132:E132))/F132,IF(SUM($E132:G132)&gt;=AE132/2,10+5*(AE132/2-SUM($E132:F132))/G132,IF(SUM($E132:H132)&gt;=AE132/2,15+5*(AE132/2-SUM($E132:G132))/H132,IF(SUM($E132:I132)&gt;=AE132/2,20+5*(AE132/2-SUM($E132:H132))/I132,IF(SUM($E132:J132)&gt;=AE132/2,25+5*(AE132/2-SUM($E132:I132))/J132,IF(SUM($E132:K132)&gt;=AE132/2,30+5*(AE132/2-SUM($E132:J132))/K132,IF(SUM($E132:L132)&gt;=AE132/2,35+5*(AE132/2-SUM($E132:K132))/L132,IF(SUM($E132:M132)&gt;=AE132/2,40+5*(AE132/2-SUM($E132:L132))/M132,IF(SUM($E132:N132)&gt;=AE132/2,45+5*(AE132/2-SUM($E132:M132))/N132,IF(SUM($E132:O132)&gt;=AE132/2,50+5*(AE132/2-SUM($E132:N132))/O132,IF(SUM($E132:P132)&gt;=AE132/2,55+5*(AE132/2-SUM($E132:O132))/P132,IF(SUM($E132:Q132)&gt;=AE132/2,60+5*(AE132/2-SUM($E132:P132))/Q132,IF(SUM($E132:R132)&gt;=AE132/2,65+5*(AE132/2-SUM($E132:Q132))/R132,IF(SUM($E132:S132)&gt;=AE132/2,70+5*(AE132/2-SUM($E132:R132))/S132,IF(SUM($E132:T132)&gt;=AE132/2,75+5*(AE132/2-SUM($E132:S132))/T132,""))))))))))))))))</f>
        <v/>
      </c>
      <c r="AL132" s="30">
        <f>SUM(H132:Q132)</f>
        <v/>
      </c>
      <c r="AM132" s="24" t="n">
        <v>0.177</v>
      </c>
      <c r="AN132" s="24" t="n">
        <v>0.226</v>
      </c>
      <c r="AO132" s="33">
        <f>IF(AND(ISNUMBER(AN132),ISNUMBER(AM132)),(AN132-AM132)*100,"")</f>
        <v/>
      </c>
      <c r="AP132" s="30">
        <f>IF(ISNUMBER(AN132),AN132*AL132,"")</f>
        <v/>
      </c>
      <c r="AQ132" s="30">
        <f>IF(ISNUMBER(AN132),AL132,0)</f>
        <v/>
      </c>
      <c r="BB132" s="30">
        <f>IF(BA132="Yes",AX132,0)</f>
        <v/>
      </c>
      <c r="BC132" s="30">
        <f>IF(AND(BA132="Yes",ISNUMBER(AP132)),AP132,0)</f>
        <v/>
      </c>
      <c r="BD132" s="30">
        <f>IF(BA132="Yes",AX132,IF(ISNUMBER(AP132),AP132,0))</f>
        <v/>
      </c>
    </row>
    <row r="133">
      <c r="A133" s="6" t="inlineStr">
        <is>
          <t>PAN</t>
        </is>
      </c>
      <c r="B133" s="6" t="inlineStr">
        <is>
          <t>Panama</t>
        </is>
      </c>
      <c r="C133" s="6" t="inlineStr">
        <is>
          <t>Latin America &amp; Caribbean</t>
        </is>
      </c>
      <c r="D133" s="6" t="inlineStr">
        <is>
          <t>High income</t>
        </is>
      </c>
      <c r="E133" s="29" t="n">
        <v>354781</v>
      </c>
      <c r="F133" s="29" t="n">
        <v>380550</v>
      </c>
      <c r="G133" s="29" t="n">
        <v>385807</v>
      </c>
      <c r="H133" s="29" t="n">
        <v>369086</v>
      </c>
      <c r="I133" s="29" t="n">
        <v>359468</v>
      </c>
      <c r="J133" s="29" t="n">
        <v>350250</v>
      </c>
      <c r="K133" s="29" t="n">
        <v>336957</v>
      </c>
      <c r="L133" s="29" t="n">
        <v>324053</v>
      </c>
      <c r="M133" s="29" t="n">
        <v>304032</v>
      </c>
      <c r="N133" s="29" t="n">
        <v>276543</v>
      </c>
      <c r="O133" s="29" t="n">
        <v>260478</v>
      </c>
      <c r="P133" s="29" t="n">
        <v>232575</v>
      </c>
      <c r="Q133" s="29" t="n">
        <v>195168</v>
      </c>
      <c r="R133" s="29" t="n">
        <v>151297</v>
      </c>
      <c r="S133" s="29" t="n">
        <v>114849</v>
      </c>
      <c r="T133" s="29" t="n">
        <v>80034</v>
      </c>
      <c r="U133" s="29" t="n">
        <v>95261</v>
      </c>
      <c r="V133" s="29" t="n">
        <v>2285611</v>
      </c>
      <c r="W133" s="29" t="n">
        <v>2285578</v>
      </c>
      <c r="X133" s="30">
        <f>SUM(E133:G133)</f>
        <v/>
      </c>
      <c r="Y133" s="30">
        <f>SUM(H133:I133)</f>
        <v/>
      </c>
      <c r="Z133" s="30">
        <f>SUM(J133:K133)</f>
        <v/>
      </c>
      <c r="AA133" s="30">
        <f>SUM(L133:M133)</f>
        <v/>
      </c>
      <c r="AB133" s="30">
        <f>SUM(N133:O133)</f>
        <v/>
      </c>
      <c r="AC133" s="30">
        <f>SUM(P133:Q133)</f>
        <v/>
      </c>
      <c r="AD133" s="30">
        <f>SUM(R133:U133)</f>
        <v/>
      </c>
      <c r="AE133" s="31">
        <f>SUM(X133:AD133)</f>
        <v/>
      </c>
      <c r="AF133" s="32">
        <f>AE133/SUM($AE$5:$AE$222)</f>
        <v/>
      </c>
      <c r="AG133" s="10">
        <f>RANK(AE133,$AE$5:$AE$222)</f>
        <v/>
      </c>
      <c r="AH133" s="29" t="n">
        <v>4515577</v>
      </c>
      <c r="AI133" s="9">
        <f>IF(AH133&gt;0,AE133/AH133-1,"")</f>
        <v/>
      </c>
      <c r="AJ133" s="29" t="n">
        <v>19790</v>
      </c>
      <c r="AK133" s="19">
        <f>IF(SUM($E133:E133)&gt;=AE133/2,0+5*(AE133/2-0)/E133,IF(SUM($E133:F133)&gt;=AE133/2,5+5*(AE133/2-SUM($E133:E133))/F133,IF(SUM($E133:G133)&gt;=AE133/2,10+5*(AE133/2-SUM($E133:F133))/G133,IF(SUM($E133:H133)&gt;=AE133/2,15+5*(AE133/2-SUM($E133:G133))/H133,IF(SUM($E133:I133)&gt;=AE133/2,20+5*(AE133/2-SUM($E133:H133))/I133,IF(SUM($E133:J133)&gt;=AE133/2,25+5*(AE133/2-SUM($E133:I133))/J133,IF(SUM($E133:K133)&gt;=AE133/2,30+5*(AE133/2-SUM($E133:J133))/K133,IF(SUM($E133:L133)&gt;=AE133/2,35+5*(AE133/2-SUM($E133:K133))/L133,IF(SUM($E133:M133)&gt;=AE133/2,40+5*(AE133/2-SUM($E133:L133))/M133,IF(SUM($E133:N133)&gt;=AE133/2,45+5*(AE133/2-SUM($E133:M133))/N133,IF(SUM($E133:O133)&gt;=AE133/2,50+5*(AE133/2-SUM($E133:N133))/O133,IF(SUM($E133:P133)&gt;=AE133/2,55+5*(AE133/2-SUM($E133:O133))/P133,IF(SUM($E133:Q133)&gt;=AE133/2,60+5*(AE133/2-SUM($E133:P133))/Q133,IF(SUM($E133:R133)&gt;=AE133/2,65+5*(AE133/2-SUM($E133:Q133))/R133,IF(SUM($E133:S133)&gt;=AE133/2,70+5*(AE133/2-SUM($E133:R133))/S133,IF(SUM($E133:T133)&gt;=AE133/2,75+5*(AE133/2-SUM($E133:S133))/T133,""))))))))))))))))</f>
        <v/>
      </c>
      <c r="AL133" s="30">
        <f>SUM(H133:Q133)</f>
        <v/>
      </c>
      <c r="AM133" s="24" t="n">
        <v>0.203</v>
      </c>
      <c r="AN133" s="24" t="n">
        <v>0.242</v>
      </c>
      <c r="AO133" s="33">
        <f>IF(AND(ISNUMBER(AN133),ISNUMBER(AM133)),(AN133-AM133)*100,"")</f>
        <v/>
      </c>
      <c r="AP133" s="30">
        <f>IF(ISNUMBER(AN133),AN133*AL133,"")</f>
        <v/>
      </c>
      <c r="AQ133" s="30">
        <f>IF(ISNUMBER(AN133),AL133,0)</f>
        <v/>
      </c>
      <c r="BB133" s="30">
        <f>IF(BA133="Yes",AX133,0)</f>
        <v/>
      </c>
      <c r="BC133" s="30">
        <f>IF(AND(BA133="Yes",ISNUMBER(AP133)),AP133,0)</f>
        <v/>
      </c>
      <c r="BD133" s="30">
        <f>IF(BA133="Yes",AX133,IF(ISNUMBER(AP133),AP133,0))</f>
        <v/>
      </c>
    </row>
    <row r="134">
      <c r="A134" s="6" t="inlineStr">
        <is>
          <t>GEO</t>
        </is>
      </c>
      <c r="B134" s="6" t="inlineStr">
        <is>
          <t>Georgia</t>
        </is>
      </c>
      <c r="C134" s="6" t="inlineStr">
        <is>
          <t>Europe &amp; Central Asia</t>
        </is>
      </c>
      <c r="D134" s="6" t="inlineStr">
        <is>
          <t>Upper middle income</t>
        </is>
      </c>
      <c r="E134" s="29" t="n">
        <v>232430</v>
      </c>
      <c r="F134" s="29" t="n">
        <v>283941</v>
      </c>
      <c r="G134" s="29" t="n">
        <v>289993</v>
      </c>
      <c r="H134" s="29" t="n">
        <v>252413</v>
      </c>
      <c r="I134" s="29" t="n">
        <v>217779</v>
      </c>
      <c r="J134" s="29" t="n">
        <v>229285</v>
      </c>
      <c r="K134" s="29" t="n">
        <v>266767</v>
      </c>
      <c r="L134" s="29" t="n">
        <v>295737</v>
      </c>
      <c r="M134" s="29" t="n">
        <v>276536</v>
      </c>
      <c r="N134" s="29" t="n">
        <v>250037</v>
      </c>
      <c r="O134" s="29" t="n">
        <v>237912</v>
      </c>
      <c r="P134" s="29" t="n">
        <v>227471</v>
      </c>
      <c r="Q134" s="29" t="n">
        <v>246083</v>
      </c>
      <c r="R134" s="29" t="n">
        <v>218454</v>
      </c>
      <c r="S134" s="29" t="n">
        <v>170048</v>
      </c>
      <c r="T134" s="29" t="n">
        <v>112801</v>
      </c>
      <c r="U134" s="29" t="n">
        <v>128079</v>
      </c>
      <c r="V134" s="29" t="n">
        <v>2100569</v>
      </c>
      <c r="W134" s="29" t="n">
        <v>1835197</v>
      </c>
      <c r="X134" s="30">
        <f>SUM(E134:G134)</f>
        <v/>
      </c>
      <c r="Y134" s="30">
        <f>SUM(H134:I134)</f>
        <v/>
      </c>
      <c r="Z134" s="30">
        <f>SUM(J134:K134)</f>
        <v/>
      </c>
      <c r="AA134" s="30">
        <f>SUM(L134:M134)</f>
        <v/>
      </c>
      <c r="AB134" s="30">
        <f>SUM(N134:O134)</f>
        <v/>
      </c>
      <c r="AC134" s="30">
        <f>SUM(P134:Q134)</f>
        <v/>
      </c>
      <c r="AD134" s="30">
        <f>SUM(R134:U134)</f>
        <v/>
      </c>
      <c r="AE134" s="31">
        <f>SUM(X134:AD134)</f>
        <v/>
      </c>
      <c r="AF134" s="32">
        <f>AE134/SUM($AE$5:$AE$222)</f>
        <v/>
      </c>
      <c r="AG134" s="10">
        <f>RANK(AE134,$AE$5:$AE$222)</f>
        <v/>
      </c>
      <c r="AH134" s="29" t="n">
        <v>3812518</v>
      </c>
      <c r="AI134" s="9">
        <f>IF(AH134&gt;0,AE134/AH134-1,"")</f>
        <v/>
      </c>
      <c r="AJ134" s="29" t="n">
        <v>9692</v>
      </c>
      <c r="AK134" s="19">
        <f>IF(SUM($E134:E134)&gt;=AE134/2,0+5*(AE134/2-0)/E134,IF(SUM($E134:F134)&gt;=AE134/2,5+5*(AE134/2-SUM($E134:E134))/F134,IF(SUM($E134:G134)&gt;=AE134/2,10+5*(AE134/2-SUM($E134:F134))/G134,IF(SUM($E134:H134)&gt;=AE134/2,15+5*(AE134/2-SUM($E134:G134))/H134,IF(SUM($E134:I134)&gt;=AE134/2,20+5*(AE134/2-SUM($E134:H134))/I134,IF(SUM($E134:J134)&gt;=AE134/2,25+5*(AE134/2-SUM($E134:I134))/J134,IF(SUM($E134:K134)&gt;=AE134/2,30+5*(AE134/2-SUM($E134:J134))/K134,IF(SUM($E134:L134)&gt;=AE134/2,35+5*(AE134/2-SUM($E134:K134))/L134,IF(SUM($E134:M134)&gt;=AE134/2,40+5*(AE134/2-SUM($E134:L134))/M134,IF(SUM($E134:N134)&gt;=AE134/2,45+5*(AE134/2-SUM($E134:M134))/N134,IF(SUM($E134:O134)&gt;=AE134/2,50+5*(AE134/2-SUM($E134:N134))/O134,IF(SUM($E134:P134)&gt;=AE134/2,55+5*(AE134/2-SUM($E134:O134))/P134,IF(SUM($E134:Q134)&gt;=AE134/2,60+5*(AE134/2-SUM($E134:P134))/Q134,IF(SUM($E134:R134)&gt;=AE134/2,65+5*(AE134/2-SUM($E134:Q134))/R134,IF(SUM($E134:S134)&gt;=AE134/2,70+5*(AE134/2-SUM($E134:R134))/S134,IF(SUM($E134:T134)&gt;=AE134/2,75+5*(AE134/2-SUM($E134:S134))/T134,""))))))))))))))))</f>
        <v/>
      </c>
      <c r="AL134" s="30">
        <f>SUM(H134:Q134)</f>
        <v/>
      </c>
      <c r="AM134" s="24" t="n">
        <v>0.173</v>
      </c>
      <c r="AN134" s="24" t="n">
        <v>0.216</v>
      </c>
      <c r="AO134" s="33">
        <f>IF(AND(ISNUMBER(AN134),ISNUMBER(AM134)),(AN134-AM134)*100,"")</f>
        <v/>
      </c>
      <c r="AP134" s="30">
        <f>IF(ISNUMBER(AN134),AN134*AL134,"")</f>
        <v/>
      </c>
      <c r="AQ134" s="30">
        <f>IF(ISNUMBER(AN134),AL134,0)</f>
        <v/>
      </c>
      <c r="BB134" s="30">
        <f>IF(BA134="Yes",AX134,0)</f>
        <v/>
      </c>
      <c r="BC134" s="30">
        <f>IF(AND(BA134="Yes",ISNUMBER(AP134)),AP134,0)</f>
        <v/>
      </c>
      <c r="BD134" s="30">
        <f>IF(BA134="Yes",AX134,IF(ISNUMBER(AP134),AP134,0))</f>
        <v/>
      </c>
    </row>
    <row r="135">
      <c r="A135" s="6" t="inlineStr">
        <is>
          <t>HRV</t>
        </is>
      </c>
      <c r="B135" s="6" t="inlineStr">
        <is>
          <t>Croatia</t>
        </is>
      </c>
      <c r="C135" s="6" t="inlineStr">
        <is>
          <t>Europe &amp; Central Asia</t>
        </is>
      </c>
      <c r="D135" s="6" t="inlineStr">
        <is>
          <t>High income</t>
        </is>
      </c>
      <c r="E135" s="29" t="n">
        <v>164465</v>
      </c>
      <c r="F135" s="29" t="n">
        <v>172040</v>
      </c>
      <c r="G135" s="29" t="n">
        <v>194629</v>
      </c>
      <c r="H135" s="29" t="n">
        <v>208764</v>
      </c>
      <c r="I135" s="29" t="n">
        <v>196719</v>
      </c>
      <c r="J135" s="29" t="n">
        <v>215683</v>
      </c>
      <c r="K135" s="29" t="n">
        <v>211832</v>
      </c>
      <c r="L135" s="29" t="n">
        <v>235048</v>
      </c>
      <c r="M135" s="29" t="n">
        <v>268742</v>
      </c>
      <c r="N135" s="29" t="n">
        <v>274751</v>
      </c>
      <c r="O135" s="29" t="n">
        <v>265528</v>
      </c>
      <c r="P135" s="29" t="n">
        <v>272820</v>
      </c>
      <c r="Q135" s="29" t="n">
        <v>280027</v>
      </c>
      <c r="R135" s="29" t="n">
        <v>276805</v>
      </c>
      <c r="S135" s="29" t="n">
        <v>243277</v>
      </c>
      <c r="T135" s="29" t="n">
        <v>176607</v>
      </c>
      <c r="U135" s="29" t="n">
        <v>218465</v>
      </c>
      <c r="V135" s="29" t="n">
        <v>2005677</v>
      </c>
      <c r="W135" s="29" t="n">
        <v>1870525</v>
      </c>
      <c r="X135" s="30">
        <f>SUM(E135:G135)</f>
        <v/>
      </c>
      <c r="Y135" s="30">
        <f>SUM(H135:I135)</f>
        <v/>
      </c>
      <c r="Z135" s="30">
        <f>SUM(J135:K135)</f>
        <v/>
      </c>
      <c r="AA135" s="30">
        <f>SUM(L135:M135)</f>
        <v/>
      </c>
      <c r="AB135" s="30">
        <f>SUM(N135:O135)</f>
        <v/>
      </c>
      <c r="AC135" s="30">
        <f>SUM(P135:Q135)</f>
        <v/>
      </c>
      <c r="AD135" s="30">
        <f>SUM(R135:U135)</f>
        <v/>
      </c>
      <c r="AE135" s="31">
        <f>SUM(X135:AD135)</f>
        <v/>
      </c>
      <c r="AF135" s="32">
        <f>AE135/SUM($AE$5:$AE$222)</f>
        <v/>
      </c>
      <c r="AG135" s="10">
        <f>RANK(AE135,$AE$5:$AE$222)</f>
        <v/>
      </c>
      <c r="AH135" s="29" t="n">
        <v>3866200</v>
      </c>
      <c r="AI135" s="9">
        <f>IF(AH135&gt;0,AE135/AH135-1,"")</f>
        <v/>
      </c>
      <c r="AJ135" s="29" t="n">
        <v>27104</v>
      </c>
      <c r="AK135" s="19">
        <f>IF(SUM($E135:E135)&gt;=AE135/2,0+5*(AE135/2-0)/E135,IF(SUM($E135:F135)&gt;=AE135/2,5+5*(AE135/2-SUM($E135:E135))/F135,IF(SUM($E135:G135)&gt;=AE135/2,10+5*(AE135/2-SUM($E135:F135))/G135,IF(SUM($E135:H135)&gt;=AE135/2,15+5*(AE135/2-SUM($E135:G135))/H135,IF(SUM($E135:I135)&gt;=AE135/2,20+5*(AE135/2-SUM($E135:H135))/I135,IF(SUM($E135:J135)&gt;=AE135/2,25+5*(AE135/2-SUM($E135:I135))/J135,IF(SUM($E135:K135)&gt;=AE135/2,30+5*(AE135/2-SUM($E135:J135))/K135,IF(SUM($E135:L135)&gt;=AE135/2,35+5*(AE135/2-SUM($E135:K135))/L135,IF(SUM($E135:M135)&gt;=AE135/2,40+5*(AE135/2-SUM($E135:L135))/M135,IF(SUM($E135:N135)&gt;=AE135/2,45+5*(AE135/2-SUM($E135:M135))/N135,IF(SUM($E135:O135)&gt;=AE135/2,50+5*(AE135/2-SUM($E135:N135))/O135,IF(SUM($E135:P135)&gt;=AE135/2,55+5*(AE135/2-SUM($E135:O135))/P135,IF(SUM($E135:Q135)&gt;=AE135/2,60+5*(AE135/2-SUM($E135:P135))/Q135,IF(SUM($E135:R135)&gt;=AE135/2,65+5*(AE135/2-SUM($E135:Q135))/R135,IF(SUM($E135:S135)&gt;=AE135/2,70+5*(AE135/2-SUM($E135:R135))/S135,IF(SUM($E135:T135)&gt;=AE135/2,75+5*(AE135/2-SUM($E135:S135))/T135,""))))))))))))))))</f>
        <v/>
      </c>
      <c r="AL135" s="30">
        <f>SUM(H135:Q135)</f>
        <v/>
      </c>
      <c r="AM135" s="24" t="n">
        <v>0.218</v>
      </c>
      <c r="AN135" s="24" t="n">
        <v>0.272</v>
      </c>
      <c r="AO135" s="33">
        <f>IF(AND(ISNUMBER(AN135),ISNUMBER(AM135)),(AN135-AM135)*100,"")</f>
        <v/>
      </c>
      <c r="AP135" s="30">
        <f>IF(ISNUMBER(AN135),AN135*AL135,"")</f>
        <v/>
      </c>
      <c r="AQ135" s="30">
        <f>IF(ISNUMBER(AN135),AL135,0)</f>
        <v/>
      </c>
      <c r="AR135" s="24" t="n">
        <v>0.2752</v>
      </c>
      <c r="AS135" s="6" t="inlineStr">
        <is>
          <t>population</t>
        </is>
      </c>
      <c r="AT135" s="6" t="inlineStr">
        <is>
          <t>16-74</t>
        </is>
      </c>
      <c r="AU135" s="24" t="n">
        <v>1</v>
      </c>
      <c r="AV135" s="30">
        <f>H135*0.8+I135+J135+K135+L135+M135+N135+O135+P135+Q135+R135+S135</f>
        <v/>
      </c>
      <c r="AX135" s="30">
        <f>IF(ISNUMBER(AW135),AW135,AR135*AU135*AV135)</f>
        <v/>
      </c>
      <c r="AY135" s="34">
        <f>AX135/AV135</f>
        <v/>
      </c>
      <c r="AZ135" s="6" t="inlineStr">
        <is>
          <t>A</t>
        </is>
      </c>
      <c r="BA135" s="6" t="inlineStr">
        <is>
          <t>Yes</t>
        </is>
      </c>
      <c r="BB135" s="30">
        <f>IF(BA135="Yes",AX135,0)</f>
        <v/>
      </c>
      <c r="BC135" s="30">
        <f>IF(AND(BA135="Yes",ISNUMBER(AP135)),AP135,0)</f>
        <v/>
      </c>
      <c r="BD135" s="30">
        <f>IF(BA135="Yes",AX135,IF(ISNUMBER(AP135),AP135,0))</f>
        <v/>
      </c>
      <c r="BE135" s="6" t="inlineStr">
        <is>
          <t>Used generative AI tools in the last 3 months</t>
        </is>
      </c>
      <c r="BF135" s="6" t="inlineStr">
        <is>
          <t>2025 survey (Q2, most countries)</t>
        </is>
      </c>
      <c r="BG135" s="6" t="inlineStr">
        <is>
          <t>Eurostat: ICT usage in households and by individuals 2025, dataset isoc_ai_iaiu</t>
        </is>
      </c>
      <c r="BH135" s="6" t="inlineStr">
        <is>
          <t>https://ec.europa.eu/eurostat/databrowser/view/isoc_ai_iaiu/default/table</t>
        </is>
      </c>
    </row>
    <row r="136">
      <c r="A136" s="6" t="inlineStr">
        <is>
          <t>ERI</t>
        </is>
      </c>
      <c r="B136" s="6" t="inlineStr">
        <is>
          <t>Eritrea</t>
        </is>
      </c>
      <c r="C136" s="6" t="inlineStr">
        <is>
          <t>Sub-Saharan Africa</t>
        </is>
      </c>
      <c r="D136" s="6" t="inlineStr">
        <is>
          <t>Low income</t>
        </is>
      </c>
      <c r="E136" s="29" t="n">
        <v>476047</v>
      </c>
      <c r="F136" s="29" t="n">
        <v>438955</v>
      </c>
      <c r="G136" s="29" t="n">
        <v>440892</v>
      </c>
      <c r="H136" s="29" t="n">
        <v>429571</v>
      </c>
      <c r="I136" s="29" t="n">
        <v>374197</v>
      </c>
      <c r="J136" s="29" t="n">
        <v>309708</v>
      </c>
      <c r="K136" s="29" t="n">
        <v>224268</v>
      </c>
      <c r="L136" s="29" t="n">
        <v>179976</v>
      </c>
      <c r="M136" s="29" t="n">
        <v>143917</v>
      </c>
      <c r="N136" s="29" t="n">
        <v>135535</v>
      </c>
      <c r="O136" s="29" t="n">
        <v>118146</v>
      </c>
      <c r="P136" s="29" t="n">
        <v>101236</v>
      </c>
      <c r="Q136" s="29" t="n">
        <v>80966</v>
      </c>
      <c r="R136" s="29" t="n">
        <v>58938</v>
      </c>
      <c r="S136" s="29" t="n">
        <v>41157</v>
      </c>
      <c r="T136" s="29" t="n">
        <v>29134</v>
      </c>
      <c r="U136" s="29" t="n">
        <v>24361</v>
      </c>
      <c r="V136" s="29" t="n">
        <v>1825731</v>
      </c>
      <c r="W136" s="29" t="n">
        <v>1781273</v>
      </c>
      <c r="X136" s="30">
        <f>SUM(E136:G136)</f>
        <v/>
      </c>
      <c r="Y136" s="30">
        <f>SUM(H136:I136)</f>
        <v/>
      </c>
      <c r="Z136" s="30">
        <f>SUM(J136:K136)</f>
        <v/>
      </c>
      <c r="AA136" s="30">
        <f>SUM(L136:M136)</f>
        <v/>
      </c>
      <c r="AB136" s="30">
        <f>SUM(N136:O136)</f>
        <v/>
      </c>
      <c r="AC136" s="30">
        <f>SUM(P136:Q136)</f>
        <v/>
      </c>
      <c r="AD136" s="30">
        <f>SUM(R136:U136)</f>
        <v/>
      </c>
      <c r="AE136" s="31">
        <f>SUM(X136:AD136)</f>
        <v/>
      </c>
      <c r="AF136" s="32">
        <f>AE136/SUM($AE$5:$AE$222)</f>
        <v/>
      </c>
      <c r="AG136" s="10">
        <f>RANK(AE136,$AE$5:$AE$222)</f>
        <v/>
      </c>
      <c r="AH136" s="29" t="n">
        <v>3535603</v>
      </c>
      <c r="AI136" s="9">
        <f>IF(AH136&gt;0,AE136/AH136-1,"")</f>
        <v/>
      </c>
      <c r="AJ136" s="35" t="n"/>
      <c r="AK136" s="19">
        <f>IF(SUM($E136:E136)&gt;=AE136/2,0+5*(AE136/2-0)/E136,IF(SUM($E136:F136)&gt;=AE136/2,5+5*(AE136/2-SUM($E136:E136))/F136,IF(SUM($E136:G136)&gt;=AE136/2,10+5*(AE136/2-SUM($E136:F136))/G136,IF(SUM($E136:H136)&gt;=AE136/2,15+5*(AE136/2-SUM($E136:G136))/H136,IF(SUM($E136:I136)&gt;=AE136/2,20+5*(AE136/2-SUM($E136:H136))/I136,IF(SUM($E136:J136)&gt;=AE136/2,25+5*(AE136/2-SUM($E136:I136))/J136,IF(SUM($E136:K136)&gt;=AE136/2,30+5*(AE136/2-SUM($E136:J136))/K136,IF(SUM($E136:L136)&gt;=AE136/2,35+5*(AE136/2-SUM($E136:K136))/L136,IF(SUM($E136:M136)&gt;=AE136/2,40+5*(AE136/2-SUM($E136:L136))/M136,IF(SUM($E136:N136)&gt;=AE136/2,45+5*(AE136/2-SUM($E136:M136))/N136,IF(SUM($E136:O136)&gt;=AE136/2,50+5*(AE136/2-SUM($E136:N136))/O136,IF(SUM($E136:P136)&gt;=AE136/2,55+5*(AE136/2-SUM($E136:O136))/P136,IF(SUM($E136:Q136)&gt;=AE136/2,60+5*(AE136/2-SUM($E136:P136))/Q136,IF(SUM($E136:R136)&gt;=AE136/2,65+5*(AE136/2-SUM($E136:Q136))/R136,IF(SUM($E136:S136)&gt;=AE136/2,70+5*(AE136/2-SUM($E136:R136))/S136,IF(SUM($E136:T136)&gt;=AE136/2,75+5*(AE136/2-SUM($E136:S136))/T136,""))))))))))))))))</f>
        <v/>
      </c>
      <c r="AL136" s="30">
        <f>SUM(H136:Q136)</f>
        <v/>
      </c>
      <c r="AM136" s="24" t="n">
        <v>0.064</v>
      </c>
      <c r="AN136" s="24" t="n">
        <v>0.08</v>
      </c>
      <c r="AO136" s="33">
        <f>IF(AND(ISNUMBER(AN136),ISNUMBER(AM136)),(AN136-AM136)*100,"")</f>
        <v/>
      </c>
      <c r="AP136" s="30">
        <f>IF(ISNUMBER(AN136),AN136*AL136,"")</f>
        <v/>
      </c>
      <c r="AQ136" s="30">
        <f>IF(ISNUMBER(AN136),AL136,0)</f>
        <v/>
      </c>
      <c r="BB136" s="30">
        <f>IF(BA136="Yes",AX136,0)</f>
        <v/>
      </c>
      <c r="BC136" s="30">
        <f>IF(AND(BA136="Yes",ISNUMBER(AP136)),AP136,0)</f>
        <v/>
      </c>
      <c r="BD136" s="30">
        <f>IF(BA136="Yes",AX136,IF(ISNUMBER(AP136),AP136,0))</f>
        <v/>
      </c>
    </row>
    <row r="137">
      <c r="A137" s="6" t="inlineStr">
        <is>
          <t>MNG</t>
        </is>
      </c>
      <c r="B137" s="6" t="inlineStr">
        <is>
          <t>Mongolia</t>
        </is>
      </c>
      <c r="C137" s="6" t="inlineStr">
        <is>
          <t>East Asia &amp; Pacific</t>
        </is>
      </c>
      <c r="D137" s="6" t="inlineStr">
        <is>
          <t>Upper middle income</t>
        </is>
      </c>
      <c r="E137" s="29" t="n">
        <v>334095</v>
      </c>
      <c r="F137" s="29" t="n">
        <v>393452</v>
      </c>
      <c r="G137" s="29" t="n">
        <v>398830</v>
      </c>
      <c r="H137" s="29" t="n">
        <v>301494</v>
      </c>
      <c r="I137" s="29" t="n">
        <v>223155</v>
      </c>
      <c r="J137" s="29" t="n">
        <v>232711</v>
      </c>
      <c r="K137" s="29" t="n">
        <v>258028</v>
      </c>
      <c r="L137" s="29" t="n">
        <v>293618</v>
      </c>
      <c r="M137" s="29" t="n">
        <v>245092</v>
      </c>
      <c r="N137" s="29" t="n">
        <v>215976</v>
      </c>
      <c r="O137" s="29" t="n">
        <v>188138</v>
      </c>
      <c r="P137" s="29" t="n">
        <v>158843</v>
      </c>
      <c r="Q137" s="29" t="n">
        <v>131710</v>
      </c>
      <c r="R137" s="29" t="n">
        <v>91977</v>
      </c>
      <c r="S137" s="29" t="n">
        <v>47972</v>
      </c>
      <c r="T137" s="29" t="n">
        <v>27224</v>
      </c>
      <c r="U137" s="29" t="n">
        <v>26661</v>
      </c>
      <c r="V137" s="29" t="n">
        <v>1790575</v>
      </c>
      <c r="W137" s="29" t="n">
        <v>1778401</v>
      </c>
      <c r="X137" s="30">
        <f>SUM(E137:G137)</f>
        <v/>
      </c>
      <c r="Y137" s="30">
        <f>SUM(H137:I137)</f>
        <v/>
      </c>
      <c r="Z137" s="30">
        <f>SUM(J137:K137)</f>
        <v/>
      </c>
      <c r="AA137" s="30">
        <f>SUM(L137:M137)</f>
        <v/>
      </c>
      <c r="AB137" s="30">
        <f>SUM(N137:O137)</f>
        <v/>
      </c>
      <c r="AC137" s="30">
        <f>SUM(P137:Q137)</f>
        <v/>
      </c>
      <c r="AD137" s="30">
        <f>SUM(R137:U137)</f>
        <v/>
      </c>
      <c r="AE137" s="31">
        <f>SUM(X137:AD137)</f>
        <v/>
      </c>
      <c r="AF137" s="32">
        <f>AE137/SUM($AE$5:$AE$222)</f>
        <v/>
      </c>
      <c r="AG137" s="10">
        <f>RANK(AE137,$AE$5:$AE$222)</f>
        <v/>
      </c>
      <c r="AH137" s="29" t="n">
        <v>3524788</v>
      </c>
      <c r="AI137" s="9">
        <f>IF(AH137&gt;0,AE137/AH137-1,"")</f>
        <v/>
      </c>
      <c r="AJ137" s="29" t="n">
        <v>7108</v>
      </c>
      <c r="AK137" s="19">
        <f>IF(SUM($E137:E137)&gt;=AE137/2,0+5*(AE137/2-0)/E137,IF(SUM($E137:F137)&gt;=AE137/2,5+5*(AE137/2-SUM($E137:E137))/F137,IF(SUM($E137:G137)&gt;=AE137/2,10+5*(AE137/2-SUM($E137:F137))/G137,IF(SUM($E137:H137)&gt;=AE137/2,15+5*(AE137/2-SUM($E137:G137))/H137,IF(SUM($E137:I137)&gt;=AE137/2,20+5*(AE137/2-SUM($E137:H137))/I137,IF(SUM($E137:J137)&gt;=AE137/2,25+5*(AE137/2-SUM($E137:I137))/J137,IF(SUM($E137:K137)&gt;=AE137/2,30+5*(AE137/2-SUM($E137:J137))/K137,IF(SUM($E137:L137)&gt;=AE137/2,35+5*(AE137/2-SUM($E137:K137))/L137,IF(SUM($E137:M137)&gt;=AE137/2,40+5*(AE137/2-SUM($E137:L137))/M137,IF(SUM($E137:N137)&gt;=AE137/2,45+5*(AE137/2-SUM($E137:M137))/N137,IF(SUM($E137:O137)&gt;=AE137/2,50+5*(AE137/2-SUM($E137:N137))/O137,IF(SUM($E137:P137)&gt;=AE137/2,55+5*(AE137/2-SUM($E137:O137))/P137,IF(SUM($E137:Q137)&gt;=AE137/2,60+5*(AE137/2-SUM($E137:P137))/Q137,IF(SUM($E137:R137)&gt;=AE137/2,65+5*(AE137/2-SUM($E137:Q137))/R137,IF(SUM($E137:S137)&gt;=AE137/2,70+5*(AE137/2-SUM($E137:R137))/S137,IF(SUM($E137:T137)&gt;=AE137/2,75+5*(AE137/2-SUM($E137:S137))/T137,""))))))))))))))))</f>
        <v/>
      </c>
      <c r="AL137" s="30">
        <f>SUM(H137:Q137)</f>
        <v/>
      </c>
      <c r="AM137" s="24" t="n">
        <v>0.126</v>
      </c>
      <c r="AN137" s="24" t="n">
        <v>0.179</v>
      </c>
      <c r="AO137" s="33">
        <f>IF(AND(ISNUMBER(AN137),ISNUMBER(AM137)),(AN137-AM137)*100,"")</f>
        <v/>
      </c>
      <c r="AP137" s="30">
        <f>IF(ISNUMBER(AN137),AN137*AL137,"")</f>
        <v/>
      </c>
      <c r="AQ137" s="30">
        <f>IF(ISNUMBER(AN137),AL137,0)</f>
        <v/>
      </c>
      <c r="BB137" s="30">
        <f>IF(BA137="Yes",AX137,0)</f>
        <v/>
      </c>
      <c r="BC137" s="30">
        <f>IF(AND(BA137="Yes",ISNUMBER(AP137)),AP137,0)</f>
        <v/>
      </c>
      <c r="BD137" s="30">
        <f>IF(BA137="Yes",AX137,IF(ISNUMBER(AP137),AP137,0))</f>
        <v/>
      </c>
    </row>
    <row r="138">
      <c r="A138" s="6" t="inlineStr">
        <is>
          <t>URY</t>
        </is>
      </c>
      <c r="B138" s="6" t="inlineStr">
        <is>
          <t>Uruguay</t>
        </is>
      </c>
      <c r="C138" s="6" t="inlineStr">
        <is>
          <t>Latin America &amp; Caribbean</t>
        </is>
      </c>
      <c r="D138" s="6" t="inlineStr">
        <is>
          <t>High income</t>
        </is>
      </c>
      <c r="E138" s="29" t="n">
        <v>167366</v>
      </c>
      <c r="F138" s="29" t="n">
        <v>205279</v>
      </c>
      <c r="G138" s="29" t="n">
        <v>233115</v>
      </c>
      <c r="H138" s="29" t="n">
        <v>233073</v>
      </c>
      <c r="I138" s="29" t="n">
        <v>239604</v>
      </c>
      <c r="J138" s="29" t="n">
        <v>250304</v>
      </c>
      <c r="K138" s="29" t="n">
        <v>247923</v>
      </c>
      <c r="L138" s="29" t="n">
        <v>233090</v>
      </c>
      <c r="M138" s="29" t="n">
        <v>212773</v>
      </c>
      <c r="N138" s="29" t="n">
        <v>224142</v>
      </c>
      <c r="O138" s="29" t="n">
        <v>209037</v>
      </c>
      <c r="P138" s="29" t="n">
        <v>192881</v>
      </c>
      <c r="Q138" s="29" t="n">
        <v>185011</v>
      </c>
      <c r="R138" s="29" t="n">
        <v>159507</v>
      </c>
      <c r="S138" s="29" t="n">
        <v>129556</v>
      </c>
      <c r="T138" s="29" t="n">
        <v>100015</v>
      </c>
      <c r="U138" s="29" t="n">
        <v>162013</v>
      </c>
      <c r="V138" s="29" t="n">
        <v>1742684</v>
      </c>
      <c r="W138" s="29" t="n">
        <v>1642005</v>
      </c>
      <c r="X138" s="30">
        <f>SUM(E138:G138)</f>
        <v/>
      </c>
      <c r="Y138" s="30">
        <f>SUM(H138:I138)</f>
        <v/>
      </c>
      <c r="Z138" s="30">
        <f>SUM(J138:K138)</f>
        <v/>
      </c>
      <c r="AA138" s="30">
        <f>SUM(L138:M138)</f>
        <v/>
      </c>
      <c r="AB138" s="30">
        <f>SUM(N138:O138)</f>
        <v/>
      </c>
      <c r="AC138" s="30">
        <f>SUM(P138:Q138)</f>
        <v/>
      </c>
      <c r="AD138" s="30">
        <f>SUM(R138:U138)</f>
        <v/>
      </c>
      <c r="AE138" s="31">
        <f>SUM(X138:AD138)</f>
        <v/>
      </c>
      <c r="AF138" s="32">
        <f>AE138/SUM($AE$5:$AE$222)</f>
        <v/>
      </c>
      <c r="AG138" s="10">
        <f>RANK(AE138,$AE$5:$AE$222)</f>
        <v/>
      </c>
      <c r="AH138" s="29" t="n">
        <v>3386588</v>
      </c>
      <c r="AI138" s="9">
        <f>IF(AH138&gt;0,AE138/AH138-1,"")</f>
        <v/>
      </c>
      <c r="AJ138" s="29" t="n">
        <v>25216</v>
      </c>
      <c r="AK138" s="19">
        <f>IF(SUM($E138:E138)&gt;=AE138/2,0+5*(AE138/2-0)/E138,IF(SUM($E138:F138)&gt;=AE138/2,5+5*(AE138/2-SUM($E138:E138))/F138,IF(SUM($E138:G138)&gt;=AE138/2,10+5*(AE138/2-SUM($E138:F138))/G138,IF(SUM($E138:H138)&gt;=AE138/2,15+5*(AE138/2-SUM($E138:G138))/H138,IF(SUM($E138:I138)&gt;=AE138/2,20+5*(AE138/2-SUM($E138:H138))/I138,IF(SUM($E138:J138)&gt;=AE138/2,25+5*(AE138/2-SUM($E138:I138))/J138,IF(SUM($E138:K138)&gt;=AE138/2,30+5*(AE138/2-SUM($E138:J138))/K138,IF(SUM($E138:L138)&gt;=AE138/2,35+5*(AE138/2-SUM($E138:K138))/L138,IF(SUM($E138:M138)&gt;=AE138/2,40+5*(AE138/2-SUM($E138:L138))/M138,IF(SUM($E138:N138)&gt;=AE138/2,45+5*(AE138/2-SUM($E138:M138))/N138,IF(SUM($E138:O138)&gt;=AE138/2,50+5*(AE138/2-SUM($E138:N138))/O138,IF(SUM($E138:P138)&gt;=AE138/2,55+5*(AE138/2-SUM($E138:O138))/P138,IF(SUM($E138:Q138)&gt;=AE138/2,60+5*(AE138/2-SUM($E138:P138))/Q138,IF(SUM($E138:R138)&gt;=AE138/2,65+5*(AE138/2-SUM($E138:Q138))/R138,IF(SUM($E138:S138)&gt;=AE138/2,70+5*(AE138/2-SUM($E138:R138))/S138,IF(SUM($E138:T138)&gt;=AE138/2,75+5*(AE138/2-SUM($E138:S138))/T138,""))))))))))))))))</f>
        <v/>
      </c>
      <c r="AL138" s="30">
        <f>SUM(H138:Q138)</f>
        <v/>
      </c>
      <c r="AM138" s="24" t="n">
        <v>0.209</v>
      </c>
      <c r="AN138" s="24" t="n">
        <v>0.257</v>
      </c>
      <c r="AO138" s="33">
        <f>IF(AND(ISNUMBER(AN138),ISNUMBER(AM138)),(AN138-AM138)*100,"")</f>
        <v/>
      </c>
      <c r="AP138" s="30">
        <f>IF(ISNUMBER(AN138),AN138*AL138,"")</f>
        <v/>
      </c>
      <c r="AQ138" s="30">
        <f>IF(ISNUMBER(AN138),AL138,0)</f>
        <v/>
      </c>
      <c r="BB138" s="30">
        <f>IF(BA138="Yes",AX138,0)</f>
        <v/>
      </c>
      <c r="BC138" s="30">
        <f>IF(AND(BA138="Yes",ISNUMBER(AP138)),AP138,0)</f>
        <v/>
      </c>
      <c r="BD138" s="30">
        <f>IF(BA138="Yes",AX138,IF(ISNUMBER(AP138),AP138,0))</f>
        <v/>
      </c>
    </row>
    <row r="139">
      <c r="A139" s="6" t="inlineStr">
        <is>
          <t>PRI</t>
        </is>
      </c>
      <c r="B139" s="6" t="inlineStr">
        <is>
          <t>Puerto Rico (US)</t>
        </is>
      </c>
      <c r="C139" s="6" t="inlineStr">
        <is>
          <t>Latin America &amp; Caribbean</t>
        </is>
      </c>
      <c r="D139" s="6" t="inlineStr">
        <is>
          <t>High income</t>
        </is>
      </c>
      <c r="E139" s="29" t="n">
        <v>94694</v>
      </c>
      <c r="F139" s="29" t="n">
        <v>113816</v>
      </c>
      <c r="G139" s="29" t="n">
        <v>149455</v>
      </c>
      <c r="H139" s="29" t="n">
        <v>178864</v>
      </c>
      <c r="I139" s="29" t="n">
        <v>203933</v>
      </c>
      <c r="J139" s="29" t="n">
        <v>210523</v>
      </c>
      <c r="K139" s="29" t="n">
        <v>191155</v>
      </c>
      <c r="L139" s="29" t="n">
        <v>183805</v>
      </c>
      <c r="M139" s="29" t="n">
        <v>191054</v>
      </c>
      <c r="N139" s="29" t="n">
        <v>207088</v>
      </c>
      <c r="O139" s="29" t="n">
        <v>210604</v>
      </c>
      <c r="P139" s="29" t="n">
        <v>219800</v>
      </c>
      <c r="Q139" s="29" t="n">
        <v>225148</v>
      </c>
      <c r="R139" s="29" t="n">
        <v>214666</v>
      </c>
      <c r="S139" s="29" t="n">
        <v>192285</v>
      </c>
      <c r="T139" s="29" t="n">
        <v>167018</v>
      </c>
      <c r="U139" s="29" t="n">
        <v>230930</v>
      </c>
      <c r="V139" s="29" t="n">
        <v>1686495</v>
      </c>
      <c r="W139" s="29" t="n">
        <v>1498343</v>
      </c>
      <c r="X139" s="30">
        <f>SUM(E139:G139)</f>
        <v/>
      </c>
      <c r="Y139" s="30">
        <f>SUM(H139:I139)</f>
        <v/>
      </c>
      <c r="Z139" s="30">
        <f>SUM(J139:K139)</f>
        <v/>
      </c>
      <c r="AA139" s="30">
        <f>SUM(L139:M139)</f>
        <v/>
      </c>
      <c r="AB139" s="30">
        <f>SUM(N139:O139)</f>
        <v/>
      </c>
      <c r="AC139" s="30">
        <f>SUM(P139:Q139)</f>
        <v/>
      </c>
      <c r="AD139" s="30">
        <f>SUM(R139:U139)</f>
        <v/>
      </c>
      <c r="AE139" s="31">
        <f>SUM(X139:AD139)</f>
        <v/>
      </c>
      <c r="AF139" s="32">
        <f>AE139/SUM($AE$5:$AE$222)</f>
        <v/>
      </c>
      <c r="AG139" s="10">
        <f>RANK(AE139,$AE$5:$AE$222)</f>
        <v/>
      </c>
      <c r="AH139" s="29" t="n">
        <v>3202521</v>
      </c>
      <c r="AI139" s="9">
        <f>IF(AH139&gt;0,AE139/AH139-1,"")</f>
        <v/>
      </c>
      <c r="AJ139" s="29" t="n">
        <v>40620</v>
      </c>
      <c r="AK139" s="19">
        <f>IF(SUM($E139:E139)&gt;=AE139/2,0+5*(AE139/2-0)/E139,IF(SUM($E139:F139)&gt;=AE139/2,5+5*(AE139/2-SUM($E139:E139))/F139,IF(SUM($E139:G139)&gt;=AE139/2,10+5*(AE139/2-SUM($E139:F139))/G139,IF(SUM($E139:H139)&gt;=AE139/2,15+5*(AE139/2-SUM($E139:G139))/H139,IF(SUM($E139:I139)&gt;=AE139/2,20+5*(AE139/2-SUM($E139:H139))/I139,IF(SUM($E139:J139)&gt;=AE139/2,25+5*(AE139/2-SUM($E139:I139))/J139,IF(SUM($E139:K139)&gt;=AE139/2,30+5*(AE139/2-SUM($E139:J139))/K139,IF(SUM($E139:L139)&gt;=AE139/2,35+5*(AE139/2-SUM($E139:K139))/L139,IF(SUM($E139:M139)&gt;=AE139/2,40+5*(AE139/2-SUM($E139:L139))/M139,IF(SUM($E139:N139)&gt;=AE139/2,45+5*(AE139/2-SUM($E139:M139))/N139,IF(SUM($E139:O139)&gt;=AE139/2,50+5*(AE139/2-SUM($E139:N139))/O139,IF(SUM($E139:P139)&gt;=AE139/2,55+5*(AE139/2-SUM($E139:O139))/P139,IF(SUM($E139:Q139)&gt;=AE139/2,60+5*(AE139/2-SUM($E139:P139))/Q139,IF(SUM($E139:R139)&gt;=AE139/2,65+5*(AE139/2-SUM($E139:Q139))/R139,IF(SUM($E139:S139)&gt;=AE139/2,70+5*(AE139/2-SUM($E139:R139))/S139,IF(SUM($E139:T139)&gt;=AE139/2,75+5*(AE139/2-SUM($E139:S139))/T139,""))))))))))))))))</f>
        <v/>
      </c>
      <c r="AL139" s="30">
        <f>SUM(H139:Q139)</f>
        <v/>
      </c>
      <c r="AM139" s="36" t="n"/>
      <c r="AN139" s="36" t="n"/>
      <c r="AO139" s="33">
        <f>IF(AND(ISNUMBER(AN139),ISNUMBER(AM139)),(AN139-AM139)*100,"")</f>
        <v/>
      </c>
      <c r="AP139" s="30">
        <f>IF(ISNUMBER(AN139),AN139*AL139,"")</f>
        <v/>
      </c>
      <c r="AQ139" s="30">
        <f>IF(ISNUMBER(AN139),AL139,0)</f>
        <v/>
      </c>
      <c r="BB139" s="30">
        <f>IF(BA139="Yes",AX139,0)</f>
        <v/>
      </c>
      <c r="BC139" s="30">
        <f>IF(AND(BA139="Yes",ISNUMBER(AP139)),AP139,0)</f>
        <v/>
      </c>
      <c r="BD139" s="30">
        <f>IF(BA139="Yes",AX139,IF(ISNUMBER(AP139),AP139,0))</f>
        <v/>
      </c>
    </row>
    <row r="140">
      <c r="A140" s="6" t="inlineStr">
        <is>
          <t>BIH</t>
        </is>
      </c>
      <c r="B140" s="6" t="inlineStr">
        <is>
          <t>Bosnia and Herzegovina</t>
        </is>
      </c>
      <c r="C140" s="6" t="inlineStr">
        <is>
          <t>Europe &amp; Central Asia</t>
        </is>
      </c>
      <c r="D140" s="6" t="inlineStr">
        <is>
          <t>Upper middle income</t>
        </is>
      </c>
      <c r="E140" s="29" t="n">
        <v>123443</v>
      </c>
      <c r="F140" s="29" t="n">
        <v>136904</v>
      </c>
      <c r="G140" s="29" t="n">
        <v>143110</v>
      </c>
      <c r="H140" s="29" t="n">
        <v>161188</v>
      </c>
      <c r="I140" s="29" t="n">
        <v>167378</v>
      </c>
      <c r="J140" s="29" t="n">
        <v>175076</v>
      </c>
      <c r="K140" s="29" t="n">
        <v>156655</v>
      </c>
      <c r="L140" s="29" t="n">
        <v>189005</v>
      </c>
      <c r="M140" s="29" t="n">
        <v>229681</v>
      </c>
      <c r="N140" s="29" t="n">
        <v>254003</v>
      </c>
      <c r="O140" s="29" t="n">
        <v>221405</v>
      </c>
      <c r="P140" s="29" t="n">
        <v>217126</v>
      </c>
      <c r="Q140" s="29" t="n">
        <v>247299</v>
      </c>
      <c r="R140" s="29" t="n">
        <v>234076</v>
      </c>
      <c r="S140" s="29" t="n">
        <v>195206</v>
      </c>
      <c r="T140" s="29" t="n">
        <v>126355</v>
      </c>
      <c r="U140" s="29" t="n">
        <v>162186</v>
      </c>
      <c r="V140" s="29" t="n">
        <v>1644731</v>
      </c>
      <c r="W140" s="29" t="n">
        <v>1495365</v>
      </c>
      <c r="X140" s="30">
        <f>SUM(E140:G140)</f>
        <v/>
      </c>
      <c r="Y140" s="30">
        <f>SUM(H140:I140)</f>
        <v/>
      </c>
      <c r="Z140" s="30">
        <f>SUM(J140:K140)</f>
        <v/>
      </c>
      <c r="AA140" s="30">
        <f>SUM(L140:M140)</f>
        <v/>
      </c>
      <c r="AB140" s="30">
        <f>SUM(N140:O140)</f>
        <v/>
      </c>
      <c r="AC140" s="30">
        <f>SUM(P140:Q140)</f>
        <v/>
      </c>
      <c r="AD140" s="30">
        <f>SUM(R140:U140)</f>
        <v/>
      </c>
      <c r="AE140" s="31">
        <f>SUM(X140:AD140)</f>
        <v/>
      </c>
      <c r="AF140" s="32">
        <f>AE140/SUM($AE$5:$AE$222)</f>
        <v/>
      </c>
      <c r="AG140" s="10">
        <f>RANK(AE140,$AE$5:$AE$222)</f>
        <v/>
      </c>
      <c r="AH140" s="29" t="n">
        <v>3164253</v>
      </c>
      <c r="AI140" s="9">
        <f>IF(AH140&gt;0,AE140/AH140-1,"")</f>
        <v/>
      </c>
      <c r="AJ140" s="29" t="n">
        <v>10382</v>
      </c>
      <c r="AK140" s="19">
        <f>IF(SUM($E140:E140)&gt;=AE140/2,0+5*(AE140/2-0)/E140,IF(SUM($E140:F140)&gt;=AE140/2,5+5*(AE140/2-SUM($E140:E140))/F140,IF(SUM($E140:G140)&gt;=AE140/2,10+5*(AE140/2-SUM($E140:F140))/G140,IF(SUM($E140:H140)&gt;=AE140/2,15+5*(AE140/2-SUM($E140:G140))/H140,IF(SUM($E140:I140)&gt;=AE140/2,20+5*(AE140/2-SUM($E140:H140))/I140,IF(SUM($E140:J140)&gt;=AE140/2,25+5*(AE140/2-SUM($E140:I140))/J140,IF(SUM($E140:K140)&gt;=AE140/2,30+5*(AE140/2-SUM($E140:J140))/K140,IF(SUM($E140:L140)&gt;=AE140/2,35+5*(AE140/2-SUM($E140:K140))/L140,IF(SUM($E140:M140)&gt;=AE140/2,40+5*(AE140/2-SUM($E140:L140))/M140,IF(SUM($E140:N140)&gt;=AE140/2,45+5*(AE140/2-SUM($E140:M140))/N140,IF(SUM($E140:O140)&gt;=AE140/2,50+5*(AE140/2-SUM($E140:N140))/O140,IF(SUM($E140:P140)&gt;=AE140/2,55+5*(AE140/2-SUM($E140:O140))/P140,IF(SUM($E140:Q140)&gt;=AE140/2,60+5*(AE140/2-SUM($E140:P140))/Q140,IF(SUM($E140:R140)&gt;=AE140/2,65+5*(AE140/2-SUM($E140:Q140))/R140,IF(SUM($E140:S140)&gt;=AE140/2,70+5*(AE140/2-SUM($E140:R140))/S140,IF(SUM($E140:T140)&gt;=AE140/2,75+5*(AE140/2-SUM($E140:S140))/T140,""))))))))))))))))</f>
        <v/>
      </c>
      <c r="AL140" s="30">
        <f>SUM(H140:Q140)</f>
        <v/>
      </c>
      <c r="AM140" s="24" t="n">
        <v>0.182</v>
      </c>
      <c r="AN140" s="24" t="n">
        <v>0.232</v>
      </c>
      <c r="AO140" s="33">
        <f>IF(AND(ISNUMBER(AN140),ISNUMBER(AM140)),(AN140-AM140)*100,"")</f>
        <v/>
      </c>
      <c r="AP140" s="30">
        <f>IF(ISNUMBER(AN140),AN140*AL140,"")</f>
        <v/>
      </c>
      <c r="AQ140" s="30">
        <f>IF(ISNUMBER(AN140),AL140,0)</f>
        <v/>
      </c>
      <c r="AR140" s="24" t="n">
        <v>0.2026</v>
      </c>
      <c r="AS140" s="6" t="inlineStr">
        <is>
          <t>population</t>
        </is>
      </c>
      <c r="AT140" s="6" t="inlineStr">
        <is>
          <t>16-74</t>
        </is>
      </c>
      <c r="AU140" s="24" t="n">
        <v>1</v>
      </c>
      <c r="AV140" s="30">
        <f>H140*0.8+I140+J140+K140+L140+M140+N140+O140+P140+Q140+R140+S140</f>
        <v/>
      </c>
      <c r="AX140" s="30">
        <f>IF(ISNUMBER(AW140),AW140,AR140*AU140*AV140)</f>
        <v/>
      </c>
      <c r="AY140" s="34">
        <f>AX140/AV140</f>
        <v/>
      </c>
      <c r="AZ140" s="6" t="inlineStr">
        <is>
          <t>A</t>
        </is>
      </c>
      <c r="BA140" s="6" t="inlineStr">
        <is>
          <t>Yes</t>
        </is>
      </c>
      <c r="BB140" s="30">
        <f>IF(BA140="Yes",AX140,0)</f>
        <v/>
      </c>
      <c r="BC140" s="30">
        <f>IF(AND(BA140="Yes",ISNUMBER(AP140)),AP140,0)</f>
        <v/>
      </c>
      <c r="BD140" s="30">
        <f>IF(BA140="Yes",AX140,IF(ISNUMBER(AP140),AP140,0))</f>
        <v/>
      </c>
      <c r="BE140" s="6" t="inlineStr">
        <is>
          <t>Used generative AI tools in the last 3 months</t>
        </is>
      </c>
      <c r="BF140" s="6" t="inlineStr">
        <is>
          <t>2025 survey (Q2, most countries)</t>
        </is>
      </c>
      <c r="BG140" s="6" t="inlineStr">
        <is>
          <t>Eurostat: ICT usage in households and by individuals 2025, dataset isoc_ai_iaiu</t>
        </is>
      </c>
      <c r="BH140" s="6" t="inlineStr">
        <is>
          <t>https://ec.europa.eu/eurostat/databrowser/view/isoc_ai_iaiu/default/table</t>
        </is>
      </c>
    </row>
    <row r="141">
      <c r="A141" s="6" t="inlineStr">
        <is>
          <t>NAM</t>
        </is>
      </c>
      <c r="B141" s="6" t="inlineStr">
        <is>
          <t>Namibia</t>
        </is>
      </c>
      <c r="C141" s="6" t="inlineStr">
        <is>
          <t>Sub-Saharan Africa</t>
        </is>
      </c>
      <c r="D141" s="6" t="inlineStr">
        <is>
          <t>Lower middle income</t>
        </is>
      </c>
      <c r="E141" s="29" t="n">
        <v>398921</v>
      </c>
      <c r="F141" s="29" t="n">
        <v>392408</v>
      </c>
      <c r="G141" s="29" t="n">
        <v>342209</v>
      </c>
      <c r="H141" s="29" t="n">
        <v>291294</v>
      </c>
      <c r="I141" s="29" t="n">
        <v>258325</v>
      </c>
      <c r="J141" s="29" t="n">
        <v>260773</v>
      </c>
      <c r="K141" s="29" t="n">
        <v>250271</v>
      </c>
      <c r="L141" s="29" t="n">
        <v>206775</v>
      </c>
      <c r="M141" s="29" t="n">
        <v>170585</v>
      </c>
      <c r="N141" s="29" t="n">
        <v>138793</v>
      </c>
      <c r="O141" s="29" t="n">
        <v>111136</v>
      </c>
      <c r="P141" s="29" t="n">
        <v>85186</v>
      </c>
      <c r="Q141" s="29" t="n">
        <v>68831</v>
      </c>
      <c r="R141" s="29" t="n">
        <v>49304</v>
      </c>
      <c r="S141" s="29" t="n">
        <v>30874</v>
      </c>
      <c r="T141" s="29" t="n">
        <v>19795</v>
      </c>
      <c r="U141" s="29" t="n">
        <v>17339</v>
      </c>
      <c r="V141" s="29" t="n">
        <v>1582455</v>
      </c>
      <c r="W141" s="29" t="n">
        <v>1510364</v>
      </c>
      <c r="X141" s="30">
        <f>SUM(E141:G141)</f>
        <v/>
      </c>
      <c r="Y141" s="30">
        <f>SUM(H141:I141)</f>
        <v/>
      </c>
      <c r="Z141" s="30">
        <f>SUM(J141:K141)</f>
        <v/>
      </c>
      <c r="AA141" s="30">
        <f>SUM(L141:M141)</f>
        <v/>
      </c>
      <c r="AB141" s="30">
        <f>SUM(N141:O141)</f>
        <v/>
      </c>
      <c r="AC141" s="30">
        <f>SUM(P141:Q141)</f>
        <v/>
      </c>
      <c r="AD141" s="30">
        <f>SUM(R141:U141)</f>
        <v/>
      </c>
      <c r="AE141" s="31">
        <f>SUM(X141:AD141)</f>
        <v/>
      </c>
      <c r="AF141" s="32">
        <f>AE141/SUM($AE$5:$AE$222)</f>
        <v/>
      </c>
      <c r="AG141" s="10">
        <f>RANK(AE141,$AE$5:$AE$222)</f>
        <v/>
      </c>
      <c r="AH141" s="29" t="n">
        <v>3030131</v>
      </c>
      <c r="AI141" s="9">
        <f>IF(AH141&gt;0,AE141/AH141-1,"")</f>
        <v/>
      </c>
      <c r="AJ141" s="29" t="n">
        <v>4876</v>
      </c>
      <c r="AK141" s="19">
        <f>IF(SUM($E141:E141)&gt;=AE141/2,0+5*(AE141/2-0)/E141,IF(SUM($E141:F141)&gt;=AE141/2,5+5*(AE141/2-SUM($E141:E141))/F141,IF(SUM($E141:G141)&gt;=AE141/2,10+5*(AE141/2-SUM($E141:F141))/G141,IF(SUM($E141:H141)&gt;=AE141/2,15+5*(AE141/2-SUM($E141:G141))/H141,IF(SUM($E141:I141)&gt;=AE141/2,20+5*(AE141/2-SUM($E141:H141))/I141,IF(SUM($E141:J141)&gt;=AE141/2,25+5*(AE141/2-SUM($E141:I141))/J141,IF(SUM($E141:K141)&gt;=AE141/2,30+5*(AE141/2-SUM($E141:J141))/K141,IF(SUM($E141:L141)&gt;=AE141/2,35+5*(AE141/2-SUM($E141:K141))/L141,IF(SUM($E141:M141)&gt;=AE141/2,40+5*(AE141/2-SUM($E141:L141))/M141,IF(SUM($E141:N141)&gt;=AE141/2,45+5*(AE141/2-SUM($E141:M141))/N141,IF(SUM($E141:O141)&gt;=AE141/2,50+5*(AE141/2-SUM($E141:N141))/O141,IF(SUM($E141:P141)&gt;=AE141/2,55+5*(AE141/2-SUM($E141:O141))/P141,IF(SUM($E141:Q141)&gt;=AE141/2,60+5*(AE141/2-SUM($E141:P141))/Q141,IF(SUM($E141:R141)&gt;=AE141/2,65+5*(AE141/2-SUM($E141:Q141))/R141,IF(SUM($E141:S141)&gt;=AE141/2,70+5*(AE141/2-SUM($E141:R141))/S141,IF(SUM($E141:T141)&gt;=AE141/2,75+5*(AE141/2-SUM($E141:S141))/T141,""))))))))))))))))</f>
        <v/>
      </c>
      <c r="AL141" s="30">
        <f>SUM(H141:Q141)</f>
        <v/>
      </c>
      <c r="AM141" s="24" t="n">
        <v>0.13</v>
      </c>
      <c r="AN141" s="24" t="n">
        <v>0.154</v>
      </c>
      <c r="AO141" s="33">
        <f>IF(AND(ISNUMBER(AN141),ISNUMBER(AM141)),(AN141-AM141)*100,"")</f>
        <v/>
      </c>
      <c r="AP141" s="30">
        <f>IF(ISNUMBER(AN141),AN141*AL141,"")</f>
        <v/>
      </c>
      <c r="AQ141" s="30">
        <f>IF(ISNUMBER(AN141),AL141,0)</f>
        <v/>
      </c>
      <c r="BB141" s="30">
        <f>IF(BA141="Yes",AX141,0)</f>
        <v/>
      </c>
      <c r="BC141" s="30">
        <f>IF(AND(BA141="Yes",ISNUMBER(AP141)),AP141,0)</f>
        <v/>
      </c>
      <c r="BD141" s="30">
        <f>IF(BA141="Yes",AX141,IF(ISNUMBER(AP141),AP141,0))</f>
        <v/>
      </c>
    </row>
    <row r="142">
      <c r="A142" s="6" t="inlineStr">
        <is>
          <t>ARM</t>
        </is>
      </c>
      <c r="B142" s="6" t="inlineStr">
        <is>
          <t>Armenia</t>
        </is>
      </c>
      <c r="C142" s="6" t="inlineStr">
        <is>
          <t>Europe &amp; Central Asia</t>
        </is>
      </c>
      <c r="D142" s="6" t="inlineStr">
        <is>
          <t>Upper middle income</t>
        </is>
      </c>
      <c r="E142" s="29" t="n">
        <v>180517</v>
      </c>
      <c r="F142" s="29" t="n">
        <v>194573</v>
      </c>
      <c r="G142" s="29" t="n">
        <v>210999</v>
      </c>
      <c r="H142" s="29" t="n">
        <v>199821</v>
      </c>
      <c r="I142" s="29" t="n">
        <v>184238</v>
      </c>
      <c r="J142" s="29" t="n">
        <v>193093</v>
      </c>
      <c r="K142" s="29" t="n">
        <v>239142</v>
      </c>
      <c r="L142" s="29" t="n">
        <v>261968</v>
      </c>
      <c r="M142" s="29" t="n">
        <v>234949</v>
      </c>
      <c r="N142" s="29" t="n">
        <v>198704</v>
      </c>
      <c r="O142" s="29" t="n">
        <v>170174</v>
      </c>
      <c r="P142" s="29" t="n">
        <v>171218</v>
      </c>
      <c r="Q142" s="29" t="n">
        <v>201496</v>
      </c>
      <c r="R142" s="29" t="n">
        <v>183917</v>
      </c>
      <c r="S142" s="29" t="n">
        <v>123262</v>
      </c>
      <c r="T142" s="29" t="n">
        <v>69935</v>
      </c>
      <c r="U142" s="29" t="n">
        <v>68694</v>
      </c>
      <c r="V142" s="29" t="n">
        <v>1654215</v>
      </c>
      <c r="W142" s="29" t="n">
        <v>1432485</v>
      </c>
      <c r="X142" s="30">
        <f>SUM(E142:G142)</f>
        <v/>
      </c>
      <c r="Y142" s="30">
        <f>SUM(H142:I142)</f>
        <v/>
      </c>
      <c r="Z142" s="30">
        <f>SUM(J142:K142)</f>
        <v/>
      </c>
      <c r="AA142" s="30">
        <f>SUM(L142:M142)</f>
        <v/>
      </c>
      <c r="AB142" s="30">
        <f>SUM(N142:O142)</f>
        <v/>
      </c>
      <c r="AC142" s="30">
        <f>SUM(P142:Q142)</f>
        <v/>
      </c>
      <c r="AD142" s="30">
        <f>SUM(R142:U142)</f>
        <v/>
      </c>
      <c r="AE142" s="31">
        <f>SUM(X142:AD142)</f>
        <v/>
      </c>
      <c r="AF142" s="32">
        <f>AE142/SUM($AE$5:$AE$222)</f>
        <v/>
      </c>
      <c r="AG142" s="10">
        <f>RANK(AE142,$AE$5:$AE$222)</f>
        <v/>
      </c>
      <c r="AH142" s="29" t="n">
        <v>3033500</v>
      </c>
      <c r="AI142" s="9">
        <f>IF(AH142&gt;0,AE142/AH142-1,"")</f>
        <v/>
      </c>
      <c r="AJ142" s="29" t="n">
        <v>9474</v>
      </c>
      <c r="AK142" s="19">
        <f>IF(SUM($E142:E142)&gt;=AE142/2,0+5*(AE142/2-0)/E142,IF(SUM($E142:F142)&gt;=AE142/2,5+5*(AE142/2-SUM($E142:E142))/F142,IF(SUM($E142:G142)&gt;=AE142/2,10+5*(AE142/2-SUM($E142:F142))/G142,IF(SUM($E142:H142)&gt;=AE142/2,15+5*(AE142/2-SUM($E142:G142))/H142,IF(SUM($E142:I142)&gt;=AE142/2,20+5*(AE142/2-SUM($E142:H142))/I142,IF(SUM($E142:J142)&gt;=AE142/2,25+5*(AE142/2-SUM($E142:I142))/J142,IF(SUM($E142:K142)&gt;=AE142/2,30+5*(AE142/2-SUM($E142:J142))/K142,IF(SUM($E142:L142)&gt;=AE142/2,35+5*(AE142/2-SUM($E142:K142))/L142,IF(SUM($E142:M142)&gt;=AE142/2,40+5*(AE142/2-SUM($E142:L142))/M142,IF(SUM($E142:N142)&gt;=AE142/2,45+5*(AE142/2-SUM($E142:M142))/N142,IF(SUM($E142:O142)&gt;=AE142/2,50+5*(AE142/2-SUM($E142:N142))/O142,IF(SUM($E142:P142)&gt;=AE142/2,55+5*(AE142/2-SUM($E142:O142))/P142,IF(SUM($E142:Q142)&gt;=AE142/2,60+5*(AE142/2-SUM($E142:P142))/Q142,IF(SUM($E142:R142)&gt;=AE142/2,65+5*(AE142/2-SUM($E142:Q142))/R142,IF(SUM($E142:S142)&gt;=AE142/2,70+5*(AE142/2-SUM($E142:R142))/S142,IF(SUM($E142:T142)&gt;=AE142/2,75+5*(AE142/2-SUM($E142:S142))/T142,""))))))))))))))))</f>
        <v/>
      </c>
      <c r="AL142" s="30">
        <f>SUM(H142:Q142)</f>
        <v/>
      </c>
      <c r="AM142" s="24" t="n">
        <v>0.062</v>
      </c>
      <c r="AN142" s="24" t="n">
        <v>0.077</v>
      </c>
      <c r="AO142" s="33">
        <f>IF(AND(ISNUMBER(AN142),ISNUMBER(AM142)),(AN142-AM142)*100,"")</f>
        <v/>
      </c>
      <c r="AP142" s="30">
        <f>IF(ISNUMBER(AN142),AN142*AL142,"")</f>
        <v/>
      </c>
      <c r="AQ142" s="30">
        <f>IF(ISNUMBER(AN142),AL142,0)</f>
        <v/>
      </c>
      <c r="BB142" s="30">
        <f>IF(BA142="Yes",AX142,0)</f>
        <v/>
      </c>
      <c r="BC142" s="30">
        <f>IF(AND(BA142="Yes",ISNUMBER(AP142)),AP142,0)</f>
        <v/>
      </c>
      <c r="BD142" s="30">
        <f>IF(BA142="Yes",AX142,IF(ISNUMBER(AP142),AP142,0))</f>
        <v/>
      </c>
    </row>
    <row r="143">
      <c r="A143" s="6" t="inlineStr">
        <is>
          <t>QAT</t>
        </is>
      </c>
      <c r="B143" s="6" t="inlineStr">
        <is>
          <t>Qatar</t>
        </is>
      </c>
      <c r="C143" s="6" t="inlineStr">
        <is>
          <t>Middle East, North Africa, Afghanistan &amp; Pakistan</t>
        </is>
      </c>
      <c r="D143" s="6" t="inlineStr">
        <is>
          <t>High income</t>
        </is>
      </c>
      <c r="E143" s="29" t="n">
        <v>151768</v>
      </c>
      <c r="F143" s="29" t="n">
        <v>158764</v>
      </c>
      <c r="G143" s="29" t="n">
        <v>135310</v>
      </c>
      <c r="H143" s="29" t="n">
        <v>122057</v>
      </c>
      <c r="I143" s="29" t="n">
        <v>169112</v>
      </c>
      <c r="J143" s="29" t="n">
        <v>335242</v>
      </c>
      <c r="K143" s="29" t="n">
        <v>463760</v>
      </c>
      <c r="L143" s="29" t="n">
        <v>477962</v>
      </c>
      <c r="M143" s="29" t="n">
        <v>363465</v>
      </c>
      <c r="N143" s="29" t="n">
        <v>242384</v>
      </c>
      <c r="O143" s="29" t="n">
        <v>158208</v>
      </c>
      <c r="P143" s="29" t="n">
        <v>91673</v>
      </c>
      <c r="Q143" s="29" t="n">
        <v>51959</v>
      </c>
      <c r="R143" s="29" t="n">
        <v>27253</v>
      </c>
      <c r="S143" s="29" t="n">
        <v>12451</v>
      </c>
      <c r="T143" s="29" t="n">
        <v>6384</v>
      </c>
      <c r="U143" s="29" t="n">
        <v>4464</v>
      </c>
      <c r="V143" s="29" t="n">
        <v>859220</v>
      </c>
      <c r="W143" s="29" t="n">
        <v>2112996</v>
      </c>
      <c r="X143" s="30">
        <f>SUM(E143:G143)</f>
        <v/>
      </c>
      <c r="Y143" s="30">
        <f>SUM(H143:I143)</f>
        <v/>
      </c>
      <c r="Z143" s="30">
        <f>SUM(J143:K143)</f>
        <v/>
      </c>
      <c r="AA143" s="30">
        <f>SUM(L143:M143)</f>
        <v/>
      </c>
      <c r="AB143" s="30">
        <f>SUM(N143:O143)</f>
        <v/>
      </c>
      <c r="AC143" s="30">
        <f>SUM(P143:Q143)</f>
        <v/>
      </c>
      <c r="AD143" s="30">
        <f>SUM(R143:U143)</f>
        <v/>
      </c>
      <c r="AE143" s="31">
        <f>SUM(X143:AD143)</f>
        <v/>
      </c>
      <c r="AF143" s="32">
        <f>AE143/SUM($AE$5:$AE$222)</f>
        <v/>
      </c>
      <c r="AG143" s="10">
        <f>RANK(AE143,$AE$5:$AE$222)</f>
        <v/>
      </c>
      <c r="AH143" s="29" t="n">
        <v>2857822</v>
      </c>
      <c r="AI143" s="9">
        <f>IF(AH143&gt;0,AE143/AH143-1,"")</f>
        <v/>
      </c>
      <c r="AJ143" s="29" t="n">
        <v>72525</v>
      </c>
      <c r="AK143" s="19">
        <f>IF(SUM($E143:E143)&gt;=AE143/2,0+5*(AE143/2-0)/E143,IF(SUM($E143:F143)&gt;=AE143/2,5+5*(AE143/2-SUM($E143:E143))/F143,IF(SUM($E143:G143)&gt;=AE143/2,10+5*(AE143/2-SUM($E143:F143))/G143,IF(SUM($E143:H143)&gt;=AE143/2,15+5*(AE143/2-SUM($E143:G143))/H143,IF(SUM($E143:I143)&gt;=AE143/2,20+5*(AE143/2-SUM($E143:H143))/I143,IF(SUM($E143:J143)&gt;=AE143/2,25+5*(AE143/2-SUM($E143:I143))/J143,IF(SUM($E143:K143)&gt;=AE143/2,30+5*(AE143/2-SUM($E143:J143))/K143,IF(SUM($E143:L143)&gt;=AE143/2,35+5*(AE143/2-SUM($E143:K143))/L143,IF(SUM($E143:M143)&gt;=AE143/2,40+5*(AE143/2-SUM($E143:L143))/M143,IF(SUM($E143:N143)&gt;=AE143/2,45+5*(AE143/2-SUM($E143:M143))/N143,IF(SUM($E143:O143)&gt;=AE143/2,50+5*(AE143/2-SUM($E143:N143))/O143,IF(SUM($E143:P143)&gt;=AE143/2,55+5*(AE143/2-SUM($E143:O143))/P143,IF(SUM($E143:Q143)&gt;=AE143/2,60+5*(AE143/2-SUM($E143:P143))/Q143,IF(SUM($E143:R143)&gt;=AE143/2,65+5*(AE143/2-SUM($E143:Q143))/R143,IF(SUM($E143:S143)&gt;=AE143/2,70+5*(AE143/2-SUM($E143:R143))/S143,IF(SUM($E143:T143)&gt;=AE143/2,75+5*(AE143/2-SUM($E143:S143))/T143,""))))))))))))))))</f>
        <v/>
      </c>
      <c r="AL143" s="30">
        <f>SUM(H143:Q143)</f>
        <v/>
      </c>
      <c r="AM143" s="24" t="n">
        <v>0.357</v>
      </c>
      <c r="AN143" s="24" t="n">
        <v>0.435</v>
      </c>
      <c r="AO143" s="33">
        <f>IF(AND(ISNUMBER(AN143),ISNUMBER(AM143)),(AN143-AM143)*100,"")</f>
        <v/>
      </c>
      <c r="AP143" s="30">
        <f>IF(ISNUMBER(AN143),AN143*AL143,"")</f>
        <v/>
      </c>
      <c r="AQ143" s="30">
        <f>IF(ISNUMBER(AN143),AL143,0)</f>
        <v/>
      </c>
      <c r="BB143" s="30">
        <f>IF(BA143="Yes",AX143,0)</f>
        <v/>
      </c>
      <c r="BC143" s="30">
        <f>IF(AND(BA143="Yes",ISNUMBER(AP143)),AP143,0)</f>
        <v/>
      </c>
      <c r="BD143" s="30">
        <f>IF(BA143="Yes",AX143,IF(ISNUMBER(AP143),AP143,0))</f>
        <v/>
      </c>
    </row>
    <row r="144">
      <c r="A144" s="6" t="inlineStr">
        <is>
          <t>LTU</t>
        </is>
      </c>
      <c r="B144" s="6" t="inlineStr">
        <is>
          <t>Lithuania</t>
        </is>
      </c>
      <c r="C144" s="6" t="inlineStr">
        <is>
          <t>Europe &amp; Central Asia</t>
        </is>
      </c>
      <c r="D144" s="6" t="inlineStr">
        <is>
          <t>High income</t>
        </is>
      </c>
      <c r="E144" s="29" t="n">
        <v>117852</v>
      </c>
      <c r="F144" s="29" t="n">
        <v>150575</v>
      </c>
      <c r="G144" s="29" t="n">
        <v>150596</v>
      </c>
      <c r="H144" s="29" t="n">
        <v>144412</v>
      </c>
      <c r="I144" s="29" t="n">
        <v>151926</v>
      </c>
      <c r="J144" s="29" t="n">
        <v>182015</v>
      </c>
      <c r="K144" s="29" t="n">
        <v>209924</v>
      </c>
      <c r="L144" s="29" t="n">
        <v>209775</v>
      </c>
      <c r="M144" s="29" t="n">
        <v>188011</v>
      </c>
      <c r="N144" s="29" t="n">
        <v>181326</v>
      </c>
      <c r="O144" s="29" t="n">
        <v>196675</v>
      </c>
      <c r="P144" s="29" t="n">
        <v>199896</v>
      </c>
      <c r="Q144" s="29" t="n">
        <v>207182</v>
      </c>
      <c r="R144" s="29" t="n">
        <v>186931</v>
      </c>
      <c r="S144" s="29" t="n">
        <v>139533</v>
      </c>
      <c r="T144" s="29" t="n">
        <v>107855</v>
      </c>
      <c r="U144" s="29" t="n">
        <v>164291</v>
      </c>
      <c r="V144" s="29" t="n">
        <v>1524548</v>
      </c>
      <c r="W144" s="29" t="n">
        <v>1364227</v>
      </c>
      <c r="X144" s="30">
        <f>SUM(E144:G144)</f>
        <v/>
      </c>
      <c r="Y144" s="30">
        <f>SUM(H144:I144)</f>
        <v/>
      </c>
      <c r="Z144" s="30">
        <f>SUM(J144:K144)</f>
        <v/>
      </c>
      <c r="AA144" s="30">
        <f>SUM(L144:M144)</f>
        <v/>
      </c>
      <c r="AB144" s="30">
        <f>SUM(N144:O144)</f>
        <v/>
      </c>
      <c r="AC144" s="30">
        <f>SUM(P144:Q144)</f>
        <v/>
      </c>
      <c r="AD144" s="30">
        <f>SUM(R144:U144)</f>
        <v/>
      </c>
      <c r="AE144" s="31">
        <f>SUM(X144:AD144)</f>
        <v/>
      </c>
      <c r="AF144" s="32">
        <f>AE144/SUM($AE$5:$AE$222)</f>
        <v/>
      </c>
      <c r="AG144" s="10">
        <f>RANK(AE144,$AE$5:$AE$222)</f>
        <v/>
      </c>
      <c r="AH144" s="29" t="n">
        <v>2888278</v>
      </c>
      <c r="AI144" s="9">
        <f>IF(AH144&gt;0,AE144/AH144-1,"")</f>
        <v/>
      </c>
      <c r="AJ144" s="29" t="n">
        <v>32959</v>
      </c>
      <c r="AK144" s="19">
        <f>IF(SUM($E144:E144)&gt;=AE144/2,0+5*(AE144/2-0)/E144,IF(SUM($E144:F144)&gt;=AE144/2,5+5*(AE144/2-SUM($E144:E144))/F144,IF(SUM($E144:G144)&gt;=AE144/2,10+5*(AE144/2-SUM($E144:F144))/G144,IF(SUM($E144:H144)&gt;=AE144/2,15+5*(AE144/2-SUM($E144:G144))/H144,IF(SUM($E144:I144)&gt;=AE144/2,20+5*(AE144/2-SUM($E144:H144))/I144,IF(SUM($E144:J144)&gt;=AE144/2,25+5*(AE144/2-SUM($E144:I144))/J144,IF(SUM($E144:K144)&gt;=AE144/2,30+5*(AE144/2-SUM($E144:J144))/K144,IF(SUM($E144:L144)&gt;=AE144/2,35+5*(AE144/2-SUM($E144:K144))/L144,IF(SUM($E144:M144)&gt;=AE144/2,40+5*(AE144/2-SUM($E144:L144))/M144,IF(SUM($E144:N144)&gt;=AE144/2,45+5*(AE144/2-SUM($E144:M144))/N144,IF(SUM($E144:O144)&gt;=AE144/2,50+5*(AE144/2-SUM($E144:N144))/O144,IF(SUM($E144:P144)&gt;=AE144/2,55+5*(AE144/2-SUM($E144:O144))/P144,IF(SUM($E144:Q144)&gt;=AE144/2,60+5*(AE144/2-SUM($E144:P144))/Q144,IF(SUM($E144:R144)&gt;=AE144/2,65+5*(AE144/2-SUM($E144:Q144))/R144,IF(SUM($E144:S144)&gt;=AE144/2,70+5*(AE144/2-SUM($E144:R144))/S144,IF(SUM($E144:T144)&gt;=AE144/2,75+5*(AE144/2-SUM($E144:S144))/T144,""))))))))))))))))</f>
        <v/>
      </c>
      <c r="AL144" s="30">
        <f>SUM(H144:Q144)</f>
        <v/>
      </c>
      <c r="AM144" s="24" t="n">
        <v>0.21</v>
      </c>
      <c r="AN144" s="24" t="n">
        <v>0.251</v>
      </c>
      <c r="AO144" s="33">
        <f>IF(AND(ISNUMBER(AN144),ISNUMBER(AM144)),(AN144-AM144)*100,"")</f>
        <v/>
      </c>
      <c r="AP144" s="30">
        <f>IF(ISNUMBER(AN144),AN144*AL144,"")</f>
        <v/>
      </c>
      <c r="AQ144" s="30">
        <f>IF(ISNUMBER(AN144),AL144,0)</f>
        <v/>
      </c>
      <c r="AR144" s="24" t="n">
        <v>0.3689</v>
      </c>
      <c r="AS144" s="6" t="inlineStr">
        <is>
          <t>population</t>
        </is>
      </c>
      <c r="AT144" s="6" t="inlineStr">
        <is>
          <t>16-74</t>
        </is>
      </c>
      <c r="AU144" s="24" t="n">
        <v>1</v>
      </c>
      <c r="AV144" s="30">
        <f>H144*0.8+I144+J144+K144+L144+M144+N144+O144+P144+Q144+R144+S144</f>
        <v/>
      </c>
      <c r="AX144" s="30">
        <f>IF(ISNUMBER(AW144),AW144,AR144*AU144*AV144)</f>
        <v/>
      </c>
      <c r="AY144" s="34">
        <f>AX144/AV144</f>
        <v/>
      </c>
      <c r="AZ144" s="6" t="inlineStr">
        <is>
          <t>A</t>
        </is>
      </c>
      <c r="BA144" s="6" t="inlineStr">
        <is>
          <t>Yes</t>
        </is>
      </c>
      <c r="BB144" s="30">
        <f>IF(BA144="Yes",AX144,0)</f>
        <v/>
      </c>
      <c r="BC144" s="30">
        <f>IF(AND(BA144="Yes",ISNUMBER(AP144)),AP144,0)</f>
        <v/>
      </c>
      <c r="BD144" s="30">
        <f>IF(BA144="Yes",AX144,IF(ISNUMBER(AP144),AP144,0))</f>
        <v/>
      </c>
      <c r="BE144" s="6" t="inlineStr">
        <is>
          <t>Used generative AI tools in the last 3 months</t>
        </is>
      </c>
      <c r="BF144" s="6" t="inlineStr">
        <is>
          <t>2025 survey (Q2, most countries)</t>
        </is>
      </c>
      <c r="BG144" s="6" t="inlineStr">
        <is>
          <t>Eurostat: ICT usage in households and by individuals 2025, dataset isoc_ai_iaiu</t>
        </is>
      </c>
      <c r="BH144" s="6" t="inlineStr">
        <is>
          <t>https://ec.europa.eu/eurostat/databrowser/view/isoc_ai_iaiu/default/table</t>
        </is>
      </c>
    </row>
    <row r="145">
      <c r="A145" s="6" t="inlineStr">
        <is>
          <t>JAM</t>
        </is>
      </c>
      <c r="B145" s="6" t="inlineStr">
        <is>
          <t>Jamaica</t>
        </is>
      </c>
      <c r="C145" s="6" t="inlineStr">
        <is>
          <t>Latin America &amp; Caribbean</t>
        </is>
      </c>
      <c r="D145" s="6" t="inlineStr">
        <is>
          <t>Upper middle income</t>
        </is>
      </c>
      <c r="E145" s="29" t="n">
        <v>160697</v>
      </c>
      <c r="F145" s="29" t="n">
        <v>169230</v>
      </c>
      <c r="G145" s="29" t="n">
        <v>188831</v>
      </c>
      <c r="H145" s="29" t="n">
        <v>216815</v>
      </c>
      <c r="I145" s="29" t="n">
        <v>230451</v>
      </c>
      <c r="J145" s="29" t="n">
        <v>251194</v>
      </c>
      <c r="K145" s="29" t="n">
        <v>265114</v>
      </c>
      <c r="L145" s="29" t="n">
        <v>237485</v>
      </c>
      <c r="M145" s="29" t="n">
        <v>221365</v>
      </c>
      <c r="N145" s="29" t="n">
        <v>189183</v>
      </c>
      <c r="O145" s="29" t="n">
        <v>171606</v>
      </c>
      <c r="P145" s="29" t="n">
        <v>153638</v>
      </c>
      <c r="Q145" s="29" t="n">
        <v>138071</v>
      </c>
      <c r="R145" s="29" t="n">
        <v>104151</v>
      </c>
      <c r="S145" s="29" t="n">
        <v>63754</v>
      </c>
      <c r="T145" s="29" t="n">
        <v>39717</v>
      </c>
      <c r="U145" s="29" t="n">
        <v>35773</v>
      </c>
      <c r="V145" s="29" t="n">
        <v>1434534</v>
      </c>
      <c r="W145" s="29" t="n">
        <v>1402541</v>
      </c>
      <c r="X145" s="30">
        <f>SUM(E145:G145)</f>
        <v/>
      </c>
      <c r="Y145" s="30">
        <f>SUM(H145:I145)</f>
        <v/>
      </c>
      <c r="Z145" s="30">
        <f>SUM(J145:K145)</f>
        <v/>
      </c>
      <c r="AA145" s="30">
        <f>SUM(L145:M145)</f>
        <v/>
      </c>
      <c r="AB145" s="30">
        <f>SUM(N145:O145)</f>
        <v/>
      </c>
      <c r="AC145" s="30">
        <f>SUM(P145:Q145)</f>
        <v/>
      </c>
      <c r="AD145" s="30">
        <f>SUM(R145:U145)</f>
        <v/>
      </c>
      <c r="AE145" s="31">
        <f>SUM(X145:AD145)</f>
        <v/>
      </c>
      <c r="AF145" s="32">
        <f>AE145/SUM($AE$5:$AE$222)</f>
        <v/>
      </c>
      <c r="AG145" s="10">
        <f>RANK(AE145,$AE$5:$AE$222)</f>
        <v/>
      </c>
      <c r="AH145" s="29" t="n">
        <v>2839175</v>
      </c>
      <c r="AI145" s="9">
        <f>IF(AH145&gt;0,AE145/AH145-1,"")</f>
        <v/>
      </c>
      <c r="AJ145" s="29" t="n">
        <v>8003</v>
      </c>
      <c r="AK145" s="19">
        <f>IF(SUM($E145:E145)&gt;=AE145/2,0+5*(AE145/2-0)/E145,IF(SUM($E145:F145)&gt;=AE145/2,5+5*(AE145/2-SUM($E145:E145))/F145,IF(SUM($E145:G145)&gt;=AE145/2,10+5*(AE145/2-SUM($E145:F145))/G145,IF(SUM($E145:H145)&gt;=AE145/2,15+5*(AE145/2-SUM($E145:G145))/H145,IF(SUM($E145:I145)&gt;=AE145/2,20+5*(AE145/2-SUM($E145:H145))/I145,IF(SUM($E145:J145)&gt;=AE145/2,25+5*(AE145/2-SUM($E145:I145))/J145,IF(SUM($E145:K145)&gt;=AE145/2,30+5*(AE145/2-SUM($E145:J145))/K145,IF(SUM($E145:L145)&gt;=AE145/2,35+5*(AE145/2-SUM($E145:K145))/L145,IF(SUM($E145:M145)&gt;=AE145/2,40+5*(AE145/2-SUM($E145:L145))/M145,IF(SUM($E145:N145)&gt;=AE145/2,45+5*(AE145/2-SUM($E145:M145))/N145,IF(SUM($E145:O145)&gt;=AE145/2,50+5*(AE145/2-SUM($E145:N145))/O145,IF(SUM($E145:P145)&gt;=AE145/2,55+5*(AE145/2-SUM($E145:O145))/P145,IF(SUM($E145:Q145)&gt;=AE145/2,60+5*(AE145/2-SUM($E145:P145))/Q145,IF(SUM($E145:R145)&gt;=AE145/2,65+5*(AE145/2-SUM($E145:Q145))/R145,IF(SUM($E145:S145)&gt;=AE145/2,70+5*(AE145/2-SUM($E145:R145))/S145,IF(SUM($E145:T145)&gt;=AE145/2,75+5*(AE145/2-SUM($E145:S145))/T145,""))))))))))))))))</f>
        <v/>
      </c>
      <c r="AL145" s="30">
        <f>SUM(H145:Q145)</f>
        <v/>
      </c>
      <c r="AM145" s="24" t="n">
        <v>0.222</v>
      </c>
      <c r="AN145" s="24" t="n">
        <v>0.25</v>
      </c>
      <c r="AO145" s="33">
        <f>IF(AND(ISNUMBER(AN145),ISNUMBER(AM145)),(AN145-AM145)*100,"")</f>
        <v/>
      </c>
      <c r="AP145" s="30">
        <f>IF(ISNUMBER(AN145),AN145*AL145,"")</f>
        <v/>
      </c>
      <c r="AQ145" s="30">
        <f>IF(ISNUMBER(AN145),AL145,0)</f>
        <v/>
      </c>
      <c r="BB145" s="30">
        <f>IF(BA145="Yes",AX145,0)</f>
        <v/>
      </c>
      <c r="BC145" s="30">
        <f>IF(AND(BA145="Yes",ISNUMBER(AP145)),AP145,0)</f>
        <v/>
      </c>
      <c r="BD145" s="30">
        <f>IF(BA145="Yes",AX145,IF(ISNUMBER(AP145),AP145,0))</f>
        <v/>
      </c>
    </row>
    <row r="146">
      <c r="A146" s="6" t="inlineStr">
        <is>
          <t>GMB</t>
        </is>
      </c>
      <c r="B146" s="6" t="inlineStr">
        <is>
          <t>Gambia, The</t>
        </is>
      </c>
      <c r="C146" s="6" t="inlineStr">
        <is>
          <t>Sub-Saharan Africa</t>
        </is>
      </c>
      <c r="D146" s="6" t="inlineStr">
        <is>
          <t>Low income</t>
        </is>
      </c>
      <c r="E146" s="29" t="n">
        <v>391816</v>
      </c>
      <c r="F146" s="29" t="n">
        <v>368565</v>
      </c>
      <c r="G146" s="29" t="n">
        <v>360646</v>
      </c>
      <c r="H146" s="29" t="n">
        <v>313490</v>
      </c>
      <c r="I146" s="29" t="n">
        <v>263667</v>
      </c>
      <c r="J146" s="29" t="n">
        <v>231685</v>
      </c>
      <c r="K146" s="29" t="n">
        <v>202105</v>
      </c>
      <c r="L146" s="29" t="n">
        <v>162584</v>
      </c>
      <c r="M146" s="29" t="n">
        <v>125174</v>
      </c>
      <c r="N146" s="29" t="n">
        <v>94804</v>
      </c>
      <c r="O146" s="29" t="n">
        <v>82643</v>
      </c>
      <c r="P146" s="29" t="n">
        <v>74616</v>
      </c>
      <c r="Q146" s="29" t="n">
        <v>60413</v>
      </c>
      <c r="R146" s="29" t="n">
        <v>41295</v>
      </c>
      <c r="S146" s="29" t="n">
        <v>24245</v>
      </c>
      <c r="T146" s="29" t="n">
        <v>13773</v>
      </c>
      <c r="U146" s="29" t="n">
        <v>10571</v>
      </c>
      <c r="V146" s="29" t="n">
        <v>1416781</v>
      </c>
      <c r="W146" s="29" t="n">
        <v>1405311</v>
      </c>
      <c r="X146" s="30">
        <f>SUM(E146:G146)</f>
        <v/>
      </c>
      <c r="Y146" s="30">
        <f>SUM(H146:I146)</f>
        <v/>
      </c>
      <c r="Z146" s="30">
        <f>SUM(J146:K146)</f>
        <v/>
      </c>
      <c r="AA146" s="30">
        <f>SUM(L146:M146)</f>
        <v/>
      </c>
      <c r="AB146" s="30">
        <f>SUM(N146:O146)</f>
        <v/>
      </c>
      <c r="AC146" s="30">
        <f>SUM(P146:Q146)</f>
        <v/>
      </c>
      <c r="AD146" s="30">
        <f>SUM(R146:U146)</f>
        <v/>
      </c>
      <c r="AE146" s="31">
        <f>SUM(X146:AD146)</f>
        <v/>
      </c>
      <c r="AF146" s="32">
        <f>AE146/SUM($AE$5:$AE$222)</f>
        <v/>
      </c>
      <c r="AG146" s="10">
        <f>RANK(AE146,$AE$5:$AE$222)</f>
        <v/>
      </c>
      <c r="AH146" s="29" t="n">
        <v>2759988</v>
      </c>
      <c r="AI146" s="9">
        <f>IF(AH146&gt;0,AE146/AH146-1,"")</f>
        <v/>
      </c>
      <c r="AJ146" s="29" t="n">
        <v>919</v>
      </c>
      <c r="AK146" s="19">
        <f>IF(SUM($E146:E146)&gt;=AE146/2,0+5*(AE146/2-0)/E146,IF(SUM($E146:F146)&gt;=AE146/2,5+5*(AE146/2-SUM($E146:E146))/F146,IF(SUM($E146:G146)&gt;=AE146/2,10+5*(AE146/2-SUM($E146:F146))/G146,IF(SUM($E146:H146)&gt;=AE146/2,15+5*(AE146/2-SUM($E146:G146))/H146,IF(SUM($E146:I146)&gt;=AE146/2,20+5*(AE146/2-SUM($E146:H146))/I146,IF(SUM($E146:J146)&gt;=AE146/2,25+5*(AE146/2-SUM($E146:I146))/J146,IF(SUM($E146:K146)&gt;=AE146/2,30+5*(AE146/2-SUM($E146:J146))/K146,IF(SUM($E146:L146)&gt;=AE146/2,35+5*(AE146/2-SUM($E146:K146))/L146,IF(SUM($E146:M146)&gt;=AE146/2,40+5*(AE146/2-SUM($E146:L146))/M146,IF(SUM($E146:N146)&gt;=AE146/2,45+5*(AE146/2-SUM($E146:M146))/N146,IF(SUM($E146:O146)&gt;=AE146/2,50+5*(AE146/2-SUM($E146:N146))/O146,IF(SUM($E146:P146)&gt;=AE146/2,55+5*(AE146/2-SUM($E146:O146))/P146,IF(SUM($E146:Q146)&gt;=AE146/2,60+5*(AE146/2-SUM($E146:P146))/Q146,IF(SUM($E146:R146)&gt;=AE146/2,65+5*(AE146/2-SUM($E146:Q146))/R146,IF(SUM($E146:S146)&gt;=AE146/2,70+5*(AE146/2-SUM($E146:R146))/S146,IF(SUM($E146:T146)&gt;=AE146/2,75+5*(AE146/2-SUM($E146:S146))/T146,""))))))))))))))))</f>
        <v/>
      </c>
      <c r="AL146" s="30">
        <f>SUM(H146:Q146)</f>
        <v/>
      </c>
      <c r="AM146" s="24" t="n">
        <v>0.106</v>
      </c>
      <c r="AN146" s="24" t="n">
        <v>0.115</v>
      </c>
      <c r="AO146" s="33">
        <f>IF(AND(ISNUMBER(AN146),ISNUMBER(AM146)),(AN146-AM146)*100,"")</f>
        <v/>
      </c>
      <c r="AP146" s="30">
        <f>IF(ISNUMBER(AN146),AN146*AL146,"")</f>
        <v/>
      </c>
      <c r="AQ146" s="30">
        <f>IF(ISNUMBER(AN146),AL146,0)</f>
        <v/>
      </c>
      <c r="BB146" s="30">
        <f>IF(BA146="Yes",AX146,0)</f>
        <v/>
      </c>
      <c r="BC146" s="30">
        <f>IF(AND(BA146="Yes",ISNUMBER(AP146)),AP146,0)</f>
        <v/>
      </c>
      <c r="BD146" s="30">
        <f>IF(BA146="Yes",AX146,IF(ISNUMBER(AP146),AP146,0))</f>
        <v/>
      </c>
    </row>
    <row r="147">
      <c r="A147" s="6" t="inlineStr">
        <is>
          <t>GAB</t>
        </is>
      </c>
      <c r="B147" s="6" t="inlineStr">
        <is>
          <t>Gabon</t>
        </is>
      </c>
      <c r="C147" s="6" t="inlineStr">
        <is>
          <t>Sub-Saharan Africa</t>
        </is>
      </c>
      <c r="D147" s="6" t="inlineStr">
        <is>
          <t>Upper middle income</t>
        </is>
      </c>
      <c r="E147" s="29" t="n">
        <v>333291</v>
      </c>
      <c r="F147" s="29" t="n">
        <v>318908</v>
      </c>
      <c r="G147" s="29" t="n">
        <v>287626</v>
      </c>
      <c r="H147" s="29" t="n">
        <v>245852</v>
      </c>
      <c r="I147" s="29" t="n">
        <v>212886</v>
      </c>
      <c r="J147" s="29" t="n">
        <v>190922</v>
      </c>
      <c r="K147" s="29" t="n">
        <v>189572</v>
      </c>
      <c r="L147" s="29" t="n">
        <v>182337</v>
      </c>
      <c r="M147" s="29" t="n">
        <v>160049</v>
      </c>
      <c r="N147" s="29" t="n">
        <v>129380</v>
      </c>
      <c r="O147" s="29" t="n">
        <v>100606</v>
      </c>
      <c r="P147" s="29" t="n">
        <v>76663</v>
      </c>
      <c r="Q147" s="29" t="n">
        <v>57942</v>
      </c>
      <c r="R147" s="29" t="n">
        <v>42107</v>
      </c>
      <c r="S147" s="29" t="n">
        <v>29543</v>
      </c>
      <c r="T147" s="29" t="n">
        <v>18715</v>
      </c>
      <c r="U147" s="29" t="n">
        <v>16735</v>
      </c>
      <c r="V147" s="29" t="n">
        <v>1277916</v>
      </c>
      <c r="W147" s="29" t="n">
        <v>1315218</v>
      </c>
      <c r="X147" s="30">
        <f>SUM(E147:G147)</f>
        <v/>
      </c>
      <c r="Y147" s="30">
        <f>SUM(H147:I147)</f>
        <v/>
      </c>
      <c r="Z147" s="30">
        <f>SUM(J147:K147)</f>
        <v/>
      </c>
      <c r="AA147" s="30">
        <f>SUM(L147:M147)</f>
        <v/>
      </c>
      <c r="AB147" s="30">
        <f>SUM(N147:O147)</f>
        <v/>
      </c>
      <c r="AC147" s="30">
        <f>SUM(P147:Q147)</f>
        <v/>
      </c>
      <c r="AD147" s="30">
        <f>SUM(R147:U147)</f>
        <v/>
      </c>
      <c r="AE147" s="31">
        <f>SUM(X147:AD147)</f>
        <v/>
      </c>
      <c r="AF147" s="32">
        <f>AE147/SUM($AE$5:$AE$222)</f>
        <v/>
      </c>
      <c r="AG147" s="10">
        <f>RANK(AE147,$AE$5:$AE$222)</f>
        <v/>
      </c>
      <c r="AH147" s="29" t="n">
        <v>2538952</v>
      </c>
      <c r="AI147" s="9">
        <f>IF(AH147&gt;0,AE147/AH147-1,"")</f>
        <v/>
      </c>
      <c r="AJ147" s="29" t="n">
        <v>8263</v>
      </c>
      <c r="AK147" s="19">
        <f>IF(SUM($E147:E147)&gt;=AE147/2,0+5*(AE147/2-0)/E147,IF(SUM($E147:F147)&gt;=AE147/2,5+5*(AE147/2-SUM($E147:E147))/F147,IF(SUM($E147:G147)&gt;=AE147/2,10+5*(AE147/2-SUM($E147:F147))/G147,IF(SUM($E147:H147)&gt;=AE147/2,15+5*(AE147/2-SUM($E147:G147))/H147,IF(SUM($E147:I147)&gt;=AE147/2,20+5*(AE147/2-SUM($E147:H147))/I147,IF(SUM($E147:J147)&gt;=AE147/2,25+5*(AE147/2-SUM($E147:I147))/J147,IF(SUM($E147:K147)&gt;=AE147/2,30+5*(AE147/2-SUM($E147:J147))/K147,IF(SUM($E147:L147)&gt;=AE147/2,35+5*(AE147/2-SUM($E147:K147))/L147,IF(SUM($E147:M147)&gt;=AE147/2,40+5*(AE147/2-SUM($E147:L147))/M147,IF(SUM($E147:N147)&gt;=AE147/2,45+5*(AE147/2-SUM($E147:M147))/N147,IF(SUM($E147:O147)&gt;=AE147/2,50+5*(AE147/2-SUM($E147:N147))/O147,IF(SUM($E147:P147)&gt;=AE147/2,55+5*(AE147/2-SUM($E147:O147))/P147,IF(SUM($E147:Q147)&gt;=AE147/2,60+5*(AE147/2-SUM($E147:P147))/Q147,IF(SUM($E147:R147)&gt;=AE147/2,65+5*(AE147/2-SUM($E147:Q147))/R147,IF(SUM($E147:S147)&gt;=AE147/2,70+5*(AE147/2-SUM($E147:R147))/S147,IF(SUM($E147:T147)&gt;=AE147/2,75+5*(AE147/2-SUM($E147:S147))/T147,""))))))))))))))))</f>
        <v/>
      </c>
      <c r="AL147" s="30">
        <f>SUM(H147:Q147)</f>
        <v/>
      </c>
      <c r="AM147" s="24" t="n">
        <v>0.123</v>
      </c>
      <c r="AN147" s="24" t="n">
        <v>0.157</v>
      </c>
      <c r="AO147" s="33">
        <f>IF(AND(ISNUMBER(AN147),ISNUMBER(AM147)),(AN147-AM147)*100,"")</f>
        <v/>
      </c>
      <c r="AP147" s="30">
        <f>IF(ISNUMBER(AN147),AN147*AL147,"")</f>
        <v/>
      </c>
      <c r="AQ147" s="30">
        <f>IF(ISNUMBER(AN147),AL147,0)</f>
        <v/>
      </c>
      <c r="BB147" s="30">
        <f>IF(BA147="Yes",AX147,0)</f>
        <v/>
      </c>
      <c r="BC147" s="30">
        <f>IF(AND(BA147="Yes",ISNUMBER(AP147)),AP147,0)</f>
        <v/>
      </c>
      <c r="BD147" s="30">
        <f>IF(BA147="Yes",AX147,IF(ISNUMBER(AP147),AP147,0))</f>
        <v/>
      </c>
    </row>
    <row r="148">
      <c r="A148" s="6" t="inlineStr">
        <is>
          <t>BWA</t>
        </is>
      </c>
      <c r="B148" s="6" t="inlineStr">
        <is>
          <t>Botswana</t>
        </is>
      </c>
      <c r="C148" s="6" t="inlineStr">
        <is>
          <t>Sub-Saharan Africa</t>
        </is>
      </c>
      <c r="D148" s="6" t="inlineStr">
        <is>
          <t>Upper middle income</t>
        </is>
      </c>
      <c r="E148" s="29" t="n">
        <v>299676</v>
      </c>
      <c r="F148" s="29" t="n">
        <v>270298</v>
      </c>
      <c r="G148" s="29" t="n">
        <v>248795</v>
      </c>
      <c r="H148" s="29" t="n">
        <v>243403</v>
      </c>
      <c r="I148" s="29" t="n">
        <v>245722</v>
      </c>
      <c r="J148" s="29" t="n">
        <v>243398</v>
      </c>
      <c r="K148" s="29" t="n">
        <v>242291</v>
      </c>
      <c r="L148" s="29" t="n">
        <v>187112</v>
      </c>
      <c r="M148" s="29" t="n">
        <v>140017</v>
      </c>
      <c r="N148" s="29" t="n">
        <v>112023</v>
      </c>
      <c r="O148" s="29" t="n">
        <v>92727</v>
      </c>
      <c r="P148" s="29" t="n">
        <v>76622</v>
      </c>
      <c r="Q148" s="29" t="n">
        <v>55429</v>
      </c>
      <c r="R148" s="29" t="n">
        <v>40465</v>
      </c>
      <c r="S148" s="29" t="n">
        <v>29711</v>
      </c>
      <c r="T148" s="29" t="n">
        <v>18353</v>
      </c>
      <c r="U148" s="29" t="n">
        <v>16080</v>
      </c>
      <c r="V148" s="29" t="n">
        <v>1285626</v>
      </c>
      <c r="W148" s="29" t="n">
        <v>1276496</v>
      </c>
      <c r="X148" s="30">
        <f>SUM(E148:G148)</f>
        <v/>
      </c>
      <c r="Y148" s="30">
        <f>SUM(H148:I148)</f>
        <v/>
      </c>
      <c r="Z148" s="30">
        <f>SUM(J148:K148)</f>
        <v/>
      </c>
      <c r="AA148" s="30">
        <f>SUM(L148:M148)</f>
        <v/>
      </c>
      <c r="AB148" s="30">
        <f>SUM(N148:O148)</f>
        <v/>
      </c>
      <c r="AC148" s="30">
        <f>SUM(P148:Q148)</f>
        <v/>
      </c>
      <c r="AD148" s="30">
        <f>SUM(R148:U148)</f>
        <v/>
      </c>
      <c r="AE148" s="31">
        <f>SUM(X148:AD148)</f>
        <v/>
      </c>
      <c r="AF148" s="32">
        <f>AE148/SUM($AE$5:$AE$222)</f>
        <v/>
      </c>
      <c r="AG148" s="10">
        <f>RANK(AE148,$AE$5:$AE$222)</f>
        <v/>
      </c>
      <c r="AH148" s="29" t="n">
        <v>2521139</v>
      </c>
      <c r="AI148" s="9">
        <f>IF(AH148&gt;0,AE148/AH148-1,"")</f>
        <v/>
      </c>
      <c r="AJ148" s="29" t="n">
        <v>7778</v>
      </c>
      <c r="AK148" s="19">
        <f>IF(SUM($E148:E148)&gt;=AE148/2,0+5*(AE148/2-0)/E148,IF(SUM($E148:F148)&gt;=AE148/2,5+5*(AE148/2-SUM($E148:E148))/F148,IF(SUM($E148:G148)&gt;=AE148/2,10+5*(AE148/2-SUM($E148:F148))/G148,IF(SUM($E148:H148)&gt;=AE148/2,15+5*(AE148/2-SUM($E148:G148))/H148,IF(SUM($E148:I148)&gt;=AE148/2,20+5*(AE148/2-SUM($E148:H148))/I148,IF(SUM($E148:J148)&gt;=AE148/2,25+5*(AE148/2-SUM($E148:I148))/J148,IF(SUM($E148:K148)&gt;=AE148/2,30+5*(AE148/2-SUM($E148:J148))/K148,IF(SUM($E148:L148)&gt;=AE148/2,35+5*(AE148/2-SUM($E148:K148))/L148,IF(SUM($E148:M148)&gt;=AE148/2,40+5*(AE148/2-SUM($E148:L148))/M148,IF(SUM($E148:N148)&gt;=AE148/2,45+5*(AE148/2-SUM($E148:M148))/N148,IF(SUM($E148:O148)&gt;=AE148/2,50+5*(AE148/2-SUM($E148:N148))/O148,IF(SUM($E148:P148)&gt;=AE148/2,55+5*(AE148/2-SUM($E148:O148))/P148,IF(SUM($E148:Q148)&gt;=AE148/2,60+5*(AE148/2-SUM($E148:P148))/Q148,IF(SUM($E148:R148)&gt;=AE148/2,65+5*(AE148/2-SUM($E148:Q148))/R148,IF(SUM($E148:S148)&gt;=AE148/2,70+5*(AE148/2-SUM($E148:R148))/S148,IF(SUM($E148:T148)&gt;=AE148/2,75+5*(AE148/2-SUM($E148:S148))/T148,""))))))))))))))))</f>
        <v/>
      </c>
      <c r="AL148" s="30">
        <f>SUM(H148:Q148)</f>
        <v/>
      </c>
      <c r="AM148" s="24" t="n">
        <v>0.128</v>
      </c>
      <c r="AN148" s="24" t="n">
        <v>0.15</v>
      </c>
      <c r="AO148" s="33">
        <f>IF(AND(ISNUMBER(AN148),ISNUMBER(AM148)),(AN148-AM148)*100,"")</f>
        <v/>
      </c>
      <c r="AP148" s="30">
        <f>IF(ISNUMBER(AN148),AN148*AL148,"")</f>
        <v/>
      </c>
      <c r="AQ148" s="30">
        <f>IF(ISNUMBER(AN148),AL148,0)</f>
        <v/>
      </c>
      <c r="BB148" s="30">
        <f>IF(BA148="Yes",AX148,0)</f>
        <v/>
      </c>
      <c r="BC148" s="30">
        <f>IF(AND(BA148="Yes",ISNUMBER(AP148)),AP148,0)</f>
        <v/>
      </c>
      <c r="BD148" s="30">
        <f>IF(BA148="Yes",AX148,IF(ISNUMBER(AP148),AP148,0))</f>
        <v/>
      </c>
    </row>
    <row r="149">
      <c r="A149" s="6" t="inlineStr">
        <is>
          <t>LSO</t>
        </is>
      </c>
      <c r="B149" s="6" t="inlineStr">
        <is>
          <t>Lesotho</t>
        </is>
      </c>
      <c r="C149" s="6" t="inlineStr">
        <is>
          <t>Sub-Saharan Africa</t>
        </is>
      </c>
      <c r="D149" s="6" t="inlineStr">
        <is>
          <t>Lower middle income</t>
        </is>
      </c>
      <c r="E149" s="29" t="n">
        <v>261302</v>
      </c>
      <c r="F149" s="29" t="n">
        <v>273239</v>
      </c>
      <c r="G149" s="29" t="n">
        <v>271402</v>
      </c>
      <c r="H149" s="29" t="n">
        <v>244896</v>
      </c>
      <c r="I149" s="29" t="n">
        <v>224260</v>
      </c>
      <c r="J149" s="29" t="n">
        <v>202530</v>
      </c>
      <c r="K149" s="29" t="n">
        <v>197969</v>
      </c>
      <c r="L149" s="29" t="n">
        <v>190545</v>
      </c>
      <c r="M149" s="29" t="n">
        <v>145370</v>
      </c>
      <c r="N149" s="29" t="n">
        <v>97170</v>
      </c>
      <c r="O149" s="29" t="n">
        <v>64198</v>
      </c>
      <c r="P149" s="29" t="n">
        <v>52999</v>
      </c>
      <c r="Q149" s="29" t="n">
        <v>45739</v>
      </c>
      <c r="R149" s="29" t="n">
        <v>36742</v>
      </c>
      <c r="S149" s="29" t="n">
        <v>24271</v>
      </c>
      <c r="T149" s="29" t="n">
        <v>15528</v>
      </c>
      <c r="U149" s="29" t="n">
        <v>15169</v>
      </c>
      <c r="V149" s="29" t="n">
        <v>1211156</v>
      </c>
      <c r="W149" s="29" t="n">
        <v>1152173</v>
      </c>
      <c r="X149" s="30">
        <f>SUM(E149:G149)</f>
        <v/>
      </c>
      <c r="Y149" s="30">
        <f>SUM(H149:I149)</f>
        <v/>
      </c>
      <c r="Z149" s="30">
        <f>SUM(J149:K149)</f>
        <v/>
      </c>
      <c r="AA149" s="30">
        <f>SUM(L149:M149)</f>
        <v/>
      </c>
      <c r="AB149" s="30">
        <f>SUM(N149:O149)</f>
        <v/>
      </c>
      <c r="AC149" s="30">
        <f>SUM(P149:Q149)</f>
        <v/>
      </c>
      <c r="AD149" s="30">
        <f>SUM(R149:U149)</f>
        <v/>
      </c>
      <c r="AE149" s="31">
        <f>SUM(X149:AD149)</f>
        <v/>
      </c>
      <c r="AF149" s="32">
        <f>AE149/SUM($AE$5:$AE$222)</f>
        <v/>
      </c>
      <c r="AG149" s="10">
        <f>RANK(AE149,$AE$5:$AE$222)</f>
        <v/>
      </c>
      <c r="AH149" s="29" t="n">
        <v>2337423</v>
      </c>
      <c r="AI149" s="9">
        <f>IF(AH149&gt;0,AE149/AH149-1,"")</f>
        <v/>
      </c>
      <c r="AJ149" s="29" t="n">
        <v>1089</v>
      </c>
      <c r="AK149" s="19">
        <f>IF(SUM($E149:E149)&gt;=AE149/2,0+5*(AE149/2-0)/E149,IF(SUM($E149:F149)&gt;=AE149/2,5+5*(AE149/2-SUM($E149:E149))/F149,IF(SUM($E149:G149)&gt;=AE149/2,10+5*(AE149/2-SUM($E149:F149))/G149,IF(SUM($E149:H149)&gt;=AE149/2,15+5*(AE149/2-SUM($E149:G149))/H149,IF(SUM($E149:I149)&gt;=AE149/2,20+5*(AE149/2-SUM($E149:H149))/I149,IF(SUM($E149:J149)&gt;=AE149/2,25+5*(AE149/2-SUM($E149:I149))/J149,IF(SUM($E149:K149)&gt;=AE149/2,30+5*(AE149/2-SUM($E149:J149))/K149,IF(SUM($E149:L149)&gt;=AE149/2,35+5*(AE149/2-SUM($E149:K149))/L149,IF(SUM($E149:M149)&gt;=AE149/2,40+5*(AE149/2-SUM($E149:L149))/M149,IF(SUM($E149:N149)&gt;=AE149/2,45+5*(AE149/2-SUM($E149:M149))/N149,IF(SUM($E149:O149)&gt;=AE149/2,50+5*(AE149/2-SUM($E149:N149))/O149,IF(SUM($E149:P149)&gt;=AE149/2,55+5*(AE149/2-SUM($E149:O149))/P149,IF(SUM($E149:Q149)&gt;=AE149/2,60+5*(AE149/2-SUM($E149:P149))/Q149,IF(SUM($E149:R149)&gt;=AE149/2,65+5*(AE149/2-SUM($E149:Q149))/R149,IF(SUM($E149:S149)&gt;=AE149/2,70+5*(AE149/2-SUM($E149:R149))/S149,IF(SUM($E149:T149)&gt;=AE149/2,75+5*(AE149/2-SUM($E149:S149))/T149,""))))))))))))))))</f>
        <v/>
      </c>
      <c r="AL149" s="30">
        <f>SUM(H149:Q149)</f>
        <v/>
      </c>
      <c r="AM149" s="24" t="n">
        <v>0.08800000000000001</v>
      </c>
      <c r="AN149" s="24" t="n">
        <v>0.099</v>
      </c>
      <c r="AO149" s="33">
        <f>IF(AND(ISNUMBER(AN149),ISNUMBER(AM149)),(AN149-AM149)*100,"")</f>
        <v/>
      </c>
      <c r="AP149" s="30">
        <f>IF(ISNUMBER(AN149),AN149*AL149,"")</f>
        <v/>
      </c>
      <c r="AQ149" s="30">
        <f>IF(ISNUMBER(AN149),AL149,0)</f>
        <v/>
      </c>
      <c r="BB149" s="30">
        <f>IF(BA149="Yes",AX149,0)</f>
        <v/>
      </c>
      <c r="BC149" s="30">
        <f>IF(AND(BA149="Yes",ISNUMBER(AP149)),AP149,0)</f>
        <v/>
      </c>
      <c r="BD149" s="30">
        <f>IF(BA149="Yes",AX149,IF(ISNUMBER(AP149),AP149,0))</f>
        <v/>
      </c>
    </row>
    <row r="150">
      <c r="A150" s="6" t="inlineStr">
        <is>
          <t>MDA</t>
        </is>
      </c>
      <c r="B150" s="6" t="inlineStr">
        <is>
          <t>Moldova</t>
        </is>
      </c>
      <c r="C150" s="6" t="inlineStr">
        <is>
          <t>Europe &amp; Central Asia</t>
        </is>
      </c>
      <c r="D150" s="6" t="inlineStr">
        <is>
          <t>Upper middle income</t>
        </is>
      </c>
      <c r="E150" s="29" t="n">
        <v>126673</v>
      </c>
      <c r="F150" s="29" t="n">
        <v>161578</v>
      </c>
      <c r="G150" s="29" t="n">
        <v>172862</v>
      </c>
      <c r="H150" s="29" t="n">
        <v>149189</v>
      </c>
      <c r="I150" s="29" t="n">
        <v>120147</v>
      </c>
      <c r="J150" s="29" t="n">
        <v>113619</v>
      </c>
      <c r="K150" s="29" t="n">
        <v>157114</v>
      </c>
      <c r="L150" s="29" t="n">
        <v>194329</v>
      </c>
      <c r="M150" s="29" t="n">
        <v>177223</v>
      </c>
      <c r="N150" s="29" t="n">
        <v>154835</v>
      </c>
      <c r="O150" s="29" t="n">
        <v>145553</v>
      </c>
      <c r="P150" s="29" t="n">
        <v>136335</v>
      </c>
      <c r="Q150" s="29" t="n">
        <v>153138</v>
      </c>
      <c r="R150" s="29" t="n">
        <v>153347</v>
      </c>
      <c r="S150" s="29" t="n">
        <v>118621</v>
      </c>
      <c r="T150" s="29" t="n">
        <v>67705</v>
      </c>
      <c r="U150" s="29" t="n">
        <v>58256</v>
      </c>
      <c r="V150" s="29" t="n">
        <v>1274953</v>
      </c>
      <c r="W150" s="29" t="n">
        <v>1085571</v>
      </c>
      <c r="X150" s="30">
        <f>SUM(E150:G150)</f>
        <v/>
      </c>
      <c r="Y150" s="30">
        <f>SUM(H150:I150)</f>
        <v/>
      </c>
      <c r="Z150" s="30">
        <f>SUM(J150:K150)</f>
        <v/>
      </c>
      <c r="AA150" s="30">
        <f>SUM(L150:M150)</f>
        <v/>
      </c>
      <c r="AB150" s="30">
        <f>SUM(N150:O150)</f>
        <v/>
      </c>
      <c r="AC150" s="30">
        <f>SUM(P150:Q150)</f>
        <v/>
      </c>
      <c r="AD150" s="30">
        <f>SUM(R150:U150)</f>
        <v/>
      </c>
      <c r="AE150" s="31">
        <f>SUM(X150:AD150)</f>
        <v/>
      </c>
      <c r="AF150" s="32">
        <f>AE150/SUM($AE$5:$AE$222)</f>
        <v/>
      </c>
      <c r="AG150" s="10">
        <f>RANK(AE150,$AE$5:$AE$222)</f>
        <v/>
      </c>
      <c r="AH150" s="29" t="n">
        <v>2402306</v>
      </c>
      <c r="AI150" s="9">
        <f>IF(AH150&gt;0,AE150/AH150-1,"")</f>
        <v/>
      </c>
      <c r="AJ150" s="29" t="n">
        <v>8622</v>
      </c>
      <c r="AK150" s="19">
        <f>IF(SUM($E150:E150)&gt;=AE150/2,0+5*(AE150/2-0)/E150,IF(SUM($E150:F150)&gt;=AE150/2,5+5*(AE150/2-SUM($E150:E150))/F150,IF(SUM($E150:G150)&gt;=AE150/2,10+5*(AE150/2-SUM($E150:F150))/G150,IF(SUM($E150:H150)&gt;=AE150/2,15+5*(AE150/2-SUM($E150:G150))/H150,IF(SUM($E150:I150)&gt;=AE150/2,20+5*(AE150/2-SUM($E150:H150))/I150,IF(SUM($E150:J150)&gt;=AE150/2,25+5*(AE150/2-SUM($E150:I150))/J150,IF(SUM($E150:K150)&gt;=AE150/2,30+5*(AE150/2-SUM($E150:J150))/K150,IF(SUM($E150:L150)&gt;=AE150/2,35+5*(AE150/2-SUM($E150:K150))/L150,IF(SUM($E150:M150)&gt;=AE150/2,40+5*(AE150/2-SUM($E150:L150))/M150,IF(SUM($E150:N150)&gt;=AE150/2,45+5*(AE150/2-SUM($E150:M150))/N150,IF(SUM($E150:O150)&gt;=AE150/2,50+5*(AE150/2-SUM($E150:N150))/O150,IF(SUM($E150:P150)&gt;=AE150/2,55+5*(AE150/2-SUM($E150:O150))/P150,IF(SUM($E150:Q150)&gt;=AE150/2,60+5*(AE150/2-SUM($E150:P150))/Q150,IF(SUM($E150:R150)&gt;=AE150/2,65+5*(AE150/2-SUM($E150:Q150))/R150,IF(SUM($E150:S150)&gt;=AE150/2,70+5*(AE150/2-SUM($E150:R150))/S150,IF(SUM($E150:T150)&gt;=AE150/2,75+5*(AE150/2-SUM($E150:S150))/T150,""))))))))))))))))</f>
        <v/>
      </c>
      <c r="AL150" s="30">
        <f>SUM(H150:Q150)</f>
        <v/>
      </c>
      <c r="AM150" s="24" t="n">
        <v>0.166</v>
      </c>
      <c r="AN150" s="24" t="n">
        <v>0.191</v>
      </c>
      <c r="AO150" s="33">
        <f>IF(AND(ISNUMBER(AN150),ISNUMBER(AM150)),(AN150-AM150)*100,"")</f>
        <v/>
      </c>
      <c r="AP150" s="30">
        <f>IF(ISNUMBER(AN150),AN150*AL150,"")</f>
        <v/>
      </c>
      <c r="AQ150" s="30">
        <f>IF(ISNUMBER(AN150),AL150,0)</f>
        <v/>
      </c>
      <c r="BB150" s="30">
        <f>IF(BA150="Yes",AX150,0)</f>
        <v/>
      </c>
      <c r="BC150" s="30">
        <f>IF(AND(BA150="Yes",ISNUMBER(AP150)),AP150,0)</f>
        <v/>
      </c>
      <c r="BD150" s="30">
        <f>IF(BA150="Yes",AX150,IF(ISNUMBER(AP150),AP150,0))</f>
        <v/>
      </c>
    </row>
    <row r="151">
      <c r="A151" s="6" t="inlineStr">
        <is>
          <t>ALB</t>
        </is>
      </c>
      <c r="B151" s="6" t="inlineStr">
        <is>
          <t>Albania</t>
        </is>
      </c>
      <c r="C151" s="6" t="inlineStr">
        <is>
          <t>Europe &amp; Central Asia</t>
        </is>
      </c>
      <c r="D151" s="6" t="inlineStr">
        <is>
          <t>Upper middle income</t>
        </is>
      </c>
      <c r="E151" s="29" t="n">
        <v>117016</v>
      </c>
      <c r="F151" s="29" t="n">
        <v>128301</v>
      </c>
      <c r="G151" s="29" t="n">
        <v>144859</v>
      </c>
      <c r="H151" s="29" t="n">
        <v>137226</v>
      </c>
      <c r="I151" s="29" t="n">
        <v>152503</v>
      </c>
      <c r="J151" s="29" t="n">
        <v>181220</v>
      </c>
      <c r="K151" s="29" t="n">
        <v>196777</v>
      </c>
      <c r="L151" s="29" t="n">
        <v>172831</v>
      </c>
      <c r="M151" s="29" t="n">
        <v>140265</v>
      </c>
      <c r="N151" s="29" t="n">
        <v>127143</v>
      </c>
      <c r="O151" s="29" t="n">
        <v>135482</v>
      </c>
      <c r="P151" s="29" t="n">
        <v>147708</v>
      </c>
      <c r="Q151" s="29" t="n">
        <v>154204</v>
      </c>
      <c r="R151" s="29" t="n">
        <v>142208</v>
      </c>
      <c r="S151" s="29" t="n">
        <v>107313</v>
      </c>
      <c r="T151" s="29" t="n">
        <v>74439</v>
      </c>
      <c r="U151" s="29" t="n">
        <v>90086</v>
      </c>
      <c r="V151" s="29" t="n">
        <v>1188396</v>
      </c>
      <c r="W151" s="29" t="n">
        <v>1161185</v>
      </c>
      <c r="X151" s="30">
        <f>SUM(E151:G151)</f>
        <v/>
      </c>
      <c r="Y151" s="30">
        <f>SUM(H151:I151)</f>
        <v/>
      </c>
      <c r="Z151" s="30">
        <f>SUM(J151:K151)</f>
        <v/>
      </c>
      <c r="AA151" s="30">
        <f>SUM(L151:M151)</f>
        <v/>
      </c>
      <c r="AB151" s="30">
        <f>SUM(N151:O151)</f>
        <v/>
      </c>
      <c r="AC151" s="30">
        <f>SUM(P151:Q151)</f>
        <v/>
      </c>
      <c r="AD151" s="30">
        <f>SUM(R151:U151)</f>
        <v/>
      </c>
      <c r="AE151" s="31">
        <f>SUM(X151:AD151)</f>
        <v/>
      </c>
      <c r="AF151" s="32">
        <f>AE151/SUM($AE$5:$AE$222)</f>
        <v/>
      </c>
      <c r="AG151" s="10">
        <f>RANK(AE151,$AE$5:$AE$222)</f>
        <v/>
      </c>
      <c r="AH151" s="29" t="n">
        <v>2377128</v>
      </c>
      <c r="AI151" s="9">
        <f>IF(AH151&gt;0,AE151/AH151-1,"")</f>
        <v/>
      </c>
      <c r="AJ151" s="29" t="n">
        <v>12998</v>
      </c>
      <c r="AK151" s="19">
        <f>IF(SUM($E151:E151)&gt;=AE151/2,0+5*(AE151/2-0)/E151,IF(SUM($E151:F151)&gt;=AE151/2,5+5*(AE151/2-SUM($E151:E151))/F151,IF(SUM($E151:G151)&gt;=AE151/2,10+5*(AE151/2-SUM($E151:F151))/G151,IF(SUM($E151:H151)&gt;=AE151/2,15+5*(AE151/2-SUM($E151:G151))/H151,IF(SUM($E151:I151)&gt;=AE151/2,20+5*(AE151/2-SUM($E151:H151))/I151,IF(SUM($E151:J151)&gt;=AE151/2,25+5*(AE151/2-SUM($E151:I151))/J151,IF(SUM($E151:K151)&gt;=AE151/2,30+5*(AE151/2-SUM($E151:J151))/K151,IF(SUM($E151:L151)&gt;=AE151/2,35+5*(AE151/2-SUM($E151:K151))/L151,IF(SUM($E151:M151)&gt;=AE151/2,40+5*(AE151/2-SUM($E151:L151))/M151,IF(SUM($E151:N151)&gt;=AE151/2,45+5*(AE151/2-SUM($E151:M151))/N151,IF(SUM($E151:O151)&gt;=AE151/2,50+5*(AE151/2-SUM($E151:N151))/O151,IF(SUM($E151:P151)&gt;=AE151/2,55+5*(AE151/2-SUM($E151:O151))/P151,IF(SUM($E151:Q151)&gt;=AE151/2,60+5*(AE151/2-SUM($E151:P151))/Q151,IF(SUM($E151:R151)&gt;=AE151/2,65+5*(AE151/2-SUM($E151:Q151))/R151,IF(SUM($E151:S151)&gt;=AE151/2,70+5*(AE151/2-SUM($E151:R151))/S151,IF(SUM($E151:T151)&gt;=AE151/2,75+5*(AE151/2-SUM($E151:S151))/T151,""))))))))))))))))</f>
        <v/>
      </c>
      <c r="AL151" s="30">
        <f>SUM(H151:Q151)</f>
        <v/>
      </c>
      <c r="AM151" s="24" t="n">
        <v>0.158</v>
      </c>
      <c r="AN151" s="24" t="n">
        <v>0.192</v>
      </c>
      <c r="AO151" s="33">
        <f>IF(AND(ISNUMBER(AN151),ISNUMBER(AM151)),(AN151-AM151)*100,"")</f>
        <v/>
      </c>
      <c r="AP151" s="30">
        <f>IF(ISNUMBER(AN151),AN151*AL151,"")</f>
        <v/>
      </c>
      <c r="AQ151" s="30">
        <f>IF(ISNUMBER(AN151),AL151,0)</f>
        <v/>
      </c>
      <c r="AR151" s="24" t="n">
        <v>0.2728</v>
      </c>
      <c r="AS151" s="6" t="inlineStr">
        <is>
          <t>population</t>
        </is>
      </c>
      <c r="AT151" s="6" t="inlineStr">
        <is>
          <t>16-74</t>
        </is>
      </c>
      <c r="AU151" s="24" t="n">
        <v>1</v>
      </c>
      <c r="AV151" s="30">
        <f>H151*0.8+I151+J151+K151+L151+M151+N151+O151+P151+Q151+R151+S151</f>
        <v/>
      </c>
      <c r="AX151" s="30">
        <f>IF(ISNUMBER(AW151),AW151,AR151*AU151*AV151)</f>
        <v/>
      </c>
      <c r="AY151" s="34">
        <f>AX151/AV151</f>
        <v/>
      </c>
      <c r="AZ151" s="6" t="inlineStr">
        <is>
          <t>A</t>
        </is>
      </c>
      <c r="BA151" s="6" t="inlineStr">
        <is>
          <t>Yes</t>
        </is>
      </c>
      <c r="BB151" s="30">
        <f>IF(BA151="Yes",AX151,0)</f>
        <v/>
      </c>
      <c r="BC151" s="30">
        <f>IF(AND(BA151="Yes",ISNUMBER(AP151)),AP151,0)</f>
        <v/>
      </c>
      <c r="BD151" s="30">
        <f>IF(BA151="Yes",AX151,IF(ISNUMBER(AP151),AP151,0))</f>
        <v/>
      </c>
      <c r="BE151" s="6" t="inlineStr">
        <is>
          <t>Used generative AI tools in the last 3 months</t>
        </is>
      </c>
      <c r="BF151" s="6" t="inlineStr">
        <is>
          <t>2025 survey (Q2, most countries)</t>
        </is>
      </c>
      <c r="BG151" s="6" t="inlineStr">
        <is>
          <t>Eurostat: ICT usage in households and by individuals 2025, dataset isoc_ai_iaiu</t>
        </is>
      </c>
      <c r="BH151" s="6" t="inlineStr">
        <is>
          <t>https://ec.europa.eu/eurostat/databrowser/view/isoc_ai_iaiu/default/table</t>
        </is>
      </c>
    </row>
    <row r="152">
      <c r="A152" s="6" t="inlineStr">
        <is>
          <t>GNB</t>
        </is>
      </c>
      <c r="B152" s="6" t="inlineStr">
        <is>
          <t>Guinea-Bissau</t>
        </is>
      </c>
      <c r="C152" s="6" t="inlineStr">
        <is>
          <t>Sub-Saharan Africa</t>
        </is>
      </c>
      <c r="D152" s="6" t="inlineStr">
        <is>
          <t>Low income</t>
        </is>
      </c>
      <c r="E152" s="29" t="n">
        <v>302862</v>
      </c>
      <c r="F152" s="29" t="n">
        <v>284723</v>
      </c>
      <c r="G152" s="29" t="n">
        <v>274546</v>
      </c>
      <c r="H152" s="29" t="n">
        <v>245565</v>
      </c>
      <c r="I152" s="29" t="n">
        <v>212742</v>
      </c>
      <c r="J152" s="29" t="n">
        <v>184757</v>
      </c>
      <c r="K152" s="29" t="n">
        <v>158744</v>
      </c>
      <c r="L152" s="29" t="n">
        <v>136744</v>
      </c>
      <c r="M152" s="29" t="n">
        <v>116018</v>
      </c>
      <c r="N152" s="29" t="n">
        <v>93526</v>
      </c>
      <c r="O152" s="29" t="n">
        <v>74701</v>
      </c>
      <c r="P152" s="29" t="n">
        <v>52384</v>
      </c>
      <c r="Q152" s="29" t="n">
        <v>39380</v>
      </c>
      <c r="R152" s="29" t="n">
        <v>30903</v>
      </c>
      <c r="S152" s="29" t="n">
        <v>21632</v>
      </c>
      <c r="T152" s="29" t="n">
        <v>11998</v>
      </c>
      <c r="U152" s="29" t="n">
        <v>8291</v>
      </c>
      <c r="V152" s="29" t="n">
        <v>1137218</v>
      </c>
      <c r="W152" s="29" t="n">
        <v>1112298</v>
      </c>
      <c r="X152" s="30">
        <f>SUM(E152:G152)</f>
        <v/>
      </c>
      <c r="Y152" s="30">
        <f>SUM(H152:I152)</f>
        <v/>
      </c>
      <c r="Z152" s="30">
        <f>SUM(J152:K152)</f>
        <v/>
      </c>
      <c r="AA152" s="30">
        <f>SUM(L152:M152)</f>
        <v/>
      </c>
      <c r="AB152" s="30">
        <f>SUM(N152:O152)</f>
        <v/>
      </c>
      <c r="AC152" s="30">
        <f>SUM(P152:Q152)</f>
        <v/>
      </c>
      <c r="AD152" s="30">
        <f>SUM(R152:U152)</f>
        <v/>
      </c>
      <c r="AE152" s="31">
        <f>SUM(X152:AD152)</f>
        <v/>
      </c>
      <c r="AF152" s="32">
        <f>AE152/SUM($AE$5:$AE$222)</f>
        <v/>
      </c>
      <c r="AG152" s="10">
        <f>RANK(AE152,$AE$5:$AE$222)</f>
        <v/>
      </c>
      <c r="AH152" s="29" t="n">
        <v>2201352</v>
      </c>
      <c r="AI152" s="9">
        <f>IF(AH152&gt;0,AE152/AH152-1,"")</f>
        <v/>
      </c>
      <c r="AJ152" s="29" t="n">
        <v>1124</v>
      </c>
      <c r="AK152" s="19">
        <f>IF(SUM($E152:E152)&gt;=AE152/2,0+5*(AE152/2-0)/E152,IF(SUM($E152:F152)&gt;=AE152/2,5+5*(AE152/2-SUM($E152:E152))/F152,IF(SUM($E152:G152)&gt;=AE152/2,10+5*(AE152/2-SUM($E152:F152))/G152,IF(SUM($E152:H152)&gt;=AE152/2,15+5*(AE152/2-SUM($E152:G152))/H152,IF(SUM($E152:I152)&gt;=AE152/2,20+5*(AE152/2-SUM($E152:H152))/I152,IF(SUM($E152:J152)&gt;=AE152/2,25+5*(AE152/2-SUM($E152:I152))/J152,IF(SUM($E152:K152)&gt;=AE152/2,30+5*(AE152/2-SUM($E152:J152))/K152,IF(SUM($E152:L152)&gt;=AE152/2,35+5*(AE152/2-SUM($E152:K152))/L152,IF(SUM($E152:M152)&gt;=AE152/2,40+5*(AE152/2-SUM($E152:L152))/M152,IF(SUM($E152:N152)&gt;=AE152/2,45+5*(AE152/2-SUM($E152:M152))/N152,IF(SUM($E152:O152)&gt;=AE152/2,50+5*(AE152/2-SUM($E152:N152))/O152,IF(SUM($E152:P152)&gt;=AE152/2,55+5*(AE152/2-SUM($E152:O152))/P152,IF(SUM($E152:Q152)&gt;=AE152/2,60+5*(AE152/2-SUM($E152:P152))/Q152,IF(SUM($E152:R152)&gt;=AE152/2,65+5*(AE152/2-SUM($E152:Q152))/R152,IF(SUM($E152:S152)&gt;=AE152/2,70+5*(AE152/2-SUM($E152:R152))/S152,IF(SUM($E152:T152)&gt;=AE152/2,75+5*(AE152/2-SUM($E152:S152))/T152,""))))))))))))))))</f>
        <v/>
      </c>
      <c r="AL152" s="30">
        <f>SUM(H152:Q152)</f>
        <v/>
      </c>
      <c r="AM152" s="24" t="n">
        <v>0.08699999999999999</v>
      </c>
      <c r="AN152" s="24" t="n">
        <v>0.104</v>
      </c>
      <c r="AO152" s="33">
        <f>IF(AND(ISNUMBER(AN152),ISNUMBER(AM152)),(AN152-AM152)*100,"")</f>
        <v/>
      </c>
      <c r="AP152" s="30">
        <f>IF(ISNUMBER(AN152),AN152*AL152,"")</f>
        <v/>
      </c>
      <c r="AQ152" s="30">
        <f>IF(ISNUMBER(AN152),AL152,0)</f>
        <v/>
      </c>
      <c r="BB152" s="30">
        <f>IF(BA152="Yes",AX152,0)</f>
        <v/>
      </c>
      <c r="BC152" s="30">
        <f>IF(AND(BA152="Yes",ISNUMBER(AP152)),AP152,0)</f>
        <v/>
      </c>
      <c r="BD152" s="30">
        <f>IF(BA152="Yes",AX152,IF(ISNUMBER(AP152),AP152,0))</f>
        <v/>
      </c>
    </row>
    <row r="153">
      <c r="A153" s="6" t="inlineStr">
        <is>
          <t>SVN</t>
        </is>
      </c>
      <c r="B153" s="6" t="inlineStr">
        <is>
          <t>Slovenia</t>
        </is>
      </c>
      <c r="C153" s="6" t="inlineStr">
        <is>
          <t>Europe &amp; Central Asia</t>
        </is>
      </c>
      <c r="D153" s="6" t="inlineStr">
        <is>
          <t>High income</t>
        </is>
      </c>
      <c r="E153" s="29" t="n">
        <v>92472</v>
      </c>
      <c r="F153" s="29" t="n">
        <v>103570</v>
      </c>
      <c r="G153" s="29" t="n">
        <v>112573</v>
      </c>
      <c r="H153" s="29" t="n">
        <v>111116</v>
      </c>
      <c r="I153" s="29" t="n">
        <v>100614</v>
      </c>
      <c r="J153" s="29" t="n">
        <v>109793</v>
      </c>
      <c r="K153" s="29" t="n">
        <v>119230</v>
      </c>
      <c r="L153" s="29" t="n">
        <v>139945</v>
      </c>
      <c r="M153" s="29" t="n">
        <v>154683</v>
      </c>
      <c r="N153" s="29" t="n">
        <v>163696</v>
      </c>
      <c r="O153" s="29" t="n">
        <v>152001</v>
      </c>
      <c r="P153" s="29" t="n">
        <v>150093</v>
      </c>
      <c r="Q153" s="29" t="n">
        <v>147884</v>
      </c>
      <c r="R153" s="29" t="n">
        <v>137573</v>
      </c>
      <c r="S153" s="29" t="n">
        <v>126360</v>
      </c>
      <c r="T153" s="29" t="n">
        <v>89791</v>
      </c>
      <c r="U153" s="29" t="n">
        <v>119592</v>
      </c>
      <c r="V153" s="29" t="n">
        <v>1059206</v>
      </c>
      <c r="W153" s="29" t="n">
        <v>1071780</v>
      </c>
      <c r="X153" s="30">
        <f>SUM(E153:G153)</f>
        <v/>
      </c>
      <c r="Y153" s="30">
        <f>SUM(H153:I153)</f>
        <v/>
      </c>
      <c r="Z153" s="30">
        <f>SUM(J153:K153)</f>
        <v/>
      </c>
      <c r="AA153" s="30">
        <f>SUM(L153:M153)</f>
        <v/>
      </c>
      <c r="AB153" s="30">
        <f>SUM(N153:O153)</f>
        <v/>
      </c>
      <c r="AC153" s="30">
        <f>SUM(P153:Q153)</f>
        <v/>
      </c>
      <c r="AD153" s="30">
        <f>SUM(R153:U153)</f>
        <v/>
      </c>
      <c r="AE153" s="31">
        <f>SUM(X153:AD153)</f>
        <v/>
      </c>
      <c r="AF153" s="32">
        <f>AE153/SUM($AE$5:$AE$222)</f>
        <v/>
      </c>
      <c r="AG153" s="10">
        <f>RANK(AE153,$AE$5:$AE$222)</f>
        <v/>
      </c>
      <c r="AH153" s="29" t="n">
        <v>2127400</v>
      </c>
      <c r="AI153" s="9">
        <f>IF(AH153&gt;0,AE153/AH153-1,"")</f>
        <v/>
      </c>
      <c r="AJ153" s="29" t="n">
        <v>37376</v>
      </c>
      <c r="AK153" s="19">
        <f>IF(SUM($E153:E153)&gt;=AE153/2,0+5*(AE153/2-0)/E153,IF(SUM($E153:F153)&gt;=AE153/2,5+5*(AE153/2-SUM($E153:E153))/F153,IF(SUM($E153:G153)&gt;=AE153/2,10+5*(AE153/2-SUM($E153:F153))/G153,IF(SUM($E153:H153)&gt;=AE153/2,15+5*(AE153/2-SUM($E153:G153))/H153,IF(SUM($E153:I153)&gt;=AE153/2,20+5*(AE153/2-SUM($E153:H153))/I153,IF(SUM($E153:J153)&gt;=AE153/2,25+5*(AE153/2-SUM($E153:I153))/J153,IF(SUM($E153:K153)&gt;=AE153/2,30+5*(AE153/2-SUM($E153:J153))/K153,IF(SUM($E153:L153)&gt;=AE153/2,35+5*(AE153/2-SUM($E153:K153))/L153,IF(SUM($E153:M153)&gt;=AE153/2,40+5*(AE153/2-SUM($E153:L153))/M153,IF(SUM($E153:N153)&gt;=AE153/2,45+5*(AE153/2-SUM($E153:M153))/N153,IF(SUM($E153:O153)&gt;=AE153/2,50+5*(AE153/2-SUM($E153:N153))/O153,IF(SUM($E153:P153)&gt;=AE153/2,55+5*(AE153/2-SUM($E153:O153))/P153,IF(SUM($E153:Q153)&gt;=AE153/2,60+5*(AE153/2-SUM($E153:P153))/Q153,IF(SUM($E153:R153)&gt;=AE153/2,65+5*(AE153/2-SUM($E153:Q153))/R153,IF(SUM($E153:S153)&gt;=AE153/2,70+5*(AE153/2-SUM($E153:R153))/S153,IF(SUM($E153:T153)&gt;=AE153/2,75+5*(AE153/2-SUM($E153:S153))/T153,""))))))))))))))))</f>
        <v/>
      </c>
      <c r="AL153" s="30">
        <f>SUM(H153:Q153)</f>
        <v/>
      </c>
      <c r="AM153" s="24" t="n">
        <v>0.246</v>
      </c>
      <c r="AN153" s="24" t="n">
        <v>0.301</v>
      </c>
      <c r="AO153" s="33">
        <f>IF(AND(ISNUMBER(AN153),ISNUMBER(AM153)),(AN153-AM153)*100,"")</f>
        <v/>
      </c>
      <c r="AP153" s="30">
        <f>IF(ISNUMBER(AN153),AN153*AL153,"")</f>
        <v/>
      </c>
      <c r="AQ153" s="30">
        <f>IF(ISNUMBER(AN153),AL153,0)</f>
        <v/>
      </c>
      <c r="AR153" s="24" t="n">
        <v>0.3756</v>
      </c>
      <c r="AS153" s="6" t="inlineStr">
        <is>
          <t>population</t>
        </is>
      </c>
      <c r="AT153" s="6" t="inlineStr">
        <is>
          <t>16-74</t>
        </is>
      </c>
      <c r="AU153" s="24" t="n">
        <v>1</v>
      </c>
      <c r="AV153" s="30">
        <f>H153*0.8+I153+J153+K153+L153+M153+N153+O153+P153+Q153+R153+S153</f>
        <v/>
      </c>
      <c r="AX153" s="30">
        <f>IF(ISNUMBER(AW153),AW153,AR153*AU153*AV153)</f>
        <v/>
      </c>
      <c r="AY153" s="34">
        <f>AX153/AV153</f>
        <v/>
      </c>
      <c r="AZ153" s="6" t="inlineStr">
        <is>
          <t>A</t>
        </is>
      </c>
      <c r="BA153" s="6" t="inlineStr">
        <is>
          <t>Yes</t>
        </is>
      </c>
      <c r="BB153" s="30">
        <f>IF(BA153="Yes",AX153,0)</f>
        <v/>
      </c>
      <c r="BC153" s="30">
        <f>IF(AND(BA153="Yes",ISNUMBER(AP153)),AP153,0)</f>
        <v/>
      </c>
      <c r="BD153" s="30">
        <f>IF(BA153="Yes",AX153,IF(ISNUMBER(AP153),AP153,0))</f>
        <v/>
      </c>
      <c r="BE153" s="6" t="inlineStr">
        <is>
          <t>Used generative AI tools in the last 3 months</t>
        </is>
      </c>
      <c r="BF153" s="6" t="inlineStr">
        <is>
          <t>2025 survey (Q2, most countries)</t>
        </is>
      </c>
      <c r="BG153" s="6" t="inlineStr">
        <is>
          <t>Eurostat: ICT usage in households and by individuals 2025, dataset isoc_ai_iaiu</t>
        </is>
      </c>
      <c r="BH153" s="6" t="inlineStr">
        <is>
          <t>https://ec.europa.eu/eurostat/databrowser/view/isoc_ai_iaiu/default/table</t>
        </is>
      </c>
    </row>
    <row r="154">
      <c r="A154" s="6" t="inlineStr">
        <is>
          <t>GNQ</t>
        </is>
      </c>
      <c r="B154" s="6" t="inlineStr">
        <is>
          <t>Equatorial Guinea</t>
        </is>
      </c>
      <c r="C154" s="6" t="inlineStr">
        <is>
          <t>Sub-Saharan Africa</t>
        </is>
      </c>
      <c r="D154" s="6" t="inlineStr">
        <is>
          <t>Upper middle income</t>
        </is>
      </c>
      <c r="E154" s="29" t="n">
        <v>259785</v>
      </c>
      <c r="F154" s="29" t="n">
        <v>240340</v>
      </c>
      <c r="G154" s="29" t="n">
        <v>218771</v>
      </c>
      <c r="H154" s="29" t="n">
        <v>188042</v>
      </c>
      <c r="I154" s="29" t="n">
        <v>154637</v>
      </c>
      <c r="J154" s="29" t="n">
        <v>135424</v>
      </c>
      <c r="K154" s="29" t="n">
        <v>137996</v>
      </c>
      <c r="L154" s="29" t="n">
        <v>140623</v>
      </c>
      <c r="M154" s="29" t="n">
        <v>116233</v>
      </c>
      <c r="N154" s="29" t="n">
        <v>92087</v>
      </c>
      <c r="O154" s="29" t="n">
        <v>75009</v>
      </c>
      <c r="P154" s="29" t="n">
        <v>58931</v>
      </c>
      <c r="Q154" s="29" t="n">
        <v>47587</v>
      </c>
      <c r="R154" s="29" t="n">
        <v>31878</v>
      </c>
      <c r="S154" s="29" t="n">
        <v>21625</v>
      </c>
      <c r="T154" s="29" t="n">
        <v>11211</v>
      </c>
      <c r="U154" s="29" t="n">
        <v>8252</v>
      </c>
      <c r="V154" s="29" t="n">
        <v>917139</v>
      </c>
      <c r="W154" s="29" t="n">
        <v>1021292</v>
      </c>
      <c r="X154" s="30">
        <f>SUM(E154:G154)</f>
        <v/>
      </c>
      <c r="Y154" s="30">
        <f>SUM(H154:I154)</f>
        <v/>
      </c>
      <c r="Z154" s="30">
        <f>SUM(J154:K154)</f>
        <v/>
      </c>
      <c r="AA154" s="30">
        <f>SUM(L154:M154)</f>
        <v/>
      </c>
      <c r="AB154" s="30">
        <f>SUM(N154:O154)</f>
        <v/>
      </c>
      <c r="AC154" s="30">
        <f>SUM(P154:Q154)</f>
        <v/>
      </c>
      <c r="AD154" s="30">
        <f>SUM(R154:U154)</f>
        <v/>
      </c>
      <c r="AE154" s="31">
        <f>SUM(X154:AD154)</f>
        <v/>
      </c>
      <c r="AF154" s="32">
        <f>AE154/SUM($AE$5:$AE$222)</f>
        <v/>
      </c>
      <c r="AG154" s="10">
        <f>RANK(AE154,$AE$5:$AE$222)</f>
        <v/>
      </c>
      <c r="AH154" s="29" t="n">
        <v>1892516</v>
      </c>
      <c r="AI154" s="9">
        <f>IF(AH154&gt;0,AE154/AH154-1,"")</f>
        <v/>
      </c>
      <c r="AJ154" s="29" t="n">
        <v>6615</v>
      </c>
      <c r="AK154" s="19">
        <f>IF(SUM($E154:E154)&gt;=AE154/2,0+5*(AE154/2-0)/E154,IF(SUM($E154:F154)&gt;=AE154/2,5+5*(AE154/2-SUM($E154:E154))/F154,IF(SUM($E154:G154)&gt;=AE154/2,10+5*(AE154/2-SUM($E154:F154))/G154,IF(SUM($E154:H154)&gt;=AE154/2,15+5*(AE154/2-SUM($E154:G154))/H154,IF(SUM($E154:I154)&gt;=AE154/2,20+5*(AE154/2-SUM($E154:H154))/I154,IF(SUM($E154:J154)&gt;=AE154/2,25+5*(AE154/2-SUM($E154:I154))/J154,IF(SUM($E154:K154)&gt;=AE154/2,30+5*(AE154/2-SUM($E154:J154))/K154,IF(SUM($E154:L154)&gt;=AE154/2,35+5*(AE154/2-SUM($E154:K154))/L154,IF(SUM($E154:M154)&gt;=AE154/2,40+5*(AE154/2-SUM($E154:L154))/M154,IF(SUM($E154:N154)&gt;=AE154/2,45+5*(AE154/2-SUM($E154:M154))/N154,IF(SUM($E154:O154)&gt;=AE154/2,50+5*(AE154/2-SUM($E154:N154))/O154,IF(SUM($E154:P154)&gt;=AE154/2,55+5*(AE154/2-SUM($E154:O154))/P154,IF(SUM($E154:Q154)&gt;=AE154/2,60+5*(AE154/2-SUM($E154:P154))/Q154,IF(SUM($E154:R154)&gt;=AE154/2,65+5*(AE154/2-SUM($E154:Q154))/R154,IF(SUM($E154:S154)&gt;=AE154/2,70+5*(AE154/2-SUM($E154:R154))/S154,IF(SUM($E154:T154)&gt;=AE154/2,75+5*(AE154/2-SUM($E154:S154))/T154,""))))))))))))))))</f>
        <v/>
      </c>
      <c r="AL154" s="30">
        <f>SUM(H154:Q154)</f>
        <v/>
      </c>
      <c r="AM154" s="36" t="n"/>
      <c r="AN154" s="36" t="n"/>
      <c r="AO154" s="33">
        <f>IF(AND(ISNUMBER(AN154),ISNUMBER(AM154)),(AN154-AM154)*100,"")</f>
        <v/>
      </c>
      <c r="AP154" s="30">
        <f>IF(ISNUMBER(AN154),AN154*AL154,"")</f>
        <v/>
      </c>
      <c r="AQ154" s="30">
        <f>IF(ISNUMBER(AN154),AL154,0)</f>
        <v/>
      </c>
      <c r="BB154" s="30">
        <f>IF(BA154="Yes",AX154,0)</f>
        <v/>
      </c>
      <c r="BC154" s="30">
        <f>IF(AND(BA154="Yes",ISNUMBER(AP154)),AP154,0)</f>
        <v/>
      </c>
      <c r="BD154" s="30">
        <f>IF(BA154="Yes",AX154,IF(ISNUMBER(AP154),AP154,0))</f>
        <v/>
      </c>
    </row>
    <row r="155">
      <c r="A155" s="6" t="inlineStr">
        <is>
          <t>LVA</t>
        </is>
      </c>
      <c r="B155" s="6" t="inlineStr">
        <is>
          <t>Latvia</t>
        </is>
      </c>
      <c r="C155" s="6" t="inlineStr">
        <is>
          <t>Europe &amp; Central Asia</t>
        </is>
      </c>
      <c r="D155" s="6" t="inlineStr">
        <is>
          <t>High income</t>
        </is>
      </c>
      <c r="E155" s="29" t="n">
        <v>76973</v>
      </c>
      <c r="F155" s="29" t="n">
        <v>101449</v>
      </c>
      <c r="G155" s="29" t="n">
        <v>102205</v>
      </c>
      <c r="H155" s="29" t="n">
        <v>102767</v>
      </c>
      <c r="I155" s="29" t="n">
        <v>89440</v>
      </c>
      <c r="J155" s="29" t="n">
        <v>83073</v>
      </c>
      <c r="K155" s="29" t="n">
        <v>110996</v>
      </c>
      <c r="L155" s="29" t="n">
        <v>137034</v>
      </c>
      <c r="M155" s="29" t="n">
        <v>130692</v>
      </c>
      <c r="N155" s="29" t="n">
        <v>121968</v>
      </c>
      <c r="O155" s="29" t="n">
        <v>128743</v>
      </c>
      <c r="P155" s="29" t="n">
        <v>123632</v>
      </c>
      <c r="Q155" s="29" t="n">
        <v>128697</v>
      </c>
      <c r="R155" s="29" t="n">
        <v>122082</v>
      </c>
      <c r="S155" s="29" t="n">
        <v>97490</v>
      </c>
      <c r="T155" s="29" t="n">
        <v>76624</v>
      </c>
      <c r="U155" s="29" t="n">
        <v>113921</v>
      </c>
      <c r="V155" s="29" t="n">
        <v>990297</v>
      </c>
      <c r="W155" s="29" t="n">
        <v>857489</v>
      </c>
      <c r="X155" s="30">
        <f>SUM(E155:G155)</f>
        <v/>
      </c>
      <c r="Y155" s="30">
        <f>SUM(H155:I155)</f>
        <v/>
      </c>
      <c r="Z155" s="30">
        <f>SUM(J155:K155)</f>
        <v/>
      </c>
      <c r="AA155" s="30">
        <f>SUM(L155:M155)</f>
        <v/>
      </c>
      <c r="AB155" s="30">
        <f>SUM(N155:O155)</f>
        <v/>
      </c>
      <c r="AC155" s="30">
        <f>SUM(P155:Q155)</f>
        <v/>
      </c>
      <c r="AD155" s="30">
        <f>SUM(R155:U155)</f>
        <v/>
      </c>
      <c r="AE155" s="31">
        <f>SUM(X155:AD155)</f>
        <v/>
      </c>
      <c r="AF155" s="32">
        <f>AE155/SUM($AE$5:$AE$222)</f>
        <v/>
      </c>
      <c r="AG155" s="10">
        <f>RANK(AE155,$AE$5:$AE$222)</f>
        <v/>
      </c>
      <c r="AH155" s="29" t="n">
        <v>1866124</v>
      </c>
      <c r="AI155" s="9">
        <f>IF(AH155&gt;0,AE155/AH155-1,"")</f>
        <v/>
      </c>
      <c r="AJ155" s="29" t="n">
        <v>26312</v>
      </c>
      <c r="AK155" s="19">
        <f>IF(SUM($E155:E155)&gt;=AE155/2,0+5*(AE155/2-0)/E155,IF(SUM($E155:F155)&gt;=AE155/2,5+5*(AE155/2-SUM($E155:E155))/F155,IF(SUM($E155:G155)&gt;=AE155/2,10+5*(AE155/2-SUM($E155:F155))/G155,IF(SUM($E155:H155)&gt;=AE155/2,15+5*(AE155/2-SUM($E155:G155))/H155,IF(SUM($E155:I155)&gt;=AE155/2,20+5*(AE155/2-SUM($E155:H155))/I155,IF(SUM($E155:J155)&gt;=AE155/2,25+5*(AE155/2-SUM($E155:I155))/J155,IF(SUM($E155:K155)&gt;=AE155/2,30+5*(AE155/2-SUM($E155:J155))/K155,IF(SUM($E155:L155)&gt;=AE155/2,35+5*(AE155/2-SUM($E155:K155))/L155,IF(SUM($E155:M155)&gt;=AE155/2,40+5*(AE155/2-SUM($E155:L155))/M155,IF(SUM($E155:N155)&gt;=AE155/2,45+5*(AE155/2-SUM($E155:M155))/N155,IF(SUM($E155:O155)&gt;=AE155/2,50+5*(AE155/2-SUM($E155:N155))/O155,IF(SUM($E155:P155)&gt;=AE155/2,55+5*(AE155/2-SUM($E155:O155))/P155,IF(SUM($E155:Q155)&gt;=AE155/2,60+5*(AE155/2-SUM($E155:P155))/Q155,IF(SUM($E155:R155)&gt;=AE155/2,65+5*(AE155/2-SUM($E155:Q155))/R155,IF(SUM($E155:S155)&gt;=AE155/2,70+5*(AE155/2-SUM($E155:R155))/S155,IF(SUM($E155:T155)&gt;=AE155/2,75+5*(AE155/2-SUM($E155:S155))/T155,""))))))))))))))))</f>
        <v/>
      </c>
      <c r="AL155" s="30">
        <f>SUM(H155:Q155)</f>
        <v/>
      </c>
      <c r="AM155" s="36" t="n"/>
      <c r="AN155" s="36" t="n"/>
      <c r="AO155" s="33">
        <f>IF(AND(ISNUMBER(AN155),ISNUMBER(AM155)),(AN155-AM155)*100,"")</f>
        <v/>
      </c>
      <c r="AP155" s="30">
        <f>IF(ISNUMBER(AN155),AN155*AL155,"")</f>
        <v/>
      </c>
      <c r="AQ155" s="30">
        <f>IF(ISNUMBER(AN155),AL155,0)</f>
        <v/>
      </c>
      <c r="AR155" s="24" t="n">
        <v>0.334</v>
      </c>
      <c r="AS155" s="6" t="inlineStr">
        <is>
          <t>population</t>
        </is>
      </c>
      <c r="AT155" s="6" t="inlineStr">
        <is>
          <t>16-74</t>
        </is>
      </c>
      <c r="AU155" s="24" t="n">
        <v>1</v>
      </c>
      <c r="AV155" s="30">
        <f>H155*0.8+I155+J155+K155+L155+M155+N155+O155+P155+Q155+R155+S155</f>
        <v/>
      </c>
      <c r="AX155" s="30">
        <f>IF(ISNUMBER(AW155),AW155,AR155*AU155*AV155)</f>
        <v/>
      </c>
      <c r="AY155" s="34">
        <f>AX155/AV155</f>
        <v/>
      </c>
      <c r="AZ155" s="6" t="inlineStr">
        <is>
          <t>A</t>
        </is>
      </c>
      <c r="BA155" s="6" t="inlineStr">
        <is>
          <t>Yes</t>
        </is>
      </c>
      <c r="BB155" s="30">
        <f>IF(BA155="Yes",AX155,0)</f>
        <v/>
      </c>
      <c r="BC155" s="30">
        <f>IF(AND(BA155="Yes",ISNUMBER(AP155)),AP155,0)</f>
        <v/>
      </c>
      <c r="BD155" s="30">
        <f>IF(BA155="Yes",AX155,IF(ISNUMBER(AP155),AP155,0))</f>
        <v/>
      </c>
      <c r="BE155" s="6" t="inlineStr">
        <is>
          <t>Used generative AI tools in the last 3 months</t>
        </is>
      </c>
      <c r="BF155" s="6" t="inlineStr">
        <is>
          <t>2025 survey (Q2, most countries)</t>
        </is>
      </c>
      <c r="BG155" s="6" t="inlineStr">
        <is>
          <t>Eurostat: ICT usage in households and by individuals 2025, dataset isoc_ai_iaiu</t>
        </is>
      </c>
      <c r="BH155" s="6" t="inlineStr">
        <is>
          <t>https://ec.europa.eu/eurostat/databrowser/view/isoc_ai_iaiu/default/table</t>
        </is>
      </c>
    </row>
    <row r="156">
      <c r="A156" s="6" t="inlineStr">
        <is>
          <t>MKD</t>
        </is>
      </c>
      <c r="B156" s="6" t="inlineStr">
        <is>
          <t>North Macedonia</t>
        </is>
      </c>
      <c r="C156" s="6" t="inlineStr">
        <is>
          <t>Europe &amp; Central Asia</t>
        </is>
      </c>
      <c r="D156" s="6" t="inlineStr">
        <is>
          <t>Upper middle income</t>
        </is>
      </c>
      <c r="E156" s="29" t="n">
        <v>87900</v>
      </c>
      <c r="F156" s="29" t="n">
        <v>102936</v>
      </c>
      <c r="G156" s="29" t="n">
        <v>110155</v>
      </c>
      <c r="H156" s="29" t="n">
        <v>104630</v>
      </c>
      <c r="I156" s="29" t="n">
        <v>103584</v>
      </c>
      <c r="J156" s="29" t="n">
        <v>107797</v>
      </c>
      <c r="K156" s="29" t="n">
        <v>118475</v>
      </c>
      <c r="L156" s="29" t="n">
        <v>123686</v>
      </c>
      <c r="M156" s="29" t="n">
        <v>128011</v>
      </c>
      <c r="N156" s="29" t="n">
        <v>127529</v>
      </c>
      <c r="O156" s="29" t="n">
        <v>123898</v>
      </c>
      <c r="P156" s="29" t="n">
        <v>123210</v>
      </c>
      <c r="Q156" s="29" t="n">
        <v>121795</v>
      </c>
      <c r="R156" s="29" t="n">
        <v>114316</v>
      </c>
      <c r="S156" s="29" t="n">
        <v>97637</v>
      </c>
      <c r="T156" s="29" t="n">
        <v>64734</v>
      </c>
      <c r="U156" s="29" t="n">
        <v>60613</v>
      </c>
      <c r="V156" s="29" t="n">
        <v>934810</v>
      </c>
      <c r="W156" s="29" t="n">
        <v>886096</v>
      </c>
      <c r="X156" s="30">
        <f>SUM(E156:G156)</f>
        <v/>
      </c>
      <c r="Y156" s="30">
        <f>SUM(H156:I156)</f>
        <v/>
      </c>
      <c r="Z156" s="30">
        <f>SUM(J156:K156)</f>
        <v/>
      </c>
      <c r="AA156" s="30">
        <f>SUM(L156:M156)</f>
        <v/>
      </c>
      <c r="AB156" s="30">
        <f>SUM(N156:O156)</f>
        <v/>
      </c>
      <c r="AC156" s="30">
        <f>SUM(P156:Q156)</f>
        <v/>
      </c>
      <c r="AD156" s="30">
        <f>SUM(R156:U156)</f>
        <v/>
      </c>
      <c r="AE156" s="31">
        <f>SUM(X156:AD156)</f>
        <v/>
      </c>
      <c r="AF156" s="32">
        <f>AE156/SUM($AE$5:$AE$222)</f>
        <v/>
      </c>
      <c r="AG156" s="10">
        <f>RANK(AE156,$AE$5:$AE$222)</f>
        <v/>
      </c>
      <c r="AH156" s="29" t="n">
        <v>1824359</v>
      </c>
      <c r="AI156" s="9">
        <f>IF(AH156&gt;0,AE156/AH156-1,"")</f>
        <v/>
      </c>
      <c r="AJ156" s="29" t="n">
        <v>10490</v>
      </c>
      <c r="AK156" s="19">
        <f>IF(SUM($E156:E156)&gt;=AE156/2,0+5*(AE156/2-0)/E156,IF(SUM($E156:F156)&gt;=AE156/2,5+5*(AE156/2-SUM($E156:E156))/F156,IF(SUM($E156:G156)&gt;=AE156/2,10+5*(AE156/2-SUM($E156:F156))/G156,IF(SUM($E156:H156)&gt;=AE156/2,15+5*(AE156/2-SUM($E156:G156))/H156,IF(SUM($E156:I156)&gt;=AE156/2,20+5*(AE156/2-SUM($E156:H156))/I156,IF(SUM($E156:J156)&gt;=AE156/2,25+5*(AE156/2-SUM($E156:I156))/J156,IF(SUM($E156:K156)&gt;=AE156/2,30+5*(AE156/2-SUM($E156:J156))/K156,IF(SUM($E156:L156)&gt;=AE156/2,35+5*(AE156/2-SUM($E156:K156))/L156,IF(SUM($E156:M156)&gt;=AE156/2,40+5*(AE156/2-SUM($E156:L156))/M156,IF(SUM($E156:N156)&gt;=AE156/2,45+5*(AE156/2-SUM($E156:M156))/N156,IF(SUM($E156:O156)&gt;=AE156/2,50+5*(AE156/2-SUM($E156:N156))/O156,IF(SUM($E156:P156)&gt;=AE156/2,55+5*(AE156/2-SUM($E156:O156))/P156,IF(SUM($E156:Q156)&gt;=AE156/2,60+5*(AE156/2-SUM($E156:P156))/Q156,IF(SUM($E156:R156)&gt;=AE156/2,65+5*(AE156/2-SUM($E156:Q156))/R156,IF(SUM($E156:S156)&gt;=AE156/2,70+5*(AE156/2-SUM($E156:R156))/S156,IF(SUM($E156:T156)&gt;=AE156/2,75+5*(AE156/2-SUM($E156:S156))/T156,""))))))))))))))))</f>
        <v/>
      </c>
      <c r="AL156" s="30">
        <f>SUM(H156:Q156)</f>
        <v/>
      </c>
      <c r="AM156" s="36" t="n"/>
      <c r="AN156" s="36" t="n"/>
      <c r="AO156" s="33">
        <f>IF(AND(ISNUMBER(AN156),ISNUMBER(AM156)),(AN156-AM156)*100,"")</f>
        <v/>
      </c>
      <c r="AP156" s="30">
        <f>IF(ISNUMBER(AN156),AN156*AL156,"")</f>
        <v/>
      </c>
      <c r="AQ156" s="30">
        <f>IF(ISNUMBER(AN156),AL156,0)</f>
        <v/>
      </c>
      <c r="AR156" s="24" t="n">
        <v>0.2203</v>
      </c>
      <c r="AS156" s="6" t="inlineStr">
        <is>
          <t>population</t>
        </is>
      </c>
      <c r="AT156" s="6" t="inlineStr">
        <is>
          <t>16-74</t>
        </is>
      </c>
      <c r="AU156" s="24" t="n">
        <v>1</v>
      </c>
      <c r="AV156" s="30">
        <f>H156*0.8+I156+J156+K156+L156+M156+N156+O156+P156+Q156+R156+S156</f>
        <v/>
      </c>
      <c r="AX156" s="30">
        <f>IF(ISNUMBER(AW156),AW156,AR156*AU156*AV156)</f>
        <v/>
      </c>
      <c r="AY156" s="34">
        <f>AX156/AV156</f>
        <v/>
      </c>
      <c r="AZ156" s="6" t="inlineStr">
        <is>
          <t>A</t>
        </is>
      </c>
      <c r="BA156" s="6" t="inlineStr">
        <is>
          <t>Yes</t>
        </is>
      </c>
      <c r="BB156" s="30">
        <f>IF(BA156="Yes",AX156,0)</f>
        <v/>
      </c>
      <c r="BC156" s="30">
        <f>IF(AND(BA156="Yes",ISNUMBER(AP156)),AP156,0)</f>
        <v/>
      </c>
      <c r="BD156" s="30">
        <f>IF(BA156="Yes",AX156,IF(ISNUMBER(AP156),AP156,0))</f>
        <v/>
      </c>
      <c r="BE156" s="6" t="inlineStr">
        <is>
          <t>Used generative AI tools in the last 3 months</t>
        </is>
      </c>
      <c r="BF156" s="6" t="inlineStr">
        <is>
          <t>2025 survey (Q2, most countries)</t>
        </is>
      </c>
      <c r="BG156" s="6" t="inlineStr">
        <is>
          <t>Eurostat: ICT usage in households and by individuals 2025, dataset isoc_ai_iaiu</t>
        </is>
      </c>
      <c r="BH156" s="6" t="inlineStr">
        <is>
          <t>https://ec.europa.eu/eurostat/databrowser/view/isoc_ai_iaiu/default/table</t>
        </is>
      </c>
    </row>
    <row r="157">
      <c r="A157" s="6" t="inlineStr">
        <is>
          <t>BHR</t>
        </is>
      </c>
      <c r="B157" s="6" t="inlineStr">
        <is>
          <t>Bahrain</t>
        </is>
      </c>
      <c r="C157" s="6" t="inlineStr">
        <is>
          <t>Middle East, North Africa, Afghanistan &amp; Pakistan</t>
        </is>
      </c>
      <c r="D157" s="6" t="inlineStr">
        <is>
          <t>High income</t>
        </is>
      </c>
      <c r="E157" s="29" t="n">
        <v>94756</v>
      </c>
      <c r="F157" s="29" t="n">
        <v>101207</v>
      </c>
      <c r="G157" s="29" t="n">
        <v>98830</v>
      </c>
      <c r="H157" s="29" t="n">
        <v>88501</v>
      </c>
      <c r="I157" s="29" t="n">
        <v>107848</v>
      </c>
      <c r="J157" s="29" t="n">
        <v>144526</v>
      </c>
      <c r="K157" s="29" t="n">
        <v>191980</v>
      </c>
      <c r="L157" s="29" t="n">
        <v>212124</v>
      </c>
      <c r="M157" s="29" t="n">
        <v>172158</v>
      </c>
      <c r="N157" s="29" t="n">
        <v>125588</v>
      </c>
      <c r="O157" s="29" t="n">
        <v>89627</v>
      </c>
      <c r="P157" s="29" t="n">
        <v>63548</v>
      </c>
      <c r="Q157" s="29" t="n">
        <v>45402</v>
      </c>
      <c r="R157" s="29" t="n">
        <v>29944</v>
      </c>
      <c r="S157" s="29" t="n">
        <v>16154</v>
      </c>
      <c r="T157" s="29" t="n">
        <v>8349</v>
      </c>
      <c r="U157" s="29" t="n">
        <v>9822</v>
      </c>
      <c r="V157" s="29" t="n">
        <v>607513</v>
      </c>
      <c r="W157" s="29" t="n">
        <v>992851</v>
      </c>
      <c r="X157" s="30">
        <f>SUM(E157:G157)</f>
        <v/>
      </c>
      <c r="Y157" s="30">
        <f>SUM(H157:I157)</f>
        <v/>
      </c>
      <c r="Z157" s="30">
        <f>SUM(J157:K157)</f>
        <v/>
      </c>
      <c r="AA157" s="30">
        <f>SUM(L157:M157)</f>
        <v/>
      </c>
      <c r="AB157" s="30">
        <f>SUM(N157:O157)</f>
        <v/>
      </c>
      <c r="AC157" s="30">
        <f>SUM(P157:Q157)</f>
        <v/>
      </c>
      <c r="AD157" s="30">
        <f>SUM(R157:U157)</f>
        <v/>
      </c>
      <c r="AE157" s="31">
        <f>SUM(X157:AD157)</f>
        <v/>
      </c>
      <c r="AF157" s="32">
        <f>AE157/SUM($AE$5:$AE$222)</f>
        <v/>
      </c>
      <c r="AG157" s="10">
        <f>RANK(AE157,$AE$5:$AE$222)</f>
        <v/>
      </c>
      <c r="AH157" s="29" t="n">
        <v>1588670</v>
      </c>
      <c r="AI157" s="9">
        <f>IF(AH157&gt;0,AE157/AH157-1,"")</f>
        <v/>
      </c>
      <c r="AJ157" s="29" t="n">
        <v>30597</v>
      </c>
      <c r="AK157" s="19">
        <f>IF(SUM($E157:E157)&gt;=AE157/2,0+5*(AE157/2-0)/E157,IF(SUM($E157:F157)&gt;=AE157/2,5+5*(AE157/2-SUM($E157:E157))/F157,IF(SUM($E157:G157)&gt;=AE157/2,10+5*(AE157/2-SUM($E157:F157))/G157,IF(SUM($E157:H157)&gt;=AE157/2,15+5*(AE157/2-SUM($E157:G157))/H157,IF(SUM($E157:I157)&gt;=AE157/2,20+5*(AE157/2-SUM($E157:H157))/I157,IF(SUM($E157:J157)&gt;=AE157/2,25+5*(AE157/2-SUM($E157:I157))/J157,IF(SUM($E157:K157)&gt;=AE157/2,30+5*(AE157/2-SUM($E157:J157))/K157,IF(SUM($E157:L157)&gt;=AE157/2,35+5*(AE157/2-SUM($E157:K157))/L157,IF(SUM($E157:M157)&gt;=AE157/2,40+5*(AE157/2-SUM($E157:L157))/M157,IF(SUM($E157:N157)&gt;=AE157/2,45+5*(AE157/2-SUM($E157:M157))/N157,IF(SUM($E157:O157)&gt;=AE157/2,50+5*(AE157/2-SUM($E157:N157))/O157,IF(SUM($E157:P157)&gt;=AE157/2,55+5*(AE157/2-SUM($E157:O157))/P157,IF(SUM($E157:Q157)&gt;=AE157/2,60+5*(AE157/2-SUM($E157:P157))/Q157,IF(SUM($E157:R157)&gt;=AE157/2,65+5*(AE157/2-SUM($E157:Q157))/R157,IF(SUM($E157:S157)&gt;=AE157/2,70+5*(AE157/2-SUM($E157:R157))/S157,IF(SUM($E157:T157)&gt;=AE157/2,75+5*(AE157/2-SUM($E157:S157))/T157,""))))))))))))))))</f>
        <v/>
      </c>
      <c r="AL157" s="30">
        <f>SUM(H157:Q157)</f>
        <v/>
      </c>
      <c r="AM157" s="36" t="n"/>
      <c r="AN157" s="36" t="n"/>
      <c r="AO157" s="33">
        <f>IF(AND(ISNUMBER(AN157),ISNUMBER(AM157)),(AN157-AM157)*100,"")</f>
        <v/>
      </c>
      <c r="AP157" s="30">
        <f>IF(ISNUMBER(AN157),AN157*AL157,"")</f>
        <v/>
      </c>
      <c r="AQ157" s="30">
        <f>IF(ISNUMBER(AN157),AL157,0)</f>
        <v/>
      </c>
      <c r="BB157" s="30">
        <f>IF(BA157="Yes",AX157,0)</f>
        <v/>
      </c>
      <c r="BC157" s="30">
        <f>IF(AND(BA157="Yes",ISNUMBER(AP157)),AP157,0)</f>
        <v/>
      </c>
      <c r="BD157" s="30">
        <f>IF(BA157="Yes",AX157,IF(ISNUMBER(AP157),AP157,0))</f>
        <v/>
      </c>
    </row>
    <row r="158">
      <c r="A158" s="6" t="inlineStr">
        <is>
          <t>XKX</t>
        </is>
      </c>
      <c r="B158" s="6" t="inlineStr">
        <is>
          <t>Kosovo</t>
        </is>
      </c>
      <c r="C158" s="6" t="inlineStr">
        <is>
          <t>Europe &amp; Central Asia</t>
        </is>
      </c>
      <c r="D158" s="6" t="inlineStr">
        <is>
          <t>Upper middle income</t>
        </is>
      </c>
      <c r="E158" s="29" t="n">
        <v>91192</v>
      </c>
      <c r="F158" s="29" t="n">
        <v>97886</v>
      </c>
      <c r="G158" s="29" t="n">
        <v>126084</v>
      </c>
      <c r="H158" s="29" t="n">
        <v>132862</v>
      </c>
      <c r="I158" s="29" t="n">
        <v>135679</v>
      </c>
      <c r="J158" s="29" t="n">
        <v>119940</v>
      </c>
      <c r="K158" s="29" t="n">
        <v>117021</v>
      </c>
      <c r="L158" s="29" t="n">
        <v>115379</v>
      </c>
      <c r="M158" s="29" t="n">
        <v>106937</v>
      </c>
      <c r="N158" s="29" t="n">
        <v>104107</v>
      </c>
      <c r="O158" s="29" t="n">
        <v>99237</v>
      </c>
      <c r="P158" s="29" t="n">
        <v>88624</v>
      </c>
      <c r="Q158" s="29" t="n">
        <v>76201</v>
      </c>
      <c r="R158" s="29" t="n">
        <v>60769</v>
      </c>
      <c r="S158" s="29" t="n">
        <v>45274</v>
      </c>
      <c r="T158" s="29" t="n">
        <v>30348</v>
      </c>
      <c r="U158" s="29" t="n">
        <v>29338</v>
      </c>
      <c r="V158" s="29" t="n">
        <v>801250</v>
      </c>
      <c r="W158" s="29" t="n">
        <v>775628</v>
      </c>
      <c r="X158" s="30">
        <f>SUM(E158:G158)</f>
        <v/>
      </c>
      <c r="Y158" s="30">
        <f>SUM(H158:I158)</f>
        <v/>
      </c>
      <c r="Z158" s="30">
        <f>SUM(J158:K158)</f>
        <v/>
      </c>
      <c r="AA158" s="30">
        <f>SUM(L158:M158)</f>
        <v/>
      </c>
      <c r="AB158" s="30">
        <f>SUM(N158:O158)</f>
        <v/>
      </c>
      <c r="AC158" s="30">
        <f>SUM(P158:Q158)</f>
        <v/>
      </c>
      <c r="AD158" s="30">
        <f>SUM(R158:U158)</f>
        <v/>
      </c>
      <c r="AE158" s="31">
        <f>SUM(X158:AD158)</f>
        <v/>
      </c>
      <c r="AF158" s="32">
        <f>AE158/SUM($AE$5:$AE$222)</f>
        <v/>
      </c>
      <c r="AG158" s="10">
        <f>RANK(AE158,$AE$5:$AE$222)</f>
        <v/>
      </c>
      <c r="AH158" s="29" t="n">
        <v>1594353</v>
      </c>
      <c r="AI158" s="9">
        <f>IF(AH158&gt;0,AE158/AH158-1,"")</f>
        <v/>
      </c>
      <c r="AJ158" s="29" t="n">
        <v>7899</v>
      </c>
      <c r="AK158" s="19">
        <f>IF(SUM($E158:E158)&gt;=AE158/2,0+5*(AE158/2-0)/E158,IF(SUM($E158:F158)&gt;=AE158/2,5+5*(AE158/2-SUM($E158:E158))/F158,IF(SUM($E158:G158)&gt;=AE158/2,10+5*(AE158/2-SUM($E158:F158))/G158,IF(SUM($E158:H158)&gt;=AE158/2,15+5*(AE158/2-SUM($E158:G158))/H158,IF(SUM($E158:I158)&gt;=AE158/2,20+5*(AE158/2-SUM($E158:H158))/I158,IF(SUM($E158:J158)&gt;=AE158/2,25+5*(AE158/2-SUM($E158:I158))/J158,IF(SUM($E158:K158)&gt;=AE158/2,30+5*(AE158/2-SUM($E158:J158))/K158,IF(SUM($E158:L158)&gt;=AE158/2,35+5*(AE158/2-SUM($E158:K158))/L158,IF(SUM($E158:M158)&gt;=AE158/2,40+5*(AE158/2-SUM($E158:L158))/M158,IF(SUM($E158:N158)&gt;=AE158/2,45+5*(AE158/2-SUM($E158:M158))/N158,IF(SUM($E158:O158)&gt;=AE158/2,50+5*(AE158/2-SUM($E158:N158))/O158,IF(SUM($E158:P158)&gt;=AE158/2,55+5*(AE158/2-SUM($E158:O158))/P158,IF(SUM($E158:Q158)&gt;=AE158/2,60+5*(AE158/2-SUM($E158:P158))/Q158,IF(SUM($E158:R158)&gt;=AE158/2,65+5*(AE158/2-SUM($E158:Q158))/R158,IF(SUM($E158:S158)&gt;=AE158/2,70+5*(AE158/2-SUM($E158:R158))/S158,IF(SUM($E158:T158)&gt;=AE158/2,75+5*(AE158/2-SUM($E158:S158))/T158,""))))))))))))))))</f>
        <v/>
      </c>
      <c r="AL158" s="30">
        <f>SUM(H158:Q158)</f>
        <v/>
      </c>
      <c r="AM158" s="36" t="n"/>
      <c r="AN158" s="36" t="n"/>
      <c r="AO158" s="33">
        <f>IF(AND(ISNUMBER(AN158),ISNUMBER(AM158)),(AN158-AM158)*100,"")</f>
        <v/>
      </c>
      <c r="AP158" s="30">
        <f>IF(ISNUMBER(AN158),AN158*AL158,"")</f>
        <v/>
      </c>
      <c r="AQ158" s="30">
        <f>IF(ISNUMBER(AN158),AL158,0)</f>
        <v/>
      </c>
      <c r="AR158" s="24" t="n">
        <v>0.4485</v>
      </c>
      <c r="AS158" s="6" t="inlineStr">
        <is>
          <t>population</t>
        </is>
      </c>
      <c r="AT158" s="6" t="inlineStr">
        <is>
          <t>16-74</t>
        </is>
      </c>
      <c r="AU158" s="24" t="n">
        <v>1</v>
      </c>
      <c r="AV158" s="30">
        <f>H158*0.8+I158+J158+K158+L158+M158+N158+O158+P158+Q158+R158+S158</f>
        <v/>
      </c>
      <c r="AX158" s="30">
        <f>IF(ISNUMBER(AW158),AW158,AR158*AU158*AV158)</f>
        <v/>
      </c>
      <c r="AY158" s="34">
        <f>AX158/AV158</f>
        <v/>
      </c>
      <c r="AZ158" s="6" t="inlineStr">
        <is>
          <t>A</t>
        </is>
      </c>
      <c r="BA158" s="6" t="inlineStr">
        <is>
          <t>Yes</t>
        </is>
      </c>
      <c r="BB158" s="30">
        <f>IF(BA158="Yes",AX158,0)</f>
        <v/>
      </c>
      <c r="BC158" s="30">
        <f>IF(AND(BA158="Yes",ISNUMBER(AP158)),AP158,0)</f>
        <v/>
      </c>
      <c r="BD158" s="30">
        <f>IF(BA158="Yes",AX158,IF(ISNUMBER(AP158),AP158,0))</f>
        <v/>
      </c>
      <c r="BE158" s="6" t="inlineStr">
        <is>
          <t>Used generative AI tools in the last 3 months</t>
        </is>
      </c>
      <c r="BF158" s="6" t="inlineStr">
        <is>
          <t>2025 survey (Q2, most countries)</t>
        </is>
      </c>
      <c r="BG158" s="6" t="inlineStr">
        <is>
          <t>Eurostat: ICT usage in households and by individuals 2025, dataset isoc_ai_iaiu</t>
        </is>
      </c>
      <c r="BH158" s="6" t="inlineStr">
        <is>
          <t>https://ec.europa.eu/eurostat/databrowser/view/isoc_ai_iaiu/default/table</t>
        </is>
      </c>
    </row>
    <row r="159">
      <c r="A159" s="6" t="inlineStr">
        <is>
          <t>TLS</t>
        </is>
      </c>
      <c r="B159" s="6" t="inlineStr">
        <is>
          <t>Timor-Leste</t>
        </is>
      </c>
      <c r="C159" s="6" t="inlineStr">
        <is>
          <t>East Asia &amp; Pacific</t>
        </is>
      </c>
      <c r="D159" s="6" t="inlineStr">
        <is>
          <t>Lower middle income</t>
        </is>
      </c>
      <c r="E159" s="29" t="n">
        <v>148583</v>
      </c>
      <c r="F159" s="29" t="n">
        <v>166499</v>
      </c>
      <c r="G159" s="29" t="n">
        <v>154661</v>
      </c>
      <c r="H159" s="29" t="n">
        <v>155179</v>
      </c>
      <c r="I159" s="29" t="n">
        <v>150787</v>
      </c>
      <c r="J159" s="29" t="n">
        <v>125711</v>
      </c>
      <c r="K159" s="29" t="n">
        <v>103141</v>
      </c>
      <c r="L159" s="29" t="n">
        <v>89835</v>
      </c>
      <c r="M159" s="29" t="n">
        <v>71133</v>
      </c>
      <c r="N159" s="29" t="n">
        <v>49881</v>
      </c>
      <c r="O159" s="29" t="n">
        <v>53566</v>
      </c>
      <c r="P159" s="29" t="n">
        <v>43154</v>
      </c>
      <c r="Q159" s="29" t="n">
        <v>32210</v>
      </c>
      <c r="R159" s="29" t="n">
        <v>23823</v>
      </c>
      <c r="S159" s="29" t="n">
        <v>19048</v>
      </c>
      <c r="T159" s="29" t="n">
        <v>18834</v>
      </c>
      <c r="U159" s="29" t="n">
        <v>12473</v>
      </c>
      <c r="V159" s="29" t="n">
        <v>703277</v>
      </c>
      <c r="W159" s="29" t="n">
        <v>715241</v>
      </c>
      <c r="X159" s="30">
        <f>SUM(E159:G159)</f>
        <v/>
      </c>
      <c r="Y159" s="30">
        <f>SUM(H159:I159)</f>
        <v/>
      </c>
      <c r="Z159" s="30">
        <f>SUM(J159:K159)</f>
        <v/>
      </c>
      <c r="AA159" s="30">
        <f>SUM(L159:M159)</f>
        <v/>
      </c>
      <c r="AB159" s="30">
        <f>SUM(N159:O159)</f>
        <v/>
      </c>
      <c r="AC159" s="30">
        <f>SUM(P159:Q159)</f>
        <v/>
      </c>
      <c r="AD159" s="30">
        <f>SUM(R159:U159)</f>
        <v/>
      </c>
      <c r="AE159" s="31">
        <f>SUM(X159:AD159)</f>
        <v/>
      </c>
      <c r="AF159" s="32">
        <f>AE159/SUM($AE$5:$AE$222)</f>
        <v/>
      </c>
      <c r="AG159" s="10">
        <f>RANK(AE159,$AE$5:$AE$222)</f>
        <v/>
      </c>
      <c r="AH159" s="29" t="n">
        <v>1400638</v>
      </c>
      <c r="AI159" s="9">
        <f>IF(AH159&gt;0,AE159/AH159-1,"")</f>
        <v/>
      </c>
      <c r="AJ159" s="29" t="n">
        <v>1341</v>
      </c>
      <c r="AK159" s="19">
        <f>IF(SUM($E159:E159)&gt;=AE159/2,0+5*(AE159/2-0)/E159,IF(SUM($E159:F159)&gt;=AE159/2,5+5*(AE159/2-SUM($E159:E159))/F159,IF(SUM($E159:G159)&gt;=AE159/2,10+5*(AE159/2-SUM($E159:F159))/G159,IF(SUM($E159:H159)&gt;=AE159/2,15+5*(AE159/2-SUM($E159:G159))/H159,IF(SUM($E159:I159)&gt;=AE159/2,20+5*(AE159/2-SUM($E159:H159))/I159,IF(SUM($E159:J159)&gt;=AE159/2,25+5*(AE159/2-SUM($E159:I159))/J159,IF(SUM($E159:K159)&gt;=AE159/2,30+5*(AE159/2-SUM($E159:J159))/K159,IF(SUM($E159:L159)&gt;=AE159/2,35+5*(AE159/2-SUM($E159:K159))/L159,IF(SUM($E159:M159)&gt;=AE159/2,40+5*(AE159/2-SUM($E159:L159))/M159,IF(SUM($E159:N159)&gt;=AE159/2,45+5*(AE159/2-SUM($E159:M159))/N159,IF(SUM($E159:O159)&gt;=AE159/2,50+5*(AE159/2-SUM($E159:N159))/O159,IF(SUM($E159:P159)&gt;=AE159/2,55+5*(AE159/2-SUM($E159:O159))/P159,IF(SUM($E159:Q159)&gt;=AE159/2,60+5*(AE159/2-SUM($E159:P159))/Q159,IF(SUM($E159:R159)&gt;=AE159/2,65+5*(AE159/2-SUM($E159:Q159))/R159,IF(SUM($E159:S159)&gt;=AE159/2,70+5*(AE159/2-SUM($E159:R159))/S159,IF(SUM($E159:T159)&gt;=AE159/2,75+5*(AE159/2-SUM($E159:S159))/T159,""))))))))))))))))</f>
        <v/>
      </c>
      <c r="AL159" s="30">
        <f>SUM(H159:Q159)</f>
        <v/>
      </c>
      <c r="AM159" s="36" t="n"/>
      <c r="AN159" s="36" t="n"/>
      <c r="AO159" s="33">
        <f>IF(AND(ISNUMBER(AN159),ISNUMBER(AM159)),(AN159-AM159)*100,"")</f>
        <v/>
      </c>
      <c r="AP159" s="30">
        <f>IF(ISNUMBER(AN159),AN159*AL159,"")</f>
        <v/>
      </c>
      <c r="AQ159" s="30">
        <f>IF(ISNUMBER(AN159),AL159,0)</f>
        <v/>
      </c>
      <c r="BB159" s="30">
        <f>IF(BA159="Yes",AX159,0)</f>
        <v/>
      </c>
      <c r="BC159" s="30">
        <f>IF(AND(BA159="Yes",ISNUMBER(AP159)),AP159,0)</f>
        <v/>
      </c>
      <c r="BD159" s="30">
        <f>IF(BA159="Yes",AX159,IF(ISNUMBER(AP159),AP159,0))</f>
        <v/>
      </c>
    </row>
    <row r="160">
      <c r="A160" s="6" t="inlineStr">
        <is>
          <t>CYP</t>
        </is>
      </c>
      <c r="B160" s="6" t="inlineStr">
        <is>
          <t>Cyprus</t>
        </is>
      </c>
      <c r="C160" s="6" t="inlineStr">
        <is>
          <t>Europe &amp; Central Asia</t>
        </is>
      </c>
      <c r="D160" s="6" t="inlineStr">
        <is>
          <t>High income</t>
        </is>
      </c>
      <c r="E160" s="29" t="n">
        <v>74501</v>
      </c>
      <c r="F160" s="29" t="n">
        <v>74462</v>
      </c>
      <c r="G160" s="29" t="n">
        <v>71468</v>
      </c>
      <c r="H160" s="29" t="n">
        <v>68184</v>
      </c>
      <c r="I160" s="29" t="n">
        <v>74371</v>
      </c>
      <c r="J160" s="29" t="n">
        <v>88274</v>
      </c>
      <c r="K160" s="29" t="n">
        <v>112471</v>
      </c>
      <c r="L160" s="29" t="n">
        <v>131363</v>
      </c>
      <c r="M160" s="29" t="n">
        <v>122712</v>
      </c>
      <c r="N160" s="29" t="n">
        <v>103511</v>
      </c>
      <c r="O160" s="29" t="n">
        <v>88600</v>
      </c>
      <c r="P160" s="29" t="n">
        <v>82303</v>
      </c>
      <c r="Q160" s="29" t="n">
        <v>73848</v>
      </c>
      <c r="R160" s="29" t="n">
        <v>65040</v>
      </c>
      <c r="S160" s="29" t="n">
        <v>51383</v>
      </c>
      <c r="T160" s="29" t="n">
        <v>40089</v>
      </c>
      <c r="U160" s="29" t="n">
        <v>48172</v>
      </c>
      <c r="V160" s="29" t="n">
        <v>680290</v>
      </c>
      <c r="W160" s="29" t="n">
        <v>690462</v>
      </c>
      <c r="X160" s="30">
        <f>SUM(E160:G160)</f>
        <v/>
      </c>
      <c r="Y160" s="30">
        <f>SUM(H160:I160)</f>
        <v/>
      </c>
      <c r="Z160" s="30">
        <f>SUM(J160:K160)</f>
        <v/>
      </c>
      <c r="AA160" s="30">
        <f>SUM(L160:M160)</f>
        <v/>
      </c>
      <c r="AB160" s="30">
        <f>SUM(N160:O160)</f>
        <v/>
      </c>
      <c r="AC160" s="30">
        <f>SUM(P160:Q160)</f>
        <v/>
      </c>
      <c r="AD160" s="30">
        <f>SUM(R160:U160)</f>
        <v/>
      </c>
      <c r="AE160" s="31">
        <f>SUM(X160:AD160)</f>
        <v/>
      </c>
      <c r="AF160" s="32">
        <f>AE160/SUM($AE$5:$AE$222)</f>
        <v/>
      </c>
      <c r="AG160" s="10">
        <f>RANK(AE160,$AE$5:$AE$222)</f>
        <v/>
      </c>
      <c r="AH160" s="29" t="n">
        <v>1358282</v>
      </c>
      <c r="AI160" s="9">
        <f>IF(AH160&gt;0,AE160/AH160-1,"")</f>
        <v/>
      </c>
      <c r="AJ160" s="29" t="n">
        <v>41783</v>
      </c>
      <c r="AK160" s="19">
        <f>IF(SUM($E160:E160)&gt;=AE160/2,0+5*(AE160/2-0)/E160,IF(SUM($E160:F160)&gt;=AE160/2,5+5*(AE160/2-SUM($E160:E160))/F160,IF(SUM($E160:G160)&gt;=AE160/2,10+5*(AE160/2-SUM($E160:F160))/G160,IF(SUM($E160:H160)&gt;=AE160/2,15+5*(AE160/2-SUM($E160:G160))/H160,IF(SUM($E160:I160)&gt;=AE160/2,20+5*(AE160/2-SUM($E160:H160))/I160,IF(SUM($E160:J160)&gt;=AE160/2,25+5*(AE160/2-SUM($E160:I160))/J160,IF(SUM($E160:K160)&gt;=AE160/2,30+5*(AE160/2-SUM($E160:J160))/K160,IF(SUM($E160:L160)&gt;=AE160/2,35+5*(AE160/2-SUM($E160:K160))/L160,IF(SUM($E160:M160)&gt;=AE160/2,40+5*(AE160/2-SUM($E160:L160))/M160,IF(SUM($E160:N160)&gt;=AE160/2,45+5*(AE160/2-SUM($E160:M160))/N160,IF(SUM($E160:O160)&gt;=AE160/2,50+5*(AE160/2-SUM($E160:N160))/O160,IF(SUM($E160:P160)&gt;=AE160/2,55+5*(AE160/2-SUM($E160:O160))/P160,IF(SUM($E160:Q160)&gt;=AE160/2,60+5*(AE160/2-SUM($E160:P160))/Q160,IF(SUM($E160:R160)&gt;=AE160/2,65+5*(AE160/2-SUM($E160:Q160))/R160,IF(SUM($E160:S160)&gt;=AE160/2,70+5*(AE160/2-SUM($E160:R160))/S160,IF(SUM($E160:T160)&gt;=AE160/2,75+5*(AE160/2-SUM($E160:S160))/T160,""))))))))))))))))</f>
        <v/>
      </c>
      <c r="AL160" s="30">
        <f>SUM(H160:Q160)</f>
        <v/>
      </c>
      <c r="AM160" s="36" t="n"/>
      <c r="AN160" s="36" t="n"/>
      <c r="AO160" s="33">
        <f>IF(AND(ISNUMBER(AN160),ISNUMBER(AM160)),(AN160-AM160)*100,"")</f>
        <v/>
      </c>
      <c r="AP160" s="30">
        <f>IF(ISNUMBER(AN160),AN160*AL160,"")</f>
        <v/>
      </c>
      <c r="AQ160" s="30">
        <f>IF(ISNUMBER(AN160),AL160,0)</f>
        <v/>
      </c>
      <c r="AR160" s="24" t="n">
        <v>0.442</v>
      </c>
      <c r="AS160" s="6" t="inlineStr">
        <is>
          <t>population</t>
        </is>
      </c>
      <c r="AT160" s="6" t="inlineStr">
        <is>
          <t>16-74</t>
        </is>
      </c>
      <c r="AU160" s="24" t="n">
        <v>1</v>
      </c>
      <c r="AV160" s="30">
        <f>H160*0.8+I160+J160+K160+L160+M160+N160+O160+P160+Q160+R160+S160</f>
        <v/>
      </c>
      <c r="AX160" s="30">
        <f>IF(ISNUMBER(AW160),AW160,AR160*AU160*AV160)</f>
        <v/>
      </c>
      <c r="AY160" s="34">
        <f>AX160/AV160</f>
        <v/>
      </c>
      <c r="AZ160" s="6" t="inlineStr">
        <is>
          <t>A</t>
        </is>
      </c>
      <c r="BA160" s="6" t="inlineStr">
        <is>
          <t>Yes</t>
        </is>
      </c>
      <c r="BB160" s="30">
        <f>IF(BA160="Yes",AX160,0)</f>
        <v/>
      </c>
      <c r="BC160" s="30">
        <f>IF(AND(BA160="Yes",ISNUMBER(AP160)),AP160,0)</f>
        <v/>
      </c>
      <c r="BD160" s="30">
        <f>IF(BA160="Yes",AX160,IF(ISNUMBER(AP160),AP160,0))</f>
        <v/>
      </c>
      <c r="BE160" s="6" t="inlineStr">
        <is>
          <t>Used generative AI tools in the last 3 months</t>
        </is>
      </c>
      <c r="BF160" s="6" t="inlineStr">
        <is>
          <t>2025 survey (Q2, most countries)</t>
        </is>
      </c>
      <c r="BG160" s="6" t="inlineStr">
        <is>
          <t>Eurostat: ICT usage in households and by individuals 2025, dataset isoc_ai_iaiu</t>
        </is>
      </c>
      <c r="BH160" s="6" t="inlineStr">
        <is>
          <t>https://ec.europa.eu/eurostat/databrowser/view/isoc_ai_iaiu/default/table</t>
        </is>
      </c>
    </row>
    <row r="161">
      <c r="A161" s="6" t="inlineStr">
        <is>
          <t>TTO</t>
        </is>
      </c>
      <c r="B161" s="6" t="inlineStr">
        <is>
          <t>Trinidad and Tobago</t>
        </is>
      </c>
      <c r="C161" s="6" t="inlineStr">
        <is>
          <t>Latin America &amp; Caribbean</t>
        </is>
      </c>
      <c r="D161" s="6" t="inlineStr">
        <is>
          <t>High income</t>
        </is>
      </c>
      <c r="E161" s="29" t="n">
        <v>73171</v>
      </c>
      <c r="F161" s="29" t="n">
        <v>80808</v>
      </c>
      <c r="G161" s="29" t="n">
        <v>85273</v>
      </c>
      <c r="H161" s="29" t="n">
        <v>85936</v>
      </c>
      <c r="I161" s="29" t="n">
        <v>84945</v>
      </c>
      <c r="J161" s="29" t="n">
        <v>88497</v>
      </c>
      <c r="K161" s="29" t="n">
        <v>99849</v>
      </c>
      <c r="L161" s="29" t="n">
        <v>117152</v>
      </c>
      <c r="M161" s="29" t="n">
        <v>121413</v>
      </c>
      <c r="N161" s="29" t="n">
        <v>102229</v>
      </c>
      <c r="O161" s="29" t="n">
        <v>87529</v>
      </c>
      <c r="P161" s="29" t="n">
        <v>79526</v>
      </c>
      <c r="Q161" s="29" t="n">
        <v>84645</v>
      </c>
      <c r="R161" s="29" t="n">
        <v>69308</v>
      </c>
      <c r="S161" s="29" t="n">
        <v>53674</v>
      </c>
      <c r="T161" s="29" t="n">
        <v>31867</v>
      </c>
      <c r="U161" s="29" t="n">
        <v>21943</v>
      </c>
      <c r="V161" s="29" t="n">
        <v>692080</v>
      </c>
      <c r="W161" s="29" t="n">
        <v>675685</v>
      </c>
      <c r="X161" s="30">
        <f>SUM(E161:G161)</f>
        <v/>
      </c>
      <c r="Y161" s="30">
        <f>SUM(H161:I161)</f>
        <v/>
      </c>
      <c r="Z161" s="30">
        <f>SUM(J161:K161)</f>
        <v/>
      </c>
      <c r="AA161" s="30">
        <f>SUM(L161:M161)</f>
        <v/>
      </c>
      <c r="AB161" s="30">
        <f>SUM(N161:O161)</f>
        <v/>
      </c>
      <c r="AC161" s="30">
        <f>SUM(P161:Q161)</f>
        <v/>
      </c>
      <c r="AD161" s="30">
        <f>SUM(R161:U161)</f>
        <v/>
      </c>
      <c r="AE161" s="31">
        <f>SUM(X161:AD161)</f>
        <v/>
      </c>
      <c r="AF161" s="32">
        <f>AE161/SUM($AE$5:$AE$222)</f>
        <v/>
      </c>
      <c r="AG161" s="10">
        <f>RANK(AE161,$AE$5:$AE$222)</f>
        <v/>
      </c>
      <c r="AH161" s="29" t="n">
        <v>1368333</v>
      </c>
      <c r="AI161" s="9">
        <f>IF(AH161&gt;0,AE161/AH161-1,"")</f>
        <v/>
      </c>
      <c r="AJ161" s="29" t="n">
        <v>18967</v>
      </c>
      <c r="AK161" s="19">
        <f>IF(SUM($E161:E161)&gt;=AE161/2,0+5*(AE161/2-0)/E161,IF(SUM($E161:F161)&gt;=AE161/2,5+5*(AE161/2-SUM($E161:E161))/F161,IF(SUM($E161:G161)&gt;=AE161/2,10+5*(AE161/2-SUM($E161:F161))/G161,IF(SUM($E161:H161)&gt;=AE161/2,15+5*(AE161/2-SUM($E161:G161))/H161,IF(SUM($E161:I161)&gt;=AE161/2,20+5*(AE161/2-SUM($E161:H161))/I161,IF(SUM($E161:J161)&gt;=AE161/2,25+5*(AE161/2-SUM($E161:I161))/J161,IF(SUM($E161:K161)&gt;=AE161/2,30+5*(AE161/2-SUM($E161:J161))/K161,IF(SUM($E161:L161)&gt;=AE161/2,35+5*(AE161/2-SUM($E161:K161))/L161,IF(SUM($E161:M161)&gt;=AE161/2,40+5*(AE161/2-SUM($E161:L161))/M161,IF(SUM($E161:N161)&gt;=AE161/2,45+5*(AE161/2-SUM($E161:M161))/N161,IF(SUM($E161:O161)&gt;=AE161/2,50+5*(AE161/2-SUM($E161:N161))/O161,IF(SUM($E161:P161)&gt;=AE161/2,55+5*(AE161/2-SUM($E161:O161))/P161,IF(SUM($E161:Q161)&gt;=AE161/2,60+5*(AE161/2-SUM($E161:P161))/Q161,IF(SUM($E161:R161)&gt;=AE161/2,65+5*(AE161/2-SUM($E161:Q161))/R161,IF(SUM($E161:S161)&gt;=AE161/2,70+5*(AE161/2-SUM($E161:R161))/S161,IF(SUM($E161:T161)&gt;=AE161/2,75+5*(AE161/2-SUM($E161:S161))/T161,""))))))))))))))))</f>
        <v/>
      </c>
      <c r="AL161" s="30">
        <f>SUM(H161:Q161)</f>
        <v/>
      </c>
      <c r="AM161" s="36" t="n"/>
      <c r="AN161" s="36" t="n"/>
      <c r="AO161" s="33">
        <f>IF(AND(ISNUMBER(AN161),ISNUMBER(AM161)),(AN161-AM161)*100,"")</f>
        <v/>
      </c>
      <c r="AP161" s="30">
        <f>IF(ISNUMBER(AN161),AN161*AL161,"")</f>
        <v/>
      </c>
      <c r="AQ161" s="30">
        <f>IF(ISNUMBER(AN161),AL161,0)</f>
        <v/>
      </c>
      <c r="BB161" s="30">
        <f>IF(BA161="Yes",AX161,0)</f>
        <v/>
      </c>
      <c r="BC161" s="30">
        <f>IF(AND(BA161="Yes",ISNUMBER(AP161)),AP161,0)</f>
        <v/>
      </c>
      <c r="BD161" s="30">
        <f>IF(BA161="Yes",AX161,IF(ISNUMBER(AP161),AP161,0))</f>
        <v/>
      </c>
    </row>
    <row r="162">
      <c r="A162" s="6" t="inlineStr">
        <is>
          <t>EST</t>
        </is>
      </c>
      <c r="B162" s="6" t="inlineStr">
        <is>
          <t>Estonia</t>
        </is>
      </c>
      <c r="C162" s="6" t="inlineStr">
        <is>
          <t>Europe &amp; Central Asia</t>
        </is>
      </c>
      <c r="D162" s="6" t="inlineStr">
        <is>
          <t>High income</t>
        </is>
      </c>
      <c r="E162" s="29" t="n">
        <v>59292</v>
      </c>
      <c r="F162" s="29" t="n">
        <v>73807</v>
      </c>
      <c r="G162" s="29" t="n">
        <v>75341</v>
      </c>
      <c r="H162" s="29" t="n">
        <v>79004</v>
      </c>
      <c r="I162" s="29" t="n">
        <v>66402</v>
      </c>
      <c r="J162" s="29" t="n">
        <v>65250</v>
      </c>
      <c r="K162" s="29" t="n">
        <v>82467</v>
      </c>
      <c r="L162" s="29" t="n">
        <v>105796</v>
      </c>
      <c r="M162" s="29" t="n">
        <v>99721</v>
      </c>
      <c r="N162" s="29" t="n">
        <v>94551</v>
      </c>
      <c r="O162" s="29" t="n">
        <v>94283</v>
      </c>
      <c r="P162" s="29" t="n">
        <v>86070</v>
      </c>
      <c r="Q162" s="29" t="n">
        <v>86580</v>
      </c>
      <c r="R162" s="29" t="n">
        <v>83425</v>
      </c>
      <c r="S162" s="29" t="n">
        <v>73489</v>
      </c>
      <c r="T162" s="29" t="n">
        <v>57901</v>
      </c>
      <c r="U162" s="29" t="n">
        <v>83099</v>
      </c>
      <c r="V162" s="29" t="n">
        <v>716020</v>
      </c>
      <c r="W162" s="29" t="n">
        <v>650458</v>
      </c>
      <c r="X162" s="30">
        <f>SUM(E162:G162)</f>
        <v/>
      </c>
      <c r="Y162" s="30">
        <f>SUM(H162:I162)</f>
        <v/>
      </c>
      <c r="Z162" s="30">
        <f>SUM(J162:K162)</f>
        <v/>
      </c>
      <c r="AA162" s="30">
        <f>SUM(L162:M162)</f>
        <v/>
      </c>
      <c r="AB162" s="30">
        <f>SUM(N162:O162)</f>
        <v/>
      </c>
      <c r="AC162" s="30">
        <f>SUM(P162:Q162)</f>
        <v/>
      </c>
      <c r="AD162" s="30">
        <f>SUM(R162:U162)</f>
        <v/>
      </c>
      <c r="AE162" s="31">
        <f>SUM(X162:AD162)</f>
        <v/>
      </c>
      <c r="AF162" s="32">
        <f>AE162/SUM($AE$5:$AE$222)</f>
        <v/>
      </c>
      <c r="AG162" s="10">
        <f>RANK(AE162,$AE$5:$AE$222)</f>
        <v/>
      </c>
      <c r="AH162" s="29" t="n">
        <v>1372341</v>
      </c>
      <c r="AI162" s="9">
        <f>IF(AH162&gt;0,AE162/AH162-1,"")</f>
        <v/>
      </c>
      <c r="AJ162" s="29" t="n">
        <v>34418</v>
      </c>
      <c r="AK162" s="19">
        <f>IF(SUM($E162:E162)&gt;=AE162/2,0+5*(AE162/2-0)/E162,IF(SUM($E162:F162)&gt;=AE162/2,5+5*(AE162/2-SUM($E162:E162))/F162,IF(SUM($E162:G162)&gt;=AE162/2,10+5*(AE162/2-SUM($E162:F162))/G162,IF(SUM($E162:H162)&gt;=AE162/2,15+5*(AE162/2-SUM($E162:G162))/H162,IF(SUM($E162:I162)&gt;=AE162/2,20+5*(AE162/2-SUM($E162:H162))/I162,IF(SUM($E162:J162)&gt;=AE162/2,25+5*(AE162/2-SUM($E162:I162))/J162,IF(SUM($E162:K162)&gt;=AE162/2,30+5*(AE162/2-SUM($E162:J162))/K162,IF(SUM($E162:L162)&gt;=AE162/2,35+5*(AE162/2-SUM($E162:K162))/L162,IF(SUM($E162:M162)&gt;=AE162/2,40+5*(AE162/2-SUM($E162:L162))/M162,IF(SUM($E162:N162)&gt;=AE162/2,45+5*(AE162/2-SUM($E162:M162))/N162,IF(SUM($E162:O162)&gt;=AE162/2,50+5*(AE162/2-SUM($E162:N162))/O162,IF(SUM($E162:P162)&gt;=AE162/2,55+5*(AE162/2-SUM($E162:O162))/P162,IF(SUM($E162:Q162)&gt;=AE162/2,60+5*(AE162/2-SUM($E162:P162))/Q162,IF(SUM($E162:R162)&gt;=AE162/2,65+5*(AE162/2-SUM($E162:Q162))/R162,IF(SUM($E162:S162)&gt;=AE162/2,70+5*(AE162/2-SUM($E162:R162))/S162,IF(SUM($E162:T162)&gt;=AE162/2,75+5*(AE162/2-SUM($E162:S162))/T162,""))))))))))))))))</f>
        <v/>
      </c>
      <c r="AL162" s="30">
        <f>SUM(H162:Q162)</f>
        <v/>
      </c>
      <c r="AM162" s="36" t="n"/>
      <c r="AN162" s="36" t="n"/>
      <c r="AO162" s="33">
        <f>IF(AND(ISNUMBER(AN162),ISNUMBER(AM162)),(AN162-AM162)*100,"")</f>
        <v/>
      </c>
      <c r="AP162" s="30">
        <f>IF(ISNUMBER(AN162),AN162*AL162,"")</f>
        <v/>
      </c>
      <c r="AQ162" s="30">
        <f>IF(ISNUMBER(AN162),AL162,0)</f>
        <v/>
      </c>
      <c r="AR162" s="24" t="n">
        <v>0.4664</v>
      </c>
      <c r="AS162" s="6" t="inlineStr">
        <is>
          <t>population</t>
        </is>
      </c>
      <c r="AT162" s="6" t="inlineStr">
        <is>
          <t>16-74</t>
        </is>
      </c>
      <c r="AU162" s="24" t="n">
        <v>1</v>
      </c>
      <c r="AV162" s="30">
        <f>H162*0.8+I162+J162+K162+L162+M162+N162+O162+P162+Q162+R162+S162</f>
        <v/>
      </c>
      <c r="AX162" s="30">
        <f>IF(ISNUMBER(AW162),AW162,AR162*AU162*AV162)</f>
        <v/>
      </c>
      <c r="AY162" s="34">
        <f>AX162/AV162</f>
        <v/>
      </c>
      <c r="AZ162" s="6" t="inlineStr">
        <is>
          <t>A</t>
        </is>
      </c>
      <c r="BA162" s="6" t="inlineStr">
        <is>
          <t>Yes</t>
        </is>
      </c>
      <c r="BB162" s="30">
        <f>IF(BA162="Yes",AX162,0)</f>
        <v/>
      </c>
      <c r="BC162" s="30">
        <f>IF(AND(BA162="Yes",ISNUMBER(AP162)),AP162,0)</f>
        <v/>
      </c>
      <c r="BD162" s="30">
        <f>IF(BA162="Yes",AX162,IF(ISNUMBER(AP162),AP162,0))</f>
        <v/>
      </c>
      <c r="BE162" s="6" t="inlineStr">
        <is>
          <t>Used generative AI tools in the last 3 months</t>
        </is>
      </c>
      <c r="BF162" s="6" t="inlineStr">
        <is>
          <t>2025 survey (Q2, most countries)</t>
        </is>
      </c>
      <c r="BG162" s="6" t="inlineStr">
        <is>
          <t>Eurostat: ICT usage in households and by individuals 2025, dataset isoc_ai_iaiu</t>
        </is>
      </c>
      <c r="BH162" s="6" t="inlineStr">
        <is>
          <t>https://ec.europa.eu/eurostat/databrowser/view/isoc_ai_iaiu/default/table</t>
        </is>
      </c>
    </row>
    <row r="163">
      <c r="A163" s="6" t="inlineStr">
        <is>
          <t>SWZ</t>
        </is>
      </c>
      <c r="B163" s="6" t="inlineStr">
        <is>
          <t>Eswatini</t>
        </is>
      </c>
      <c r="C163" s="6" t="inlineStr">
        <is>
          <t>Sub-Saharan Africa</t>
        </is>
      </c>
      <c r="D163" s="6" t="inlineStr">
        <is>
          <t>Lower middle income</t>
        </is>
      </c>
      <c r="E163" s="29" t="n">
        <v>140602</v>
      </c>
      <c r="F163" s="29" t="n">
        <v>138403</v>
      </c>
      <c r="G163" s="29" t="n">
        <v>135480</v>
      </c>
      <c r="H163" s="29" t="n">
        <v>130057</v>
      </c>
      <c r="I163" s="29" t="n">
        <v>119509</v>
      </c>
      <c r="J163" s="29" t="n">
        <v>108922</v>
      </c>
      <c r="K163" s="29" t="n">
        <v>99523</v>
      </c>
      <c r="L163" s="29" t="n">
        <v>90886</v>
      </c>
      <c r="M163" s="29" t="n">
        <v>76581</v>
      </c>
      <c r="N163" s="29" t="n">
        <v>57343</v>
      </c>
      <c r="O163" s="29" t="n">
        <v>41230</v>
      </c>
      <c r="P163" s="29" t="n">
        <v>35736</v>
      </c>
      <c r="Q163" s="29" t="n">
        <v>27310</v>
      </c>
      <c r="R163" s="29" t="n">
        <v>22329</v>
      </c>
      <c r="S163" s="29" t="n">
        <v>15065</v>
      </c>
      <c r="T163" s="29" t="n">
        <v>9495</v>
      </c>
      <c r="U163" s="29" t="n">
        <v>7703</v>
      </c>
      <c r="V163" s="29" t="n">
        <v>639175</v>
      </c>
      <c r="W163" s="29" t="n">
        <v>616999</v>
      </c>
      <c r="X163" s="30">
        <f>SUM(E163:G163)</f>
        <v/>
      </c>
      <c r="Y163" s="30">
        <f>SUM(H163:I163)</f>
        <v/>
      </c>
      <c r="Z163" s="30">
        <f>SUM(J163:K163)</f>
        <v/>
      </c>
      <c r="AA163" s="30">
        <f>SUM(L163:M163)</f>
        <v/>
      </c>
      <c r="AB163" s="30">
        <f>SUM(N163:O163)</f>
        <v/>
      </c>
      <c r="AC163" s="30">
        <f>SUM(P163:Q163)</f>
        <v/>
      </c>
      <c r="AD163" s="30">
        <f>SUM(R163:U163)</f>
        <v/>
      </c>
      <c r="AE163" s="31">
        <f>SUM(X163:AD163)</f>
        <v/>
      </c>
      <c r="AF163" s="32">
        <f>AE163/SUM($AE$5:$AE$222)</f>
        <v/>
      </c>
      <c r="AG163" s="10">
        <f>RANK(AE163,$AE$5:$AE$222)</f>
        <v/>
      </c>
      <c r="AH163" s="29" t="n">
        <v>1242822</v>
      </c>
      <c r="AI163" s="9">
        <f>IF(AH163&gt;0,AE163/AH163-1,"")</f>
        <v/>
      </c>
      <c r="AJ163" s="29" t="n">
        <v>4108</v>
      </c>
      <c r="AK163" s="19">
        <f>IF(SUM($E163:E163)&gt;=AE163/2,0+5*(AE163/2-0)/E163,IF(SUM($E163:F163)&gt;=AE163/2,5+5*(AE163/2-SUM($E163:E163))/F163,IF(SUM($E163:G163)&gt;=AE163/2,10+5*(AE163/2-SUM($E163:F163))/G163,IF(SUM($E163:H163)&gt;=AE163/2,15+5*(AE163/2-SUM($E163:G163))/H163,IF(SUM($E163:I163)&gt;=AE163/2,20+5*(AE163/2-SUM($E163:H163))/I163,IF(SUM($E163:J163)&gt;=AE163/2,25+5*(AE163/2-SUM($E163:I163))/J163,IF(SUM($E163:K163)&gt;=AE163/2,30+5*(AE163/2-SUM($E163:J163))/K163,IF(SUM($E163:L163)&gt;=AE163/2,35+5*(AE163/2-SUM($E163:K163))/L163,IF(SUM($E163:M163)&gt;=AE163/2,40+5*(AE163/2-SUM($E163:L163))/M163,IF(SUM($E163:N163)&gt;=AE163/2,45+5*(AE163/2-SUM($E163:M163))/N163,IF(SUM($E163:O163)&gt;=AE163/2,50+5*(AE163/2-SUM($E163:N163))/O163,IF(SUM($E163:P163)&gt;=AE163/2,55+5*(AE163/2-SUM($E163:O163))/P163,IF(SUM($E163:Q163)&gt;=AE163/2,60+5*(AE163/2-SUM($E163:P163))/Q163,IF(SUM($E163:R163)&gt;=AE163/2,65+5*(AE163/2-SUM($E163:Q163))/R163,IF(SUM($E163:S163)&gt;=AE163/2,70+5*(AE163/2-SUM($E163:R163))/S163,IF(SUM($E163:T163)&gt;=AE163/2,75+5*(AE163/2-SUM($E163:S163))/T163,""))))))))))))))))</f>
        <v/>
      </c>
      <c r="AL163" s="30">
        <f>SUM(H163:Q163)</f>
        <v/>
      </c>
      <c r="AM163" s="36" t="n"/>
      <c r="AN163" s="36" t="n"/>
      <c r="AO163" s="33">
        <f>IF(AND(ISNUMBER(AN163),ISNUMBER(AM163)),(AN163-AM163)*100,"")</f>
        <v/>
      </c>
      <c r="AP163" s="30">
        <f>IF(ISNUMBER(AN163),AN163*AL163,"")</f>
        <v/>
      </c>
      <c r="AQ163" s="30">
        <f>IF(ISNUMBER(AN163),AL163,0)</f>
        <v/>
      </c>
      <c r="BB163" s="30">
        <f>IF(BA163="Yes",AX163,0)</f>
        <v/>
      </c>
      <c r="BC163" s="30">
        <f>IF(AND(BA163="Yes",ISNUMBER(AP163)),AP163,0)</f>
        <v/>
      </c>
      <c r="BD163" s="30">
        <f>IF(BA163="Yes",AX163,IF(ISNUMBER(AP163),AP163,0))</f>
        <v/>
      </c>
    </row>
    <row r="164">
      <c r="A164" s="6" t="inlineStr">
        <is>
          <t>MUS</t>
        </is>
      </c>
      <c r="B164" s="6" t="inlineStr">
        <is>
          <t>Mauritius</t>
        </is>
      </c>
      <c r="C164" s="6" t="inlineStr">
        <is>
          <t>Sub-Saharan Africa</t>
        </is>
      </c>
      <c r="D164" s="6" t="inlineStr">
        <is>
          <t>Upper middle income</t>
        </is>
      </c>
      <c r="E164" s="29" t="n">
        <v>57651</v>
      </c>
      <c r="F164" s="29" t="n">
        <v>59048</v>
      </c>
      <c r="G164" s="29" t="n">
        <v>64105</v>
      </c>
      <c r="H164" s="29" t="n">
        <v>79715</v>
      </c>
      <c r="I164" s="29" t="n">
        <v>90845</v>
      </c>
      <c r="J164" s="29" t="n">
        <v>93765</v>
      </c>
      <c r="K164" s="29" t="n">
        <v>102654</v>
      </c>
      <c r="L164" s="29" t="n">
        <v>94635</v>
      </c>
      <c r="M164" s="29" t="n">
        <v>91552</v>
      </c>
      <c r="N164" s="29" t="n">
        <v>95331</v>
      </c>
      <c r="O164" s="29" t="n">
        <v>79176</v>
      </c>
      <c r="P164" s="29" t="n">
        <v>79708</v>
      </c>
      <c r="Q164" s="29" t="n">
        <v>80006</v>
      </c>
      <c r="R164" s="29" t="n">
        <v>65538</v>
      </c>
      <c r="S164" s="29" t="n">
        <v>50170</v>
      </c>
      <c r="T164" s="29" t="n">
        <v>31886</v>
      </c>
      <c r="U164" s="29" t="n">
        <v>27956</v>
      </c>
      <c r="V164" s="29" t="n">
        <v>623563</v>
      </c>
      <c r="W164" s="29" t="n">
        <v>620178</v>
      </c>
      <c r="X164" s="30">
        <f>SUM(E164:G164)</f>
        <v/>
      </c>
      <c r="Y164" s="30">
        <f>SUM(H164:I164)</f>
        <v/>
      </c>
      <c r="Z164" s="30">
        <f>SUM(J164:K164)</f>
        <v/>
      </c>
      <c r="AA164" s="30">
        <f>SUM(L164:M164)</f>
        <v/>
      </c>
      <c r="AB164" s="30">
        <f>SUM(N164:O164)</f>
        <v/>
      </c>
      <c r="AC164" s="30">
        <f>SUM(P164:Q164)</f>
        <v/>
      </c>
      <c r="AD164" s="30">
        <f>SUM(R164:U164)</f>
        <v/>
      </c>
      <c r="AE164" s="31">
        <f>SUM(X164:AD164)</f>
        <v/>
      </c>
      <c r="AF164" s="32">
        <f>AE164/SUM($AE$5:$AE$222)</f>
        <v/>
      </c>
      <c r="AG164" s="10">
        <f>RANK(AE164,$AE$5:$AE$222)</f>
        <v/>
      </c>
      <c r="AH164" s="29" t="n">
        <v>1245779</v>
      </c>
      <c r="AI164" s="9">
        <f>IF(AH164&gt;0,AE164/AH164-1,"")</f>
        <v/>
      </c>
      <c r="AJ164" s="29" t="n">
        <v>12991</v>
      </c>
      <c r="AK164" s="19">
        <f>IF(SUM($E164:E164)&gt;=AE164/2,0+5*(AE164/2-0)/E164,IF(SUM($E164:F164)&gt;=AE164/2,5+5*(AE164/2-SUM($E164:E164))/F164,IF(SUM($E164:G164)&gt;=AE164/2,10+5*(AE164/2-SUM($E164:F164))/G164,IF(SUM($E164:H164)&gt;=AE164/2,15+5*(AE164/2-SUM($E164:G164))/H164,IF(SUM($E164:I164)&gt;=AE164/2,20+5*(AE164/2-SUM($E164:H164))/I164,IF(SUM($E164:J164)&gt;=AE164/2,25+5*(AE164/2-SUM($E164:I164))/J164,IF(SUM($E164:K164)&gt;=AE164/2,30+5*(AE164/2-SUM($E164:J164))/K164,IF(SUM($E164:L164)&gt;=AE164/2,35+5*(AE164/2-SUM($E164:K164))/L164,IF(SUM($E164:M164)&gt;=AE164/2,40+5*(AE164/2-SUM($E164:L164))/M164,IF(SUM($E164:N164)&gt;=AE164/2,45+5*(AE164/2-SUM($E164:M164))/N164,IF(SUM($E164:O164)&gt;=AE164/2,50+5*(AE164/2-SUM($E164:N164))/O164,IF(SUM($E164:P164)&gt;=AE164/2,55+5*(AE164/2-SUM($E164:O164))/P164,IF(SUM($E164:Q164)&gt;=AE164/2,60+5*(AE164/2-SUM($E164:P164))/Q164,IF(SUM($E164:R164)&gt;=AE164/2,65+5*(AE164/2-SUM($E164:Q164))/R164,IF(SUM($E164:S164)&gt;=AE164/2,70+5*(AE164/2-SUM($E164:R164))/S164,IF(SUM($E164:T164)&gt;=AE164/2,75+5*(AE164/2-SUM($E164:S164))/T164,""))))))))))))))))</f>
        <v/>
      </c>
      <c r="AL164" s="30">
        <f>SUM(H164:Q164)</f>
        <v/>
      </c>
      <c r="AM164" s="36" t="n"/>
      <c r="AN164" s="36" t="n"/>
      <c r="AO164" s="33">
        <f>IF(AND(ISNUMBER(AN164),ISNUMBER(AM164)),(AN164-AM164)*100,"")</f>
        <v/>
      </c>
      <c r="AP164" s="30">
        <f>IF(ISNUMBER(AN164),AN164*AL164,"")</f>
        <v/>
      </c>
      <c r="AQ164" s="30">
        <f>IF(ISNUMBER(AN164),AL164,0)</f>
        <v/>
      </c>
      <c r="BB164" s="30">
        <f>IF(BA164="Yes",AX164,0)</f>
        <v/>
      </c>
      <c r="BC164" s="30">
        <f>IF(AND(BA164="Yes",ISNUMBER(AP164)),AP164,0)</f>
        <v/>
      </c>
      <c r="BD164" s="30">
        <f>IF(BA164="Yes",AX164,IF(ISNUMBER(AP164),AP164,0))</f>
        <v/>
      </c>
    </row>
    <row r="165">
      <c r="A165" s="6" t="inlineStr">
        <is>
          <t>DJI</t>
        </is>
      </c>
      <c r="B165" s="6" t="inlineStr">
        <is>
          <t>Djibouti</t>
        </is>
      </c>
      <c r="C165" s="6" t="inlineStr">
        <is>
          <t>Middle East, North Africa, Afghanistan &amp; Pakistan</t>
        </is>
      </c>
      <c r="D165" s="6" t="inlineStr">
        <is>
          <t>Lower middle income</t>
        </is>
      </c>
      <c r="E165" s="29" t="n">
        <v>115482</v>
      </c>
      <c r="F165" s="29" t="n">
        <v>112709</v>
      </c>
      <c r="G165" s="29" t="n">
        <v>112859</v>
      </c>
      <c r="H165" s="29" t="n">
        <v>114658</v>
      </c>
      <c r="I165" s="29" t="n">
        <v>116695</v>
      </c>
      <c r="J165" s="29" t="n">
        <v>101308</v>
      </c>
      <c r="K165" s="29" t="n">
        <v>92467</v>
      </c>
      <c r="L165" s="29" t="n">
        <v>81940</v>
      </c>
      <c r="M165" s="29" t="n">
        <v>73284</v>
      </c>
      <c r="N165" s="29" t="n">
        <v>67207</v>
      </c>
      <c r="O165" s="29" t="n">
        <v>57697</v>
      </c>
      <c r="P165" s="29" t="n">
        <v>45238</v>
      </c>
      <c r="Q165" s="29" t="n">
        <v>33657</v>
      </c>
      <c r="R165" s="29" t="n">
        <v>23896</v>
      </c>
      <c r="S165" s="29" t="n">
        <v>16178</v>
      </c>
      <c r="T165" s="29" t="n">
        <v>10963</v>
      </c>
      <c r="U165" s="29" t="n">
        <v>7833</v>
      </c>
      <c r="V165" s="29" t="n">
        <v>597267</v>
      </c>
      <c r="W165" s="29" t="n">
        <v>586804</v>
      </c>
      <c r="X165" s="30">
        <f>SUM(E165:G165)</f>
        <v/>
      </c>
      <c r="Y165" s="30">
        <f>SUM(H165:I165)</f>
        <v/>
      </c>
      <c r="Z165" s="30">
        <f>SUM(J165:K165)</f>
        <v/>
      </c>
      <c r="AA165" s="30">
        <f>SUM(L165:M165)</f>
        <v/>
      </c>
      <c r="AB165" s="30">
        <f>SUM(N165:O165)</f>
        <v/>
      </c>
      <c r="AC165" s="30">
        <f>SUM(P165:Q165)</f>
        <v/>
      </c>
      <c r="AD165" s="30">
        <f>SUM(R165:U165)</f>
        <v/>
      </c>
      <c r="AE165" s="31">
        <f>SUM(X165:AD165)</f>
        <v/>
      </c>
      <c r="AF165" s="32">
        <f>AE165/SUM($AE$5:$AE$222)</f>
        <v/>
      </c>
      <c r="AG165" s="10">
        <f>RANK(AE165,$AE$5:$AE$222)</f>
        <v/>
      </c>
      <c r="AH165" s="29" t="n">
        <v>1168722</v>
      </c>
      <c r="AI165" s="9">
        <f>IF(AH165&gt;0,AE165/AH165-1,"")</f>
        <v/>
      </c>
      <c r="AJ165" s="29" t="n">
        <v>3906</v>
      </c>
      <c r="AK165" s="19">
        <f>IF(SUM($E165:E165)&gt;=AE165/2,0+5*(AE165/2-0)/E165,IF(SUM($E165:F165)&gt;=AE165/2,5+5*(AE165/2-SUM($E165:E165))/F165,IF(SUM($E165:G165)&gt;=AE165/2,10+5*(AE165/2-SUM($E165:F165))/G165,IF(SUM($E165:H165)&gt;=AE165/2,15+5*(AE165/2-SUM($E165:G165))/H165,IF(SUM($E165:I165)&gt;=AE165/2,20+5*(AE165/2-SUM($E165:H165))/I165,IF(SUM($E165:J165)&gt;=AE165/2,25+5*(AE165/2-SUM($E165:I165))/J165,IF(SUM($E165:K165)&gt;=AE165/2,30+5*(AE165/2-SUM($E165:J165))/K165,IF(SUM($E165:L165)&gt;=AE165/2,35+5*(AE165/2-SUM($E165:K165))/L165,IF(SUM($E165:M165)&gt;=AE165/2,40+5*(AE165/2-SUM($E165:L165))/M165,IF(SUM($E165:N165)&gt;=AE165/2,45+5*(AE165/2-SUM($E165:M165))/N165,IF(SUM($E165:O165)&gt;=AE165/2,50+5*(AE165/2-SUM($E165:N165))/O165,IF(SUM($E165:P165)&gt;=AE165/2,55+5*(AE165/2-SUM($E165:O165))/P165,IF(SUM($E165:Q165)&gt;=AE165/2,60+5*(AE165/2-SUM($E165:P165))/Q165,IF(SUM($E165:R165)&gt;=AE165/2,65+5*(AE165/2-SUM($E165:Q165))/R165,IF(SUM($E165:S165)&gt;=AE165/2,70+5*(AE165/2-SUM($E165:R165))/S165,IF(SUM($E165:T165)&gt;=AE165/2,75+5*(AE165/2-SUM($E165:S165))/T165,""))))))))))))))))</f>
        <v/>
      </c>
      <c r="AL165" s="30">
        <f>SUM(H165:Q165)</f>
        <v/>
      </c>
      <c r="AM165" s="36" t="n"/>
      <c r="AN165" s="36" t="n"/>
      <c r="AO165" s="33">
        <f>IF(AND(ISNUMBER(AN165),ISNUMBER(AM165)),(AN165-AM165)*100,"")</f>
        <v/>
      </c>
      <c r="AP165" s="30">
        <f>IF(ISNUMBER(AN165),AN165*AL165,"")</f>
        <v/>
      </c>
      <c r="AQ165" s="30">
        <f>IF(ISNUMBER(AN165),AL165,0)</f>
        <v/>
      </c>
      <c r="BB165" s="30">
        <f>IF(BA165="Yes",AX165,0)</f>
        <v/>
      </c>
      <c r="BC165" s="30">
        <f>IF(AND(BA165="Yes",ISNUMBER(AP165)),AP165,0)</f>
        <v/>
      </c>
      <c r="BD165" s="30">
        <f>IF(BA165="Yes",AX165,IF(ISNUMBER(AP165),AP165,0))</f>
        <v/>
      </c>
    </row>
    <row r="166">
      <c r="A166" s="6" t="inlineStr">
        <is>
          <t>FJI</t>
        </is>
      </c>
      <c r="B166" s="6" t="inlineStr">
        <is>
          <t>Fiji</t>
        </is>
      </c>
      <c r="C166" s="6" t="inlineStr">
        <is>
          <t>East Asia &amp; Pacific</t>
        </is>
      </c>
      <c r="D166" s="6" t="inlineStr">
        <is>
          <t>Upper middle income</t>
        </is>
      </c>
      <c r="E166" s="29" t="n">
        <v>80996</v>
      </c>
      <c r="F166" s="29" t="n">
        <v>84541</v>
      </c>
      <c r="G166" s="29" t="n">
        <v>84814</v>
      </c>
      <c r="H166" s="29" t="n">
        <v>82460</v>
      </c>
      <c r="I166" s="29" t="n">
        <v>75001</v>
      </c>
      <c r="J166" s="29" t="n">
        <v>72420</v>
      </c>
      <c r="K166" s="29" t="n">
        <v>72248</v>
      </c>
      <c r="L166" s="29" t="n">
        <v>68927</v>
      </c>
      <c r="M166" s="29" t="n">
        <v>67165</v>
      </c>
      <c r="N166" s="29" t="n">
        <v>57100</v>
      </c>
      <c r="O166" s="29" t="n">
        <v>45051</v>
      </c>
      <c r="P166" s="29" t="n">
        <v>42915</v>
      </c>
      <c r="Q166" s="29" t="n">
        <v>37604</v>
      </c>
      <c r="R166" s="29" t="n">
        <v>27257</v>
      </c>
      <c r="S166" s="29" t="n">
        <v>17106</v>
      </c>
      <c r="T166" s="29" t="n">
        <v>10312</v>
      </c>
      <c r="U166" s="29" t="n">
        <v>7239</v>
      </c>
      <c r="V166" s="29" t="n">
        <v>470025</v>
      </c>
      <c r="W166" s="29" t="n">
        <v>463131</v>
      </c>
      <c r="X166" s="30">
        <f>SUM(E166:G166)</f>
        <v/>
      </c>
      <c r="Y166" s="30">
        <f>SUM(H166:I166)</f>
        <v/>
      </c>
      <c r="Z166" s="30">
        <f>SUM(J166:K166)</f>
        <v/>
      </c>
      <c r="AA166" s="30">
        <f>SUM(L166:M166)</f>
        <v/>
      </c>
      <c r="AB166" s="30">
        <f>SUM(N166:O166)</f>
        <v/>
      </c>
      <c r="AC166" s="30">
        <f>SUM(P166:Q166)</f>
        <v/>
      </c>
      <c r="AD166" s="30">
        <f>SUM(R166:U166)</f>
        <v/>
      </c>
      <c r="AE166" s="31">
        <f>SUM(X166:AD166)</f>
        <v/>
      </c>
      <c r="AF166" s="32">
        <f>AE166/SUM($AE$5:$AE$222)</f>
        <v/>
      </c>
      <c r="AG166" s="10">
        <f>RANK(AE166,$AE$5:$AE$222)</f>
        <v/>
      </c>
      <c r="AH166" s="29" t="n">
        <v>928784</v>
      </c>
      <c r="AI166" s="9">
        <f>IF(AH166&gt;0,AE166/AH166-1,"")</f>
        <v/>
      </c>
      <c r="AJ166" s="29" t="n">
        <v>6642</v>
      </c>
      <c r="AK166" s="19">
        <f>IF(SUM($E166:E166)&gt;=AE166/2,0+5*(AE166/2-0)/E166,IF(SUM($E166:F166)&gt;=AE166/2,5+5*(AE166/2-SUM($E166:E166))/F166,IF(SUM($E166:G166)&gt;=AE166/2,10+5*(AE166/2-SUM($E166:F166))/G166,IF(SUM($E166:H166)&gt;=AE166/2,15+5*(AE166/2-SUM($E166:G166))/H166,IF(SUM($E166:I166)&gt;=AE166/2,20+5*(AE166/2-SUM($E166:H166))/I166,IF(SUM($E166:J166)&gt;=AE166/2,25+5*(AE166/2-SUM($E166:I166))/J166,IF(SUM($E166:K166)&gt;=AE166/2,30+5*(AE166/2-SUM($E166:J166))/K166,IF(SUM($E166:L166)&gt;=AE166/2,35+5*(AE166/2-SUM($E166:K166))/L166,IF(SUM($E166:M166)&gt;=AE166/2,40+5*(AE166/2-SUM($E166:L166))/M166,IF(SUM($E166:N166)&gt;=AE166/2,45+5*(AE166/2-SUM($E166:M166))/N166,IF(SUM($E166:O166)&gt;=AE166/2,50+5*(AE166/2-SUM($E166:N166))/O166,IF(SUM($E166:P166)&gt;=AE166/2,55+5*(AE166/2-SUM($E166:O166))/P166,IF(SUM($E166:Q166)&gt;=AE166/2,60+5*(AE166/2-SUM($E166:P166))/Q166,IF(SUM($E166:R166)&gt;=AE166/2,65+5*(AE166/2-SUM($E166:Q166))/R166,IF(SUM($E166:S166)&gt;=AE166/2,70+5*(AE166/2-SUM($E166:R166))/S166,IF(SUM($E166:T166)&gt;=AE166/2,75+5*(AE166/2-SUM($E166:S166))/T166,""))))))))))))))))</f>
        <v/>
      </c>
      <c r="AL166" s="30">
        <f>SUM(H166:Q166)</f>
        <v/>
      </c>
      <c r="AM166" s="36" t="n"/>
      <c r="AN166" s="36" t="n"/>
      <c r="AO166" s="33">
        <f>IF(AND(ISNUMBER(AN166),ISNUMBER(AM166)),(AN166-AM166)*100,"")</f>
        <v/>
      </c>
      <c r="AP166" s="30">
        <f>IF(ISNUMBER(AN166),AN166*AL166,"")</f>
        <v/>
      </c>
      <c r="AQ166" s="30">
        <f>IF(ISNUMBER(AN166),AL166,0)</f>
        <v/>
      </c>
      <c r="BB166" s="30">
        <f>IF(BA166="Yes",AX166,0)</f>
        <v/>
      </c>
      <c r="BC166" s="30">
        <f>IF(AND(BA166="Yes",ISNUMBER(AP166)),AP166,0)</f>
        <v/>
      </c>
      <c r="BD166" s="30">
        <f>IF(BA166="Yes",AX166,IF(ISNUMBER(AP166),AP166,0))</f>
        <v/>
      </c>
    </row>
    <row r="167">
      <c r="A167" s="6" t="inlineStr">
        <is>
          <t>COM</t>
        </is>
      </c>
      <c r="B167" s="6" t="inlineStr">
        <is>
          <t>Comoros</t>
        </is>
      </c>
      <c r="C167" s="6" t="inlineStr">
        <is>
          <t>Sub-Saharan Africa</t>
        </is>
      </c>
      <c r="D167" s="6" t="inlineStr">
        <is>
          <t>Lower middle income</t>
        </is>
      </c>
      <c r="E167" s="29" t="n">
        <v>115694</v>
      </c>
      <c r="F167" s="29" t="n">
        <v>108963</v>
      </c>
      <c r="G167" s="29" t="n">
        <v>100848</v>
      </c>
      <c r="H167" s="29" t="n">
        <v>89537</v>
      </c>
      <c r="I167" s="29" t="n">
        <v>79618</v>
      </c>
      <c r="J167" s="29" t="n">
        <v>67900</v>
      </c>
      <c r="K167" s="29" t="n">
        <v>56933</v>
      </c>
      <c r="L167" s="29" t="n">
        <v>55047</v>
      </c>
      <c r="M167" s="29" t="n">
        <v>48823</v>
      </c>
      <c r="N167" s="29" t="n">
        <v>41537</v>
      </c>
      <c r="O167" s="29" t="n">
        <v>32598</v>
      </c>
      <c r="P167" s="29" t="n">
        <v>26087</v>
      </c>
      <c r="Q167" s="29" t="n">
        <v>19938</v>
      </c>
      <c r="R167" s="29" t="n">
        <v>15013</v>
      </c>
      <c r="S167" s="29" t="n">
        <v>11017</v>
      </c>
      <c r="T167" s="29" t="n">
        <v>7459</v>
      </c>
      <c r="U167" s="29" t="n">
        <v>5835</v>
      </c>
      <c r="V167" s="29" t="n">
        <v>438971</v>
      </c>
      <c r="W167" s="29" t="n">
        <v>443876</v>
      </c>
      <c r="X167" s="30">
        <f>SUM(E167:G167)</f>
        <v/>
      </c>
      <c r="Y167" s="30">
        <f>SUM(H167:I167)</f>
        <v/>
      </c>
      <c r="Z167" s="30">
        <f>SUM(J167:K167)</f>
        <v/>
      </c>
      <c r="AA167" s="30">
        <f>SUM(L167:M167)</f>
        <v/>
      </c>
      <c r="AB167" s="30">
        <f>SUM(N167:O167)</f>
        <v/>
      </c>
      <c r="AC167" s="30">
        <f>SUM(P167:Q167)</f>
        <v/>
      </c>
      <c r="AD167" s="30">
        <f>SUM(R167:U167)</f>
        <v/>
      </c>
      <c r="AE167" s="31">
        <f>SUM(X167:AD167)</f>
        <v/>
      </c>
      <c r="AF167" s="32">
        <f>AE167/SUM($AE$5:$AE$222)</f>
        <v/>
      </c>
      <c r="AG167" s="10">
        <f>RANK(AE167,$AE$5:$AE$222)</f>
        <v/>
      </c>
      <c r="AH167" s="29" t="n">
        <v>866628</v>
      </c>
      <c r="AI167" s="9">
        <f>IF(AH167&gt;0,AE167/AH167-1,"")</f>
        <v/>
      </c>
      <c r="AJ167" s="29" t="n">
        <v>2056</v>
      </c>
      <c r="AK167" s="19">
        <f>IF(SUM($E167:E167)&gt;=AE167/2,0+5*(AE167/2-0)/E167,IF(SUM($E167:F167)&gt;=AE167/2,5+5*(AE167/2-SUM($E167:E167))/F167,IF(SUM($E167:G167)&gt;=AE167/2,10+5*(AE167/2-SUM($E167:F167))/G167,IF(SUM($E167:H167)&gt;=AE167/2,15+5*(AE167/2-SUM($E167:G167))/H167,IF(SUM($E167:I167)&gt;=AE167/2,20+5*(AE167/2-SUM($E167:H167))/I167,IF(SUM($E167:J167)&gt;=AE167/2,25+5*(AE167/2-SUM($E167:I167))/J167,IF(SUM($E167:K167)&gt;=AE167/2,30+5*(AE167/2-SUM($E167:J167))/K167,IF(SUM($E167:L167)&gt;=AE167/2,35+5*(AE167/2-SUM($E167:K167))/L167,IF(SUM($E167:M167)&gt;=AE167/2,40+5*(AE167/2-SUM($E167:L167))/M167,IF(SUM($E167:N167)&gt;=AE167/2,45+5*(AE167/2-SUM($E167:M167))/N167,IF(SUM($E167:O167)&gt;=AE167/2,50+5*(AE167/2-SUM($E167:N167))/O167,IF(SUM($E167:P167)&gt;=AE167/2,55+5*(AE167/2-SUM($E167:O167))/P167,IF(SUM($E167:Q167)&gt;=AE167/2,60+5*(AE167/2-SUM($E167:P167))/Q167,IF(SUM($E167:R167)&gt;=AE167/2,65+5*(AE167/2-SUM($E167:Q167))/R167,IF(SUM($E167:S167)&gt;=AE167/2,70+5*(AE167/2-SUM($E167:R167))/S167,IF(SUM($E167:T167)&gt;=AE167/2,75+5*(AE167/2-SUM($E167:S167))/T167,""))))))))))))))))</f>
        <v/>
      </c>
      <c r="AL167" s="30">
        <f>SUM(H167:Q167)</f>
        <v/>
      </c>
      <c r="AM167" s="36" t="n"/>
      <c r="AN167" s="36" t="n"/>
      <c r="AO167" s="33">
        <f>IF(AND(ISNUMBER(AN167),ISNUMBER(AM167)),(AN167-AM167)*100,"")</f>
        <v/>
      </c>
      <c r="AP167" s="30">
        <f>IF(ISNUMBER(AN167),AN167*AL167,"")</f>
        <v/>
      </c>
      <c r="AQ167" s="30">
        <f>IF(ISNUMBER(AN167),AL167,0)</f>
        <v/>
      </c>
      <c r="BB167" s="30">
        <f>IF(BA167="Yes",AX167,0)</f>
        <v/>
      </c>
      <c r="BC167" s="30">
        <f>IF(AND(BA167="Yes",ISNUMBER(AP167)),AP167,0)</f>
        <v/>
      </c>
      <c r="BD167" s="30">
        <f>IF(BA167="Yes",AX167,IF(ISNUMBER(AP167),AP167,0))</f>
        <v/>
      </c>
    </row>
    <row r="168">
      <c r="A168" s="6" t="inlineStr">
        <is>
          <t>SLB</t>
        </is>
      </c>
      <c r="B168" s="6" t="inlineStr">
        <is>
          <t>Solomon Islands</t>
        </is>
      </c>
      <c r="C168" s="6" t="inlineStr">
        <is>
          <t>East Asia &amp; Pacific</t>
        </is>
      </c>
      <c r="D168" s="6" t="inlineStr">
        <is>
          <t>Lower middle income</t>
        </is>
      </c>
      <c r="E168" s="29" t="n">
        <v>106076</v>
      </c>
      <c r="F168" s="29" t="n">
        <v>102438</v>
      </c>
      <c r="G168" s="29" t="n">
        <v>98074</v>
      </c>
      <c r="H168" s="29" t="n">
        <v>85535</v>
      </c>
      <c r="I168" s="29" t="n">
        <v>77643</v>
      </c>
      <c r="J168" s="29" t="n">
        <v>67568</v>
      </c>
      <c r="K168" s="29" t="n">
        <v>55235</v>
      </c>
      <c r="L168" s="29" t="n">
        <v>52830</v>
      </c>
      <c r="M168" s="29" t="n">
        <v>46611</v>
      </c>
      <c r="N168" s="29" t="n">
        <v>39812</v>
      </c>
      <c r="O168" s="29" t="n">
        <v>33289</v>
      </c>
      <c r="P168" s="29" t="n">
        <v>24786</v>
      </c>
      <c r="Q168" s="29" t="n">
        <v>17981</v>
      </c>
      <c r="R168" s="29" t="n">
        <v>12335</v>
      </c>
      <c r="S168" s="29" t="n">
        <v>8948</v>
      </c>
      <c r="T168" s="29" t="n">
        <v>5130</v>
      </c>
      <c r="U168" s="29" t="n">
        <v>4355</v>
      </c>
      <c r="V168" s="29" t="n">
        <v>409874</v>
      </c>
      <c r="W168" s="29" t="n">
        <v>428772</v>
      </c>
      <c r="X168" s="30">
        <f>SUM(E168:G168)</f>
        <v/>
      </c>
      <c r="Y168" s="30">
        <f>SUM(H168:I168)</f>
        <v/>
      </c>
      <c r="Z168" s="30">
        <f>SUM(J168:K168)</f>
        <v/>
      </c>
      <c r="AA168" s="30">
        <f>SUM(L168:M168)</f>
        <v/>
      </c>
      <c r="AB168" s="30">
        <f>SUM(N168:O168)</f>
        <v/>
      </c>
      <c r="AC168" s="30">
        <f>SUM(P168:Q168)</f>
        <v/>
      </c>
      <c r="AD168" s="30">
        <f>SUM(R168:U168)</f>
        <v/>
      </c>
      <c r="AE168" s="31">
        <f>SUM(X168:AD168)</f>
        <v/>
      </c>
      <c r="AF168" s="32">
        <f>AE168/SUM($AE$5:$AE$222)</f>
        <v/>
      </c>
      <c r="AG168" s="10">
        <f>RANK(AE168,$AE$5:$AE$222)</f>
        <v/>
      </c>
      <c r="AH168" s="29" t="n">
        <v>819198</v>
      </c>
      <c r="AI168" s="9">
        <f>IF(AH168&gt;0,AE168/AH168-1,"")</f>
        <v/>
      </c>
      <c r="AJ168" s="29" t="n">
        <v>2086</v>
      </c>
      <c r="AK168" s="19">
        <f>IF(SUM($E168:E168)&gt;=AE168/2,0+5*(AE168/2-0)/E168,IF(SUM($E168:F168)&gt;=AE168/2,5+5*(AE168/2-SUM($E168:E168))/F168,IF(SUM($E168:G168)&gt;=AE168/2,10+5*(AE168/2-SUM($E168:F168))/G168,IF(SUM($E168:H168)&gt;=AE168/2,15+5*(AE168/2-SUM($E168:G168))/H168,IF(SUM($E168:I168)&gt;=AE168/2,20+5*(AE168/2-SUM($E168:H168))/I168,IF(SUM($E168:J168)&gt;=AE168/2,25+5*(AE168/2-SUM($E168:I168))/J168,IF(SUM($E168:K168)&gt;=AE168/2,30+5*(AE168/2-SUM($E168:J168))/K168,IF(SUM($E168:L168)&gt;=AE168/2,35+5*(AE168/2-SUM($E168:K168))/L168,IF(SUM($E168:M168)&gt;=AE168/2,40+5*(AE168/2-SUM($E168:L168))/M168,IF(SUM($E168:N168)&gt;=AE168/2,45+5*(AE168/2-SUM($E168:M168))/N168,IF(SUM($E168:O168)&gt;=AE168/2,50+5*(AE168/2-SUM($E168:N168))/O168,IF(SUM($E168:P168)&gt;=AE168/2,55+5*(AE168/2-SUM($E168:O168))/P168,IF(SUM($E168:Q168)&gt;=AE168/2,60+5*(AE168/2-SUM($E168:P168))/Q168,IF(SUM($E168:R168)&gt;=AE168/2,65+5*(AE168/2-SUM($E168:Q168))/R168,IF(SUM($E168:S168)&gt;=AE168/2,70+5*(AE168/2-SUM($E168:R168))/S168,IF(SUM($E168:T168)&gt;=AE168/2,75+5*(AE168/2-SUM($E168:S168))/T168,""))))))))))))))))</f>
        <v/>
      </c>
      <c r="AL168" s="30">
        <f>SUM(H168:Q168)</f>
        <v/>
      </c>
      <c r="AM168" s="36" t="n"/>
      <c r="AN168" s="36" t="n"/>
      <c r="AO168" s="33">
        <f>IF(AND(ISNUMBER(AN168),ISNUMBER(AM168)),(AN168-AM168)*100,"")</f>
        <v/>
      </c>
      <c r="AP168" s="30">
        <f>IF(ISNUMBER(AN168),AN168*AL168,"")</f>
        <v/>
      </c>
      <c r="AQ168" s="30">
        <f>IF(ISNUMBER(AN168),AL168,0)</f>
        <v/>
      </c>
      <c r="BB168" s="30">
        <f>IF(BA168="Yes",AX168,0)</f>
        <v/>
      </c>
      <c r="BC168" s="30">
        <f>IF(AND(BA168="Yes",ISNUMBER(AP168)),AP168,0)</f>
        <v/>
      </c>
      <c r="BD168" s="30">
        <f>IF(BA168="Yes",AX168,IF(ISNUMBER(AP168),AP168,0))</f>
        <v/>
      </c>
    </row>
    <row r="169">
      <c r="A169" s="6" t="inlineStr">
        <is>
          <t>GUY</t>
        </is>
      </c>
      <c r="B169" s="6" t="inlineStr">
        <is>
          <t>Guyana</t>
        </is>
      </c>
      <c r="C169" s="6" t="inlineStr">
        <is>
          <t>Latin America &amp; Caribbean</t>
        </is>
      </c>
      <c r="D169" s="6" t="inlineStr">
        <is>
          <t>High income</t>
        </is>
      </c>
      <c r="E169" s="29" t="n">
        <v>80942</v>
      </c>
      <c r="F169" s="29" t="n">
        <v>81816</v>
      </c>
      <c r="G169" s="29" t="n">
        <v>79121</v>
      </c>
      <c r="H169" s="29" t="n">
        <v>73311</v>
      </c>
      <c r="I169" s="29" t="n">
        <v>69422</v>
      </c>
      <c r="J169" s="29" t="n">
        <v>74954</v>
      </c>
      <c r="K169" s="29" t="n">
        <v>66400</v>
      </c>
      <c r="L169" s="29" t="n">
        <v>50221</v>
      </c>
      <c r="M169" s="29" t="n">
        <v>44706</v>
      </c>
      <c r="N169" s="29" t="n">
        <v>44523</v>
      </c>
      <c r="O169" s="29" t="n">
        <v>42267</v>
      </c>
      <c r="P169" s="29" t="n">
        <v>37969</v>
      </c>
      <c r="Q169" s="29" t="n">
        <v>31977</v>
      </c>
      <c r="R169" s="29" t="n">
        <v>24145</v>
      </c>
      <c r="S169" s="29" t="n">
        <v>15586</v>
      </c>
      <c r="T169" s="29" t="n">
        <v>9855</v>
      </c>
      <c r="U169" s="29" t="n">
        <v>8772</v>
      </c>
      <c r="V169" s="29" t="n">
        <v>429168</v>
      </c>
      <c r="W169" s="29" t="n">
        <v>406819</v>
      </c>
      <c r="X169" s="30">
        <f>SUM(E169:G169)</f>
        <v/>
      </c>
      <c r="Y169" s="30">
        <f>SUM(H169:I169)</f>
        <v/>
      </c>
      <c r="Z169" s="30">
        <f>SUM(J169:K169)</f>
        <v/>
      </c>
      <c r="AA169" s="30">
        <f>SUM(L169:M169)</f>
        <v/>
      </c>
      <c r="AB169" s="30">
        <f>SUM(N169:O169)</f>
        <v/>
      </c>
      <c r="AC169" s="30">
        <f>SUM(P169:Q169)</f>
        <v/>
      </c>
      <c r="AD169" s="30">
        <f>SUM(R169:U169)</f>
        <v/>
      </c>
      <c r="AE169" s="31">
        <f>SUM(X169:AD169)</f>
        <v/>
      </c>
      <c r="AF169" s="32">
        <f>AE169/SUM($AE$5:$AE$222)</f>
        <v/>
      </c>
      <c r="AG169" s="10">
        <f>RANK(AE169,$AE$5:$AE$222)</f>
        <v/>
      </c>
      <c r="AH169" s="29" t="n">
        <v>831087</v>
      </c>
      <c r="AI169" s="9">
        <f>IF(AH169&gt;0,AE169/AH169-1,"")</f>
        <v/>
      </c>
      <c r="AJ169" s="29" t="n">
        <v>32414</v>
      </c>
      <c r="AK169" s="19">
        <f>IF(SUM($E169:E169)&gt;=AE169/2,0+5*(AE169/2-0)/E169,IF(SUM($E169:F169)&gt;=AE169/2,5+5*(AE169/2-SUM($E169:E169))/F169,IF(SUM($E169:G169)&gt;=AE169/2,10+5*(AE169/2-SUM($E169:F169))/G169,IF(SUM($E169:H169)&gt;=AE169/2,15+5*(AE169/2-SUM($E169:G169))/H169,IF(SUM($E169:I169)&gt;=AE169/2,20+5*(AE169/2-SUM($E169:H169))/I169,IF(SUM($E169:J169)&gt;=AE169/2,25+5*(AE169/2-SUM($E169:I169))/J169,IF(SUM($E169:K169)&gt;=AE169/2,30+5*(AE169/2-SUM($E169:J169))/K169,IF(SUM($E169:L169)&gt;=AE169/2,35+5*(AE169/2-SUM($E169:K169))/L169,IF(SUM($E169:M169)&gt;=AE169/2,40+5*(AE169/2-SUM($E169:L169))/M169,IF(SUM($E169:N169)&gt;=AE169/2,45+5*(AE169/2-SUM($E169:M169))/N169,IF(SUM($E169:O169)&gt;=AE169/2,50+5*(AE169/2-SUM($E169:N169))/O169,IF(SUM($E169:P169)&gt;=AE169/2,55+5*(AE169/2-SUM($E169:O169))/P169,IF(SUM($E169:Q169)&gt;=AE169/2,60+5*(AE169/2-SUM($E169:P169))/Q169,IF(SUM($E169:R169)&gt;=AE169/2,65+5*(AE169/2-SUM($E169:Q169))/R169,IF(SUM($E169:S169)&gt;=AE169/2,70+5*(AE169/2-SUM($E169:R169))/S169,IF(SUM($E169:T169)&gt;=AE169/2,75+5*(AE169/2-SUM($E169:S169))/T169,""))))))))))))))))</f>
        <v/>
      </c>
      <c r="AL169" s="30">
        <f>SUM(H169:Q169)</f>
        <v/>
      </c>
      <c r="AM169" s="24" t="n">
        <v>0.083</v>
      </c>
      <c r="AN169" s="24" t="n">
        <v>0.113</v>
      </c>
      <c r="AO169" s="33">
        <f>IF(AND(ISNUMBER(AN169),ISNUMBER(AM169)),(AN169-AM169)*100,"")</f>
        <v/>
      </c>
      <c r="AP169" s="30">
        <f>IF(ISNUMBER(AN169),AN169*AL169,"")</f>
        <v/>
      </c>
      <c r="AQ169" s="30">
        <f>IF(ISNUMBER(AN169),AL169,0)</f>
        <v/>
      </c>
      <c r="BB169" s="30">
        <f>IF(BA169="Yes",AX169,0)</f>
        <v/>
      </c>
      <c r="BC169" s="30">
        <f>IF(AND(BA169="Yes",ISNUMBER(AP169)),AP169,0)</f>
        <v/>
      </c>
      <c r="BD169" s="30">
        <f>IF(BA169="Yes",AX169,IF(ISNUMBER(AP169),AP169,0))</f>
        <v/>
      </c>
    </row>
    <row r="170">
      <c r="A170" s="6" t="inlineStr">
        <is>
          <t>BTN</t>
        </is>
      </c>
      <c r="B170" s="6" t="inlineStr">
        <is>
          <t>Bhutan</t>
        </is>
      </c>
      <c r="C170" s="6" t="inlineStr">
        <is>
          <t>South Asia</t>
        </is>
      </c>
      <c r="D170" s="6" t="inlineStr">
        <is>
          <t>Lower middle income</t>
        </is>
      </c>
      <c r="E170" s="29" t="n">
        <v>48778</v>
      </c>
      <c r="F170" s="29" t="n">
        <v>50724</v>
      </c>
      <c r="G170" s="29" t="n">
        <v>62711</v>
      </c>
      <c r="H170" s="29" t="n">
        <v>66647</v>
      </c>
      <c r="I170" s="29" t="n">
        <v>73389</v>
      </c>
      <c r="J170" s="29" t="n">
        <v>73005</v>
      </c>
      <c r="K170" s="29" t="n">
        <v>81082</v>
      </c>
      <c r="L170" s="29" t="n">
        <v>77003</v>
      </c>
      <c r="M170" s="29" t="n">
        <v>62701</v>
      </c>
      <c r="N170" s="29" t="n">
        <v>51391</v>
      </c>
      <c r="O170" s="29" t="n">
        <v>38465</v>
      </c>
      <c r="P170" s="29" t="n">
        <v>32765</v>
      </c>
      <c r="Q170" s="29" t="n">
        <v>25222</v>
      </c>
      <c r="R170" s="29" t="n">
        <v>20456</v>
      </c>
      <c r="S170" s="29" t="n">
        <v>14745</v>
      </c>
      <c r="T170" s="29" t="n">
        <v>9110</v>
      </c>
      <c r="U170" s="29" t="n">
        <v>8488</v>
      </c>
      <c r="V170" s="29" t="n">
        <v>371189</v>
      </c>
      <c r="W170" s="29" t="n">
        <v>425493</v>
      </c>
      <c r="X170" s="30">
        <f>SUM(E170:G170)</f>
        <v/>
      </c>
      <c r="Y170" s="30">
        <f>SUM(H170:I170)</f>
        <v/>
      </c>
      <c r="Z170" s="30">
        <f>SUM(J170:K170)</f>
        <v/>
      </c>
      <c r="AA170" s="30">
        <f>SUM(L170:M170)</f>
        <v/>
      </c>
      <c r="AB170" s="30">
        <f>SUM(N170:O170)</f>
        <v/>
      </c>
      <c r="AC170" s="30">
        <f>SUM(P170:Q170)</f>
        <v/>
      </c>
      <c r="AD170" s="30">
        <f>SUM(R170:U170)</f>
        <v/>
      </c>
      <c r="AE170" s="31">
        <f>SUM(X170:AD170)</f>
        <v/>
      </c>
      <c r="AF170" s="32">
        <f>AE170/SUM($AE$5:$AE$222)</f>
        <v/>
      </c>
      <c r="AG170" s="10">
        <f>RANK(AE170,$AE$5:$AE$222)</f>
        <v/>
      </c>
      <c r="AH170" s="29" t="n">
        <v>791524</v>
      </c>
      <c r="AI170" s="9">
        <f>IF(AH170&gt;0,AE170/AH170-1,"")</f>
        <v/>
      </c>
      <c r="AJ170" s="29" t="n">
        <v>4493</v>
      </c>
      <c r="AK170" s="19">
        <f>IF(SUM($E170:E170)&gt;=AE170/2,0+5*(AE170/2-0)/E170,IF(SUM($E170:F170)&gt;=AE170/2,5+5*(AE170/2-SUM($E170:E170))/F170,IF(SUM($E170:G170)&gt;=AE170/2,10+5*(AE170/2-SUM($E170:F170))/G170,IF(SUM($E170:H170)&gt;=AE170/2,15+5*(AE170/2-SUM($E170:G170))/H170,IF(SUM($E170:I170)&gt;=AE170/2,20+5*(AE170/2-SUM($E170:H170))/I170,IF(SUM($E170:J170)&gt;=AE170/2,25+5*(AE170/2-SUM($E170:I170))/J170,IF(SUM($E170:K170)&gt;=AE170/2,30+5*(AE170/2-SUM($E170:J170))/K170,IF(SUM($E170:L170)&gt;=AE170/2,35+5*(AE170/2-SUM($E170:K170))/L170,IF(SUM($E170:M170)&gt;=AE170/2,40+5*(AE170/2-SUM($E170:L170))/M170,IF(SUM($E170:N170)&gt;=AE170/2,45+5*(AE170/2-SUM($E170:M170))/N170,IF(SUM($E170:O170)&gt;=AE170/2,50+5*(AE170/2-SUM($E170:N170))/O170,IF(SUM($E170:P170)&gt;=AE170/2,55+5*(AE170/2-SUM($E170:O170))/P170,IF(SUM($E170:Q170)&gt;=AE170/2,60+5*(AE170/2-SUM($E170:P170))/Q170,IF(SUM($E170:R170)&gt;=AE170/2,65+5*(AE170/2-SUM($E170:Q170))/R170,IF(SUM($E170:S170)&gt;=AE170/2,70+5*(AE170/2-SUM($E170:R170))/S170,IF(SUM($E170:T170)&gt;=AE170/2,75+5*(AE170/2-SUM($E170:S170))/T170,""))))))))))))))))</f>
        <v/>
      </c>
      <c r="AL170" s="30">
        <f>SUM(H170:Q170)</f>
        <v/>
      </c>
      <c r="AM170" s="36" t="n"/>
      <c r="AN170" s="36" t="n"/>
      <c r="AO170" s="33">
        <f>IF(AND(ISNUMBER(AN170),ISNUMBER(AM170)),(AN170-AM170)*100,"")</f>
        <v/>
      </c>
      <c r="AP170" s="30">
        <f>IF(ISNUMBER(AN170),AN170*AL170,"")</f>
        <v/>
      </c>
      <c r="AQ170" s="30">
        <f>IF(ISNUMBER(AN170),AL170,0)</f>
        <v/>
      </c>
      <c r="BB170" s="30">
        <f>IF(BA170="Yes",AX170,0)</f>
        <v/>
      </c>
      <c r="BC170" s="30">
        <f>IF(AND(BA170="Yes",ISNUMBER(AP170)),AP170,0)</f>
        <v/>
      </c>
      <c r="BD170" s="30">
        <f>IF(BA170="Yes",AX170,IF(ISNUMBER(AP170),AP170,0))</f>
        <v/>
      </c>
    </row>
    <row r="171">
      <c r="A171" s="6" t="inlineStr">
        <is>
          <t>LUX</t>
        </is>
      </c>
      <c r="B171" s="6" t="inlineStr">
        <is>
          <t>Luxembourg</t>
        </is>
      </c>
      <c r="C171" s="6" t="inlineStr">
        <is>
          <t>Europe &amp; Central Asia</t>
        </is>
      </c>
      <c r="D171" s="6" t="inlineStr">
        <is>
          <t>High income</t>
        </is>
      </c>
      <c r="E171" s="29" t="n">
        <v>35500</v>
      </c>
      <c r="F171" s="29" t="n">
        <v>35987</v>
      </c>
      <c r="G171" s="29" t="n">
        <v>36684</v>
      </c>
      <c r="H171" s="29" t="n">
        <v>36151</v>
      </c>
      <c r="I171" s="29" t="n">
        <v>37883</v>
      </c>
      <c r="J171" s="29" t="n">
        <v>47385</v>
      </c>
      <c r="K171" s="29" t="n">
        <v>54092</v>
      </c>
      <c r="L171" s="29" t="n">
        <v>54735</v>
      </c>
      <c r="M171" s="29" t="n">
        <v>52414</v>
      </c>
      <c r="N171" s="29" t="n">
        <v>49667</v>
      </c>
      <c r="O171" s="29" t="n">
        <v>47590</v>
      </c>
      <c r="P171" s="29" t="n">
        <v>47502</v>
      </c>
      <c r="Q171" s="29" t="n">
        <v>42755</v>
      </c>
      <c r="R171" s="29" t="n">
        <v>33864</v>
      </c>
      <c r="S171" s="29" t="n">
        <v>26510</v>
      </c>
      <c r="T171" s="29" t="n">
        <v>20521</v>
      </c>
      <c r="U171" s="29" t="n">
        <v>27731</v>
      </c>
      <c r="V171" s="29" t="n">
        <v>341071</v>
      </c>
      <c r="W171" s="29" t="n">
        <v>345900</v>
      </c>
      <c r="X171" s="30">
        <f>SUM(E171:G171)</f>
        <v/>
      </c>
      <c r="Y171" s="30">
        <f>SUM(H171:I171)</f>
        <v/>
      </c>
      <c r="Z171" s="30">
        <f>SUM(J171:K171)</f>
        <v/>
      </c>
      <c r="AA171" s="30">
        <f>SUM(L171:M171)</f>
        <v/>
      </c>
      <c r="AB171" s="30">
        <f>SUM(N171:O171)</f>
        <v/>
      </c>
      <c r="AC171" s="30">
        <f>SUM(P171:Q171)</f>
        <v/>
      </c>
      <c r="AD171" s="30">
        <f>SUM(R171:U171)</f>
        <v/>
      </c>
      <c r="AE171" s="31">
        <f>SUM(X171:AD171)</f>
        <v/>
      </c>
      <c r="AF171" s="32">
        <f>AE171/SUM($AE$5:$AE$222)</f>
        <v/>
      </c>
      <c r="AG171" s="10">
        <f>RANK(AE171,$AE$5:$AE$222)</f>
        <v/>
      </c>
      <c r="AH171" s="29" t="n">
        <v>677012</v>
      </c>
      <c r="AI171" s="9">
        <f>IF(AH171&gt;0,AE171/AH171-1,"")</f>
        <v/>
      </c>
      <c r="AJ171" s="29" t="n">
        <v>147252</v>
      </c>
      <c r="AK171" s="19">
        <f>IF(SUM($E171:E171)&gt;=AE171/2,0+5*(AE171/2-0)/E171,IF(SUM($E171:F171)&gt;=AE171/2,5+5*(AE171/2-SUM($E171:E171))/F171,IF(SUM($E171:G171)&gt;=AE171/2,10+5*(AE171/2-SUM($E171:F171))/G171,IF(SUM($E171:H171)&gt;=AE171/2,15+5*(AE171/2-SUM($E171:G171))/H171,IF(SUM($E171:I171)&gt;=AE171/2,20+5*(AE171/2-SUM($E171:H171))/I171,IF(SUM($E171:J171)&gt;=AE171/2,25+5*(AE171/2-SUM($E171:I171))/J171,IF(SUM($E171:K171)&gt;=AE171/2,30+5*(AE171/2-SUM($E171:J171))/K171,IF(SUM($E171:L171)&gt;=AE171/2,35+5*(AE171/2-SUM($E171:K171))/L171,IF(SUM($E171:M171)&gt;=AE171/2,40+5*(AE171/2-SUM($E171:L171))/M171,IF(SUM($E171:N171)&gt;=AE171/2,45+5*(AE171/2-SUM($E171:M171))/N171,IF(SUM($E171:O171)&gt;=AE171/2,50+5*(AE171/2-SUM($E171:N171))/O171,IF(SUM($E171:P171)&gt;=AE171/2,55+5*(AE171/2-SUM($E171:O171))/P171,IF(SUM($E171:Q171)&gt;=AE171/2,60+5*(AE171/2-SUM($E171:P171))/Q171,IF(SUM($E171:R171)&gt;=AE171/2,65+5*(AE171/2-SUM($E171:Q171))/R171,IF(SUM($E171:S171)&gt;=AE171/2,70+5*(AE171/2-SUM($E171:R171))/S171,IF(SUM($E171:T171)&gt;=AE171/2,75+5*(AE171/2-SUM($E171:S171))/T171,""))))))))))))))))</f>
        <v/>
      </c>
      <c r="AL171" s="30">
        <f>SUM(H171:Q171)</f>
        <v/>
      </c>
      <c r="AM171" s="36" t="n"/>
      <c r="AN171" s="36" t="n"/>
      <c r="AO171" s="33">
        <f>IF(AND(ISNUMBER(AN171),ISNUMBER(AM171)),(AN171-AM171)*100,"")</f>
        <v/>
      </c>
      <c r="AP171" s="30">
        <f>IF(ISNUMBER(AN171),AN171*AL171,"")</f>
        <v/>
      </c>
      <c r="AQ171" s="30">
        <f>IF(ISNUMBER(AN171),AL171,0)</f>
        <v/>
      </c>
      <c r="AR171" s="24" t="n">
        <v>0.4254</v>
      </c>
      <c r="AS171" s="6" t="inlineStr">
        <is>
          <t>population</t>
        </is>
      </c>
      <c r="AT171" s="6" t="inlineStr">
        <is>
          <t>16-74</t>
        </is>
      </c>
      <c r="AU171" s="24" t="n">
        <v>1</v>
      </c>
      <c r="AV171" s="30">
        <f>H171*0.8+I171+J171+K171+L171+M171+N171+O171+P171+Q171+R171+S171</f>
        <v/>
      </c>
      <c r="AX171" s="30">
        <f>IF(ISNUMBER(AW171),AW171,AR171*AU171*AV171)</f>
        <v/>
      </c>
      <c r="AY171" s="34">
        <f>AX171/AV171</f>
        <v/>
      </c>
      <c r="AZ171" s="6" t="inlineStr">
        <is>
          <t>A</t>
        </is>
      </c>
      <c r="BA171" s="6" t="inlineStr">
        <is>
          <t>Yes</t>
        </is>
      </c>
      <c r="BB171" s="30">
        <f>IF(BA171="Yes",AX171,0)</f>
        <v/>
      </c>
      <c r="BC171" s="30">
        <f>IF(AND(BA171="Yes",ISNUMBER(AP171)),AP171,0)</f>
        <v/>
      </c>
      <c r="BD171" s="30">
        <f>IF(BA171="Yes",AX171,IF(ISNUMBER(AP171),AP171,0))</f>
        <v/>
      </c>
      <c r="BE171" s="6" t="inlineStr">
        <is>
          <t>Used generative AI tools in the last 3 months</t>
        </is>
      </c>
      <c r="BF171" s="6" t="inlineStr">
        <is>
          <t>2025 survey (Q2, most countries)</t>
        </is>
      </c>
      <c r="BG171" s="6" t="inlineStr">
        <is>
          <t>Eurostat: ICT usage in households and by individuals 2025, dataset isoc_ai_iaiu</t>
        </is>
      </c>
      <c r="BH171" s="6" t="inlineStr">
        <is>
          <t>https://ec.europa.eu/eurostat/databrowser/view/isoc_ai_iaiu/default/table</t>
        </is>
      </c>
    </row>
    <row r="172">
      <c r="A172" s="6" t="inlineStr">
        <is>
          <t>MAC</t>
        </is>
      </c>
      <c r="B172" s="6" t="inlineStr">
        <is>
          <t>Macao SAR, China</t>
        </is>
      </c>
      <c r="C172" s="6" t="inlineStr">
        <is>
          <t>East Asia &amp; Pacific</t>
        </is>
      </c>
      <c r="D172" s="6" t="inlineStr">
        <is>
          <t>High income</t>
        </is>
      </c>
      <c r="E172" s="29" t="n">
        <v>24079</v>
      </c>
      <c r="F172" s="29" t="n">
        <v>34616</v>
      </c>
      <c r="G172" s="29" t="n">
        <v>35335</v>
      </c>
      <c r="H172" s="29" t="n">
        <v>28333</v>
      </c>
      <c r="I172" s="29" t="n">
        <v>35021</v>
      </c>
      <c r="J172" s="29" t="n">
        <v>46612</v>
      </c>
      <c r="K172" s="29" t="n">
        <v>60788</v>
      </c>
      <c r="L172" s="29" t="n">
        <v>70538</v>
      </c>
      <c r="M172" s="29" t="n">
        <v>58993</v>
      </c>
      <c r="N172" s="29" t="n">
        <v>45962</v>
      </c>
      <c r="O172" s="29" t="n">
        <v>51897</v>
      </c>
      <c r="P172" s="29" t="n">
        <v>42825</v>
      </c>
      <c r="Q172" s="29" t="n">
        <v>47367</v>
      </c>
      <c r="R172" s="29" t="n">
        <v>41912</v>
      </c>
      <c r="S172" s="29" t="n">
        <v>30154</v>
      </c>
      <c r="T172" s="29" t="n">
        <v>17814</v>
      </c>
      <c r="U172" s="29" t="n">
        <v>13656</v>
      </c>
      <c r="V172" s="29" t="n">
        <v>370199</v>
      </c>
      <c r="W172" s="29" t="n">
        <v>315703</v>
      </c>
      <c r="X172" s="30">
        <f>SUM(E172:G172)</f>
        <v/>
      </c>
      <c r="Y172" s="30">
        <f>SUM(H172:I172)</f>
        <v/>
      </c>
      <c r="Z172" s="30">
        <f>SUM(J172:K172)</f>
        <v/>
      </c>
      <c r="AA172" s="30">
        <f>SUM(L172:M172)</f>
        <v/>
      </c>
      <c r="AB172" s="30">
        <f>SUM(N172:O172)</f>
        <v/>
      </c>
      <c r="AC172" s="30">
        <f>SUM(P172:Q172)</f>
        <v/>
      </c>
      <c r="AD172" s="30">
        <f>SUM(R172:U172)</f>
        <v/>
      </c>
      <c r="AE172" s="31">
        <f>SUM(X172:AD172)</f>
        <v/>
      </c>
      <c r="AF172" s="32">
        <f>AE172/SUM($AE$5:$AE$222)</f>
        <v/>
      </c>
      <c r="AG172" s="10">
        <f>RANK(AE172,$AE$5:$AE$222)</f>
        <v/>
      </c>
      <c r="AH172" s="29" t="n">
        <v>687000</v>
      </c>
      <c r="AI172" s="9">
        <f>IF(AH172&gt;0,AE172/AH172-1,"")</f>
        <v/>
      </c>
      <c r="AJ172" s="29" t="n">
        <v>75902</v>
      </c>
      <c r="AK172" s="19">
        <f>IF(SUM($E172:E172)&gt;=AE172/2,0+5*(AE172/2-0)/E172,IF(SUM($E172:F172)&gt;=AE172/2,5+5*(AE172/2-SUM($E172:E172))/F172,IF(SUM($E172:G172)&gt;=AE172/2,10+5*(AE172/2-SUM($E172:F172))/G172,IF(SUM($E172:H172)&gt;=AE172/2,15+5*(AE172/2-SUM($E172:G172))/H172,IF(SUM($E172:I172)&gt;=AE172/2,20+5*(AE172/2-SUM($E172:H172))/I172,IF(SUM($E172:J172)&gt;=AE172/2,25+5*(AE172/2-SUM($E172:I172))/J172,IF(SUM($E172:K172)&gt;=AE172/2,30+5*(AE172/2-SUM($E172:J172))/K172,IF(SUM($E172:L172)&gt;=AE172/2,35+5*(AE172/2-SUM($E172:K172))/L172,IF(SUM($E172:M172)&gt;=AE172/2,40+5*(AE172/2-SUM($E172:L172))/M172,IF(SUM($E172:N172)&gt;=AE172/2,45+5*(AE172/2-SUM($E172:M172))/N172,IF(SUM($E172:O172)&gt;=AE172/2,50+5*(AE172/2-SUM($E172:N172))/O172,IF(SUM($E172:P172)&gt;=AE172/2,55+5*(AE172/2-SUM($E172:O172))/P172,IF(SUM($E172:Q172)&gt;=AE172/2,60+5*(AE172/2-SUM($E172:P172))/Q172,IF(SUM($E172:R172)&gt;=AE172/2,65+5*(AE172/2-SUM($E172:Q172))/R172,IF(SUM($E172:S172)&gt;=AE172/2,70+5*(AE172/2-SUM($E172:R172))/S172,IF(SUM($E172:T172)&gt;=AE172/2,75+5*(AE172/2-SUM($E172:S172))/T172,""))))))))))))))))</f>
        <v/>
      </c>
      <c r="AL172" s="30">
        <f>SUM(H172:Q172)</f>
        <v/>
      </c>
      <c r="AM172" s="36" t="n"/>
      <c r="AN172" s="36" t="n"/>
      <c r="AO172" s="33">
        <f>IF(AND(ISNUMBER(AN172),ISNUMBER(AM172)),(AN172-AM172)*100,"")</f>
        <v/>
      </c>
      <c r="AP172" s="30">
        <f>IF(ISNUMBER(AN172),AN172*AL172,"")</f>
        <v/>
      </c>
      <c r="AQ172" s="30">
        <f>IF(ISNUMBER(AN172),AL172,0)</f>
        <v/>
      </c>
      <c r="BB172" s="30">
        <f>IF(BA172="Yes",AX172,0)</f>
        <v/>
      </c>
      <c r="BC172" s="30">
        <f>IF(AND(BA172="Yes",ISNUMBER(AP172)),AP172,0)</f>
        <v/>
      </c>
      <c r="BD172" s="30">
        <f>IF(BA172="Yes",AX172,IF(ISNUMBER(AP172),AP172,0))</f>
        <v/>
      </c>
    </row>
    <row r="173">
      <c r="A173" s="6" t="inlineStr">
        <is>
          <t>SUR</t>
        </is>
      </c>
      <c r="B173" s="6" t="inlineStr">
        <is>
          <t>Suriname</t>
        </is>
      </c>
      <c r="C173" s="6" t="inlineStr">
        <is>
          <t>Latin America &amp; Caribbean</t>
        </is>
      </c>
      <c r="D173" s="6" t="inlineStr">
        <is>
          <t>Upper middle income</t>
        </is>
      </c>
      <c r="E173" s="29" t="n">
        <v>53370</v>
      </c>
      <c r="F173" s="29" t="n">
        <v>53512</v>
      </c>
      <c r="G173" s="29" t="n">
        <v>55239</v>
      </c>
      <c r="H173" s="29" t="n">
        <v>54583</v>
      </c>
      <c r="I173" s="29" t="n">
        <v>54539</v>
      </c>
      <c r="J173" s="29" t="n">
        <v>52389</v>
      </c>
      <c r="K173" s="29" t="n">
        <v>44969</v>
      </c>
      <c r="L173" s="29" t="n">
        <v>43049</v>
      </c>
      <c r="M173" s="29" t="n">
        <v>42542</v>
      </c>
      <c r="N173" s="29" t="n">
        <v>35804</v>
      </c>
      <c r="O173" s="29" t="n">
        <v>35975</v>
      </c>
      <c r="P173" s="29" t="n">
        <v>32863</v>
      </c>
      <c r="Q173" s="29" t="n">
        <v>28605</v>
      </c>
      <c r="R173" s="29" t="n">
        <v>20579</v>
      </c>
      <c r="S173" s="29" t="n">
        <v>14159</v>
      </c>
      <c r="T173" s="29" t="n">
        <v>8472</v>
      </c>
      <c r="U173" s="29" t="n">
        <v>9203</v>
      </c>
      <c r="V173" s="29" t="n">
        <v>320344</v>
      </c>
      <c r="W173" s="29" t="n">
        <v>319508</v>
      </c>
      <c r="X173" s="30">
        <f>SUM(E173:G173)</f>
        <v/>
      </c>
      <c r="Y173" s="30">
        <f>SUM(H173:I173)</f>
        <v/>
      </c>
      <c r="Z173" s="30">
        <f>SUM(J173:K173)</f>
        <v/>
      </c>
      <c r="AA173" s="30">
        <f>SUM(L173:M173)</f>
        <v/>
      </c>
      <c r="AB173" s="30">
        <f>SUM(N173:O173)</f>
        <v/>
      </c>
      <c r="AC173" s="30">
        <f>SUM(P173:Q173)</f>
        <v/>
      </c>
      <c r="AD173" s="30">
        <f>SUM(R173:U173)</f>
        <v/>
      </c>
      <c r="AE173" s="31">
        <f>SUM(X173:AD173)</f>
        <v/>
      </c>
      <c r="AF173" s="32">
        <f>AE173/SUM($AE$5:$AE$222)</f>
        <v/>
      </c>
      <c r="AG173" s="10">
        <f>RANK(AE173,$AE$5:$AE$222)</f>
        <v/>
      </c>
      <c r="AH173" s="29" t="n">
        <v>634431</v>
      </c>
      <c r="AI173" s="9">
        <f>IF(AH173&gt;0,AE173/AH173-1,"")</f>
        <v/>
      </c>
      <c r="AJ173" s="29" t="n">
        <v>7070</v>
      </c>
      <c r="AK173" s="19">
        <f>IF(SUM($E173:E173)&gt;=AE173/2,0+5*(AE173/2-0)/E173,IF(SUM($E173:F173)&gt;=AE173/2,5+5*(AE173/2-SUM($E173:E173))/F173,IF(SUM($E173:G173)&gt;=AE173/2,10+5*(AE173/2-SUM($E173:F173))/G173,IF(SUM($E173:H173)&gt;=AE173/2,15+5*(AE173/2-SUM($E173:G173))/H173,IF(SUM($E173:I173)&gt;=AE173/2,20+5*(AE173/2-SUM($E173:H173))/I173,IF(SUM($E173:J173)&gt;=AE173/2,25+5*(AE173/2-SUM($E173:I173))/J173,IF(SUM($E173:K173)&gt;=AE173/2,30+5*(AE173/2-SUM($E173:J173))/K173,IF(SUM($E173:L173)&gt;=AE173/2,35+5*(AE173/2-SUM($E173:K173))/L173,IF(SUM($E173:M173)&gt;=AE173/2,40+5*(AE173/2-SUM($E173:L173))/M173,IF(SUM($E173:N173)&gt;=AE173/2,45+5*(AE173/2-SUM($E173:M173))/N173,IF(SUM($E173:O173)&gt;=AE173/2,50+5*(AE173/2-SUM($E173:N173))/O173,IF(SUM($E173:P173)&gt;=AE173/2,55+5*(AE173/2-SUM($E173:O173))/P173,IF(SUM($E173:Q173)&gt;=AE173/2,60+5*(AE173/2-SUM($E173:P173))/Q173,IF(SUM($E173:R173)&gt;=AE173/2,65+5*(AE173/2-SUM($E173:Q173))/R173,IF(SUM($E173:S173)&gt;=AE173/2,70+5*(AE173/2-SUM($E173:R173))/S173,IF(SUM($E173:T173)&gt;=AE173/2,75+5*(AE173/2-SUM($E173:S173))/T173,""))))))))))))))))</f>
        <v/>
      </c>
      <c r="AL173" s="30">
        <f>SUM(H173:Q173)</f>
        <v/>
      </c>
      <c r="AM173" s="24" t="n">
        <v>0.083</v>
      </c>
      <c r="AN173" s="24" t="n">
        <v>0.113</v>
      </c>
      <c r="AO173" s="33">
        <f>IF(AND(ISNUMBER(AN173),ISNUMBER(AM173)),(AN173-AM173)*100,"")</f>
        <v/>
      </c>
      <c r="AP173" s="30">
        <f>IF(ISNUMBER(AN173),AN173*AL173,"")</f>
        <v/>
      </c>
      <c r="AQ173" s="30">
        <f>IF(ISNUMBER(AN173),AL173,0)</f>
        <v/>
      </c>
      <c r="BB173" s="30">
        <f>IF(BA173="Yes",AX173,0)</f>
        <v/>
      </c>
      <c r="BC173" s="30">
        <f>IF(AND(BA173="Yes",ISNUMBER(AP173)),AP173,0)</f>
        <v/>
      </c>
      <c r="BD173" s="30">
        <f>IF(BA173="Yes",AX173,IF(ISNUMBER(AP173),AP173,0))</f>
        <v/>
      </c>
    </row>
    <row r="174">
      <c r="A174" s="6" t="inlineStr">
        <is>
          <t>MNE</t>
        </is>
      </c>
      <c r="B174" s="6" t="inlineStr">
        <is>
          <t>Montenegro</t>
        </is>
      </c>
      <c r="C174" s="6" t="inlineStr">
        <is>
          <t>Europe &amp; Central Asia</t>
        </is>
      </c>
      <c r="D174" s="6" t="inlineStr">
        <is>
          <t>Upper middle income</t>
        </is>
      </c>
      <c r="E174" s="29" t="n">
        <v>35041</v>
      </c>
      <c r="F174" s="29" t="n">
        <v>37237</v>
      </c>
      <c r="G174" s="29" t="n">
        <v>39140</v>
      </c>
      <c r="H174" s="29" t="n">
        <v>39297</v>
      </c>
      <c r="I174" s="29" t="n">
        <v>37927</v>
      </c>
      <c r="J174" s="29" t="n">
        <v>37108</v>
      </c>
      <c r="K174" s="29" t="n">
        <v>37575</v>
      </c>
      <c r="L174" s="29" t="n">
        <v>39779</v>
      </c>
      <c r="M174" s="29" t="n">
        <v>44118</v>
      </c>
      <c r="N174" s="29" t="n">
        <v>42749</v>
      </c>
      <c r="O174" s="29" t="n">
        <v>40231</v>
      </c>
      <c r="P174" s="29" t="n">
        <v>39067</v>
      </c>
      <c r="Q174" s="29" t="n">
        <v>39865</v>
      </c>
      <c r="R174" s="29" t="n">
        <v>37633</v>
      </c>
      <c r="S174" s="29" t="n">
        <v>31902</v>
      </c>
      <c r="T174" s="29" t="n">
        <v>20769</v>
      </c>
      <c r="U174" s="29" t="n">
        <v>23691</v>
      </c>
      <c r="V174" s="29" t="n">
        <v>323109</v>
      </c>
      <c r="W174" s="29" t="n">
        <v>300020</v>
      </c>
      <c r="X174" s="30">
        <f>SUM(E174:G174)</f>
        <v/>
      </c>
      <c r="Y174" s="30">
        <f>SUM(H174:I174)</f>
        <v/>
      </c>
      <c r="Z174" s="30">
        <f>SUM(J174:K174)</f>
        <v/>
      </c>
      <c r="AA174" s="30">
        <f>SUM(L174:M174)</f>
        <v/>
      </c>
      <c r="AB174" s="30">
        <f>SUM(N174:O174)</f>
        <v/>
      </c>
      <c r="AC174" s="30">
        <f>SUM(P174:Q174)</f>
        <v/>
      </c>
      <c r="AD174" s="30">
        <f>SUM(R174:U174)</f>
        <v/>
      </c>
      <c r="AE174" s="31">
        <f>SUM(X174:AD174)</f>
        <v/>
      </c>
      <c r="AF174" s="32">
        <f>AE174/SUM($AE$5:$AE$222)</f>
        <v/>
      </c>
      <c r="AG174" s="10">
        <f>RANK(AE174,$AE$5:$AE$222)</f>
        <v/>
      </c>
      <c r="AH174" s="29" t="n">
        <v>623525</v>
      </c>
      <c r="AI174" s="9">
        <f>IF(AH174&gt;0,AE174/AH174-1,"")</f>
        <v/>
      </c>
      <c r="AJ174" s="29" t="n">
        <v>14817</v>
      </c>
      <c r="AK174" s="19">
        <f>IF(SUM($E174:E174)&gt;=AE174/2,0+5*(AE174/2-0)/E174,IF(SUM($E174:F174)&gt;=AE174/2,5+5*(AE174/2-SUM($E174:E174))/F174,IF(SUM($E174:G174)&gt;=AE174/2,10+5*(AE174/2-SUM($E174:F174))/G174,IF(SUM($E174:H174)&gt;=AE174/2,15+5*(AE174/2-SUM($E174:G174))/H174,IF(SUM($E174:I174)&gt;=AE174/2,20+5*(AE174/2-SUM($E174:H174))/I174,IF(SUM($E174:J174)&gt;=AE174/2,25+5*(AE174/2-SUM($E174:I174))/J174,IF(SUM($E174:K174)&gt;=AE174/2,30+5*(AE174/2-SUM($E174:J174))/K174,IF(SUM($E174:L174)&gt;=AE174/2,35+5*(AE174/2-SUM($E174:K174))/L174,IF(SUM($E174:M174)&gt;=AE174/2,40+5*(AE174/2-SUM($E174:L174))/M174,IF(SUM($E174:N174)&gt;=AE174/2,45+5*(AE174/2-SUM($E174:M174))/N174,IF(SUM($E174:O174)&gt;=AE174/2,50+5*(AE174/2-SUM($E174:N174))/O174,IF(SUM($E174:P174)&gt;=AE174/2,55+5*(AE174/2-SUM($E174:O174))/P174,IF(SUM($E174:Q174)&gt;=AE174/2,60+5*(AE174/2-SUM($E174:P174))/Q174,IF(SUM($E174:R174)&gt;=AE174/2,65+5*(AE174/2-SUM($E174:Q174))/R174,IF(SUM($E174:S174)&gt;=AE174/2,70+5*(AE174/2-SUM($E174:R174))/S174,IF(SUM($E174:T174)&gt;=AE174/2,75+5*(AE174/2-SUM($E174:S174))/T174,""))))))))))))))))</f>
        <v/>
      </c>
      <c r="AL174" s="30">
        <f>SUM(H174:Q174)</f>
        <v/>
      </c>
      <c r="AM174" s="36" t="n"/>
      <c r="AN174" s="36" t="n"/>
      <c r="AO174" s="33">
        <f>IF(AND(ISNUMBER(AN174),ISNUMBER(AM174)),(AN174-AM174)*100,"")</f>
        <v/>
      </c>
      <c r="AP174" s="30">
        <f>IF(ISNUMBER(AN174),AN174*AL174,"")</f>
        <v/>
      </c>
      <c r="AQ174" s="30">
        <f>IF(ISNUMBER(AN174),AL174,0)</f>
        <v/>
      </c>
      <c r="BB174" s="30">
        <f>IF(BA174="Yes",AX174,0)</f>
        <v/>
      </c>
      <c r="BC174" s="30">
        <f>IF(AND(BA174="Yes",ISNUMBER(AP174)),AP174,0)</f>
        <v/>
      </c>
      <c r="BD174" s="30">
        <f>IF(BA174="Yes",AX174,IF(ISNUMBER(AP174),AP174,0))</f>
        <v/>
      </c>
    </row>
    <row r="175">
      <c r="A175" s="6" t="inlineStr">
        <is>
          <t>MLT</t>
        </is>
      </c>
      <c r="B175" s="6" t="inlineStr">
        <is>
          <t>Malta</t>
        </is>
      </c>
      <c r="C175" s="6" t="inlineStr">
        <is>
          <t>Middle East, North Africa, Afghanistan &amp; Pakistan</t>
        </is>
      </c>
      <c r="D175" s="6" t="inlineStr">
        <is>
          <t>High income</t>
        </is>
      </c>
      <c r="E175" s="29" t="n">
        <v>23296</v>
      </c>
      <c r="F175" s="29" t="n">
        <v>25767</v>
      </c>
      <c r="G175" s="29" t="n">
        <v>25714</v>
      </c>
      <c r="H175" s="29" t="n">
        <v>25035</v>
      </c>
      <c r="I175" s="29" t="n">
        <v>27452</v>
      </c>
      <c r="J175" s="29" t="n">
        <v>37861</v>
      </c>
      <c r="K175" s="29" t="n">
        <v>51525</v>
      </c>
      <c r="L175" s="29" t="n">
        <v>53036</v>
      </c>
      <c r="M175" s="29" t="n">
        <v>47925</v>
      </c>
      <c r="N175" s="29" t="n">
        <v>42856</v>
      </c>
      <c r="O175" s="29" t="n">
        <v>36456</v>
      </c>
      <c r="P175" s="29" t="n">
        <v>31038</v>
      </c>
      <c r="Q175" s="29" t="n">
        <v>32668</v>
      </c>
      <c r="R175" s="29" t="n">
        <v>32906</v>
      </c>
      <c r="S175" s="29" t="n">
        <v>29075</v>
      </c>
      <c r="T175" s="29" t="n">
        <v>27439</v>
      </c>
      <c r="U175" s="29" t="n">
        <v>29656</v>
      </c>
      <c r="V175" s="29" t="n">
        <v>278676</v>
      </c>
      <c r="W175" s="29" t="n">
        <v>301029</v>
      </c>
      <c r="X175" s="30">
        <f>SUM(E175:G175)</f>
        <v/>
      </c>
      <c r="Y175" s="30">
        <f>SUM(H175:I175)</f>
        <v/>
      </c>
      <c r="Z175" s="30">
        <f>SUM(J175:K175)</f>
        <v/>
      </c>
      <c r="AA175" s="30">
        <f>SUM(L175:M175)</f>
        <v/>
      </c>
      <c r="AB175" s="30">
        <f>SUM(N175:O175)</f>
        <v/>
      </c>
      <c r="AC175" s="30">
        <f>SUM(P175:Q175)</f>
        <v/>
      </c>
      <c r="AD175" s="30">
        <f>SUM(R175:U175)</f>
        <v/>
      </c>
      <c r="AE175" s="31">
        <f>SUM(X175:AD175)</f>
        <v/>
      </c>
      <c r="AF175" s="32">
        <f>AE175/SUM($AE$5:$AE$222)</f>
        <v/>
      </c>
      <c r="AG175" s="10">
        <f>RANK(AE175,$AE$5:$AE$222)</f>
        <v/>
      </c>
      <c r="AH175" s="29" t="n">
        <v>568847</v>
      </c>
      <c r="AI175" s="9">
        <f>IF(AH175&gt;0,AE175/AH175-1,"")</f>
        <v/>
      </c>
      <c r="AJ175" s="29" t="n">
        <v>47907</v>
      </c>
      <c r="AK175" s="19">
        <f>IF(SUM($E175:E175)&gt;=AE175/2,0+5*(AE175/2-0)/E175,IF(SUM($E175:F175)&gt;=AE175/2,5+5*(AE175/2-SUM($E175:E175))/F175,IF(SUM($E175:G175)&gt;=AE175/2,10+5*(AE175/2-SUM($E175:F175))/G175,IF(SUM($E175:H175)&gt;=AE175/2,15+5*(AE175/2-SUM($E175:G175))/H175,IF(SUM($E175:I175)&gt;=AE175/2,20+5*(AE175/2-SUM($E175:H175))/I175,IF(SUM($E175:J175)&gt;=AE175/2,25+5*(AE175/2-SUM($E175:I175))/J175,IF(SUM($E175:K175)&gt;=AE175/2,30+5*(AE175/2-SUM($E175:J175))/K175,IF(SUM($E175:L175)&gt;=AE175/2,35+5*(AE175/2-SUM($E175:K175))/L175,IF(SUM($E175:M175)&gt;=AE175/2,40+5*(AE175/2-SUM($E175:L175))/M175,IF(SUM($E175:N175)&gt;=AE175/2,45+5*(AE175/2-SUM($E175:M175))/N175,IF(SUM($E175:O175)&gt;=AE175/2,50+5*(AE175/2-SUM($E175:N175))/O175,IF(SUM($E175:P175)&gt;=AE175/2,55+5*(AE175/2-SUM($E175:O175))/P175,IF(SUM($E175:Q175)&gt;=AE175/2,60+5*(AE175/2-SUM($E175:P175))/Q175,IF(SUM($E175:R175)&gt;=AE175/2,65+5*(AE175/2-SUM($E175:Q175))/R175,IF(SUM($E175:S175)&gt;=AE175/2,70+5*(AE175/2-SUM($E175:R175))/S175,IF(SUM($E175:T175)&gt;=AE175/2,75+5*(AE175/2-SUM($E175:S175))/T175,""))))))))))))))))</f>
        <v/>
      </c>
      <c r="AL175" s="30">
        <f>SUM(H175:Q175)</f>
        <v/>
      </c>
      <c r="AM175" s="36" t="n"/>
      <c r="AN175" s="36" t="n"/>
      <c r="AO175" s="33">
        <f>IF(AND(ISNUMBER(AN175),ISNUMBER(AM175)),(AN175-AM175)*100,"")</f>
        <v/>
      </c>
      <c r="AP175" s="30">
        <f>IF(ISNUMBER(AN175),AN175*AL175,"")</f>
        <v/>
      </c>
      <c r="AQ175" s="30">
        <f>IF(ISNUMBER(AN175),AL175,0)</f>
        <v/>
      </c>
      <c r="AR175" s="24" t="n">
        <v>0.4646</v>
      </c>
      <c r="AS175" s="6" t="inlineStr">
        <is>
          <t>population</t>
        </is>
      </c>
      <c r="AT175" s="6" t="inlineStr">
        <is>
          <t>16-74</t>
        </is>
      </c>
      <c r="AU175" s="24" t="n">
        <v>1</v>
      </c>
      <c r="AV175" s="30">
        <f>H175*0.8+I175+J175+K175+L175+M175+N175+O175+P175+Q175+R175+S175</f>
        <v/>
      </c>
      <c r="AX175" s="30">
        <f>IF(ISNUMBER(AW175),AW175,AR175*AU175*AV175)</f>
        <v/>
      </c>
      <c r="AY175" s="34">
        <f>AX175/AV175</f>
        <v/>
      </c>
      <c r="AZ175" s="6" t="inlineStr">
        <is>
          <t>A</t>
        </is>
      </c>
      <c r="BA175" s="6" t="inlineStr">
        <is>
          <t>Yes</t>
        </is>
      </c>
      <c r="BB175" s="30">
        <f>IF(BA175="Yes",AX175,0)</f>
        <v/>
      </c>
      <c r="BC175" s="30">
        <f>IF(AND(BA175="Yes",ISNUMBER(AP175)),AP175,0)</f>
        <v/>
      </c>
      <c r="BD175" s="30">
        <f>IF(BA175="Yes",AX175,IF(ISNUMBER(AP175),AP175,0))</f>
        <v/>
      </c>
      <c r="BE175" s="6" t="inlineStr">
        <is>
          <t>Used generative AI tools in the last 3 months</t>
        </is>
      </c>
      <c r="BF175" s="6" t="inlineStr">
        <is>
          <t>2025 survey (Q2, most countries)</t>
        </is>
      </c>
      <c r="BG175" s="6" t="inlineStr">
        <is>
          <t>Eurostat: ICT usage in households and by individuals 2025, dataset isoc_ai_iaiu</t>
        </is>
      </c>
      <c r="BH175" s="6" t="inlineStr">
        <is>
          <t>https://ec.europa.eu/eurostat/databrowser/view/isoc_ai_iaiu/default/table</t>
        </is>
      </c>
    </row>
    <row r="176">
      <c r="A176" s="6" t="inlineStr">
        <is>
          <t>MDV</t>
        </is>
      </c>
      <c r="B176" s="6" t="inlineStr">
        <is>
          <t>Maldives</t>
        </is>
      </c>
      <c r="C176" s="6" t="inlineStr">
        <is>
          <t>South Asia</t>
        </is>
      </c>
      <c r="D176" s="6" t="inlineStr">
        <is>
          <t>Upper middle income</t>
        </is>
      </c>
      <c r="E176" s="29" t="n">
        <v>28779</v>
      </c>
      <c r="F176" s="29" t="n">
        <v>33455</v>
      </c>
      <c r="G176" s="29" t="n">
        <v>38599</v>
      </c>
      <c r="H176" s="29" t="n">
        <v>34623</v>
      </c>
      <c r="I176" s="29" t="n">
        <v>30213</v>
      </c>
      <c r="J176" s="29" t="n">
        <v>49205</v>
      </c>
      <c r="K176" s="29" t="n">
        <v>68792</v>
      </c>
      <c r="L176" s="29" t="n">
        <v>68133</v>
      </c>
      <c r="M176" s="29" t="n">
        <v>54374</v>
      </c>
      <c r="N176" s="29" t="n">
        <v>35894</v>
      </c>
      <c r="O176" s="29" t="n">
        <v>26145</v>
      </c>
      <c r="P176" s="29" t="n">
        <v>19792</v>
      </c>
      <c r="Q176" s="29" t="n">
        <v>15409</v>
      </c>
      <c r="R176" s="29" t="n">
        <v>11480</v>
      </c>
      <c r="S176" s="29" t="n">
        <v>6239</v>
      </c>
      <c r="T176" s="29" t="n">
        <v>3982</v>
      </c>
      <c r="U176" s="29" t="n">
        <v>4561</v>
      </c>
      <c r="V176" s="29" t="n">
        <v>202826</v>
      </c>
      <c r="W176" s="29" t="n">
        <v>326849</v>
      </c>
      <c r="X176" s="30">
        <f>SUM(E176:G176)</f>
        <v/>
      </c>
      <c r="Y176" s="30">
        <f>SUM(H176:I176)</f>
        <v/>
      </c>
      <c r="Z176" s="30">
        <f>SUM(J176:K176)</f>
        <v/>
      </c>
      <c r="AA176" s="30">
        <f>SUM(L176:M176)</f>
        <v/>
      </c>
      <c r="AB176" s="30">
        <f>SUM(N176:O176)</f>
        <v/>
      </c>
      <c r="AC176" s="30">
        <f>SUM(P176:Q176)</f>
        <v/>
      </c>
      <c r="AD176" s="30">
        <f>SUM(R176:U176)</f>
        <v/>
      </c>
      <c r="AE176" s="31">
        <f>SUM(X176:AD176)</f>
        <v/>
      </c>
      <c r="AF176" s="32">
        <f>AE176/SUM($AE$5:$AE$222)</f>
        <v/>
      </c>
      <c r="AG176" s="10">
        <f>RANK(AE176,$AE$5:$AE$222)</f>
        <v/>
      </c>
      <c r="AH176" s="29" t="n">
        <v>527799</v>
      </c>
      <c r="AI176" s="9">
        <f>IF(AH176&gt;0,AE176/AH176-1,"")</f>
        <v/>
      </c>
      <c r="AJ176" s="29" t="n">
        <v>14615</v>
      </c>
      <c r="AK176" s="19">
        <f>IF(SUM($E176:E176)&gt;=AE176/2,0+5*(AE176/2-0)/E176,IF(SUM($E176:F176)&gt;=AE176/2,5+5*(AE176/2-SUM($E176:E176))/F176,IF(SUM($E176:G176)&gt;=AE176/2,10+5*(AE176/2-SUM($E176:F176))/G176,IF(SUM($E176:H176)&gt;=AE176/2,15+5*(AE176/2-SUM($E176:G176))/H176,IF(SUM($E176:I176)&gt;=AE176/2,20+5*(AE176/2-SUM($E176:H176))/I176,IF(SUM($E176:J176)&gt;=AE176/2,25+5*(AE176/2-SUM($E176:I176))/J176,IF(SUM($E176:K176)&gt;=AE176/2,30+5*(AE176/2-SUM($E176:J176))/K176,IF(SUM($E176:L176)&gt;=AE176/2,35+5*(AE176/2-SUM($E176:K176))/L176,IF(SUM($E176:M176)&gt;=AE176/2,40+5*(AE176/2-SUM($E176:L176))/M176,IF(SUM($E176:N176)&gt;=AE176/2,45+5*(AE176/2-SUM($E176:M176))/N176,IF(SUM($E176:O176)&gt;=AE176/2,50+5*(AE176/2-SUM($E176:N176))/O176,IF(SUM($E176:P176)&gt;=AE176/2,55+5*(AE176/2-SUM($E176:O176))/P176,IF(SUM($E176:Q176)&gt;=AE176/2,60+5*(AE176/2-SUM($E176:P176))/Q176,IF(SUM($E176:R176)&gt;=AE176/2,65+5*(AE176/2-SUM($E176:Q176))/R176,IF(SUM($E176:S176)&gt;=AE176/2,70+5*(AE176/2-SUM($E176:R176))/S176,IF(SUM($E176:T176)&gt;=AE176/2,75+5*(AE176/2-SUM($E176:S176))/T176,""))))))))))))))))</f>
        <v/>
      </c>
      <c r="AL176" s="30">
        <f>SUM(H176:Q176)</f>
        <v/>
      </c>
      <c r="AM176" s="36" t="n"/>
      <c r="AN176" s="36" t="n"/>
      <c r="AO176" s="33">
        <f>IF(AND(ISNUMBER(AN176),ISNUMBER(AM176)),(AN176-AM176)*100,"")</f>
        <v/>
      </c>
      <c r="AP176" s="30">
        <f>IF(ISNUMBER(AN176),AN176*AL176,"")</f>
        <v/>
      </c>
      <c r="AQ176" s="30">
        <f>IF(ISNUMBER(AN176),AL176,0)</f>
        <v/>
      </c>
      <c r="BB176" s="30">
        <f>IF(BA176="Yes",AX176,0)</f>
        <v/>
      </c>
      <c r="BC176" s="30">
        <f>IF(AND(BA176="Yes",ISNUMBER(AP176)),AP176,0)</f>
        <v/>
      </c>
      <c r="BD176" s="30">
        <f>IF(BA176="Yes",AX176,IF(ISNUMBER(AP176),AP176,0))</f>
        <v/>
      </c>
    </row>
    <row r="177">
      <c r="A177" s="6" t="inlineStr">
        <is>
          <t>CPV</t>
        </is>
      </c>
      <c r="B177" s="6" t="inlineStr">
        <is>
          <t>Cabo Verde</t>
        </is>
      </c>
      <c r="C177" s="6" t="inlineStr">
        <is>
          <t>Sub-Saharan Africa</t>
        </is>
      </c>
      <c r="D177" s="6" t="inlineStr">
        <is>
          <t>Upper middle income</t>
        </is>
      </c>
      <c r="E177" s="29" t="n">
        <v>32874</v>
      </c>
      <c r="F177" s="29" t="n">
        <v>48013</v>
      </c>
      <c r="G177" s="29" t="n">
        <v>49338</v>
      </c>
      <c r="H177" s="29" t="n">
        <v>48409</v>
      </c>
      <c r="I177" s="29" t="n">
        <v>43215</v>
      </c>
      <c r="J177" s="29" t="n">
        <v>42098</v>
      </c>
      <c r="K177" s="29" t="n">
        <v>47197</v>
      </c>
      <c r="L177" s="29" t="n">
        <v>45274</v>
      </c>
      <c r="M177" s="29" t="n">
        <v>37538</v>
      </c>
      <c r="N177" s="29" t="n">
        <v>29595</v>
      </c>
      <c r="O177" s="29" t="n">
        <v>23530</v>
      </c>
      <c r="P177" s="29" t="n">
        <v>22456</v>
      </c>
      <c r="Q177" s="29" t="n">
        <v>20069</v>
      </c>
      <c r="R177" s="29" t="n">
        <v>15058</v>
      </c>
      <c r="S177" s="29" t="n">
        <v>9883</v>
      </c>
      <c r="T177" s="29" t="n">
        <v>6534</v>
      </c>
      <c r="U177" s="29" t="n">
        <v>6250</v>
      </c>
      <c r="V177" s="29" t="n">
        <v>259173</v>
      </c>
      <c r="W177" s="29" t="n">
        <v>268158</v>
      </c>
      <c r="X177" s="30">
        <f>SUM(E177:G177)</f>
        <v/>
      </c>
      <c r="Y177" s="30">
        <f>SUM(H177:I177)</f>
        <v/>
      </c>
      <c r="Z177" s="30">
        <f>SUM(J177:K177)</f>
        <v/>
      </c>
      <c r="AA177" s="30">
        <f>SUM(L177:M177)</f>
        <v/>
      </c>
      <c r="AB177" s="30">
        <f>SUM(N177:O177)</f>
        <v/>
      </c>
      <c r="AC177" s="30">
        <f>SUM(P177:Q177)</f>
        <v/>
      </c>
      <c r="AD177" s="30">
        <f>SUM(R177:U177)</f>
        <v/>
      </c>
      <c r="AE177" s="31">
        <f>SUM(X177:AD177)</f>
        <v/>
      </c>
      <c r="AF177" s="32">
        <f>AE177/SUM($AE$5:$AE$222)</f>
        <v/>
      </c>
      <c r="AG177" s="10">
        <f>RANK(AE177,$AE$5:$AE$222)</f>
        <v/>
      </c>
      <c r="AH177" s="29" t="n">
        <v>524877</v>
      </c>
      <c r="AI177" s="9">
        <f>IF(AH177&gt;0,AE177/AH177-1,"")</f>
        <v/>
      </c>
      <c r="AJ177" s="29" t="n">
        <v>5796</v>
      </c>
      <c r="AK177" s="19">
        <f>IF(SUM($E177:E177)&gt;=AE177/2,0+5*(AE177/2-0)/E177,IF(SUM($E177:F177)&gt;=AE177/2,5+5*(AE177/2-SUM($E177:E177))/F177,IF(SUM($E177:G177)&gt;=AE177/2,10+5*(AE177/2-SUM($E177:F177))/G177,IF(SUM($E177:H177)&gt;=AE177/2,15+5*(AE177/2-SUM($E177:G177))/H177,IF(SUM($E177:I177)&gt;=AE177/2,20+5*(AE177/2-SUM($E177:H177))/I177,IF(SUM($E177:J177)&gt;=AE177/2,25+5*(AE177/2-SUM($E177:I177))/J177,IF(SUM($E177:K177)&gt;=AE177/2,30+5*(AE177/2-SUM($E177:J177))/K177,IF(SUM($E177:L177)&gt;=AE177/2,35+5*(AE177/2-SUM($E177:K177))/L177,IF(SUM($E177:M177)&gt;=AE177/2,40+5*(AE177/2-SUM($E177:L177))/M177,IF(SUM($E177:N177)&gt;=AE177/2,45+5*(AE177/2-SUM($E177:M177))/N177,IF(SUM($E177:O177)&gt;=AE177/2,50+5*(AE177/2-SUM($E177:N177))/O177,IF(SUM($E177:P177)&gt;=AE177/2,55+5*(AE177/2-SUM($E177:O177))/P177,IF(SUM($E177:Q177)&gt;=AE177/2,60+5*(AE177/2-SUM($E177:P177))/Q177,IF(SUM($E177:R177)&gt;=AE177/2,65+5*(AE177/2-SUM($E177:Q177))/R177,IF(SUM($E177:S177)&gt;=AE177/2,70+5*(AE177/2-SUM($E177:R177))/S177,IF(SUM($E177:T177)&gt;=AE177/2,75+5*(AE177/2-SUM($E177:S177))/T177,""))))))))))))))))</f>
        <v/>
      </c>
      <c r="AL177" s="30">
        <f>SUM(H177:Q177)</f>
        <v/>
      </c>
      <c r="AM177" s="36" t="n"/>
      <c r="AN177" s="36" t="n"/>
      <c r="AO177" s="33">
        <f>IF(AND(ISNUMBER(AN177),ISNUMBER(AM177)),(AN177-AM177)*100,"")</f>
        <v/>
      </c>
      <c r="AP177" s="30">
        <f>IF(ISNUMBER(AN177),AN177*AL177,"")</f>
        <v/>
      </c>
      <c r="AQ177" s="30">
        <f>IF(ISNUMBER(AN177),AL177,0)</f>
        <v/>
      </c>
      <c r="BB177" s="30">
        <f>IF(BA177="Yes",AX177,0)</f>
        <v/>
      </c>
      <c r="BC177" s="30">
        <f>IF(AND(BA177="Yes",ISNUMBER(AP177)),AP177,0)</f>
        <v/>
      </c>
      <c r="BD177" s="30">
        <f>IF(BA177="Yes",AX177,IF(ISNUMBER(AP177),AP177,0))</f>
        <v/>
      </c>
    </row>
    <row r="178">
      <c r="A178" s="6" t="inlineStr">
        <is>
          <t>BRN</t>
        </is>
      </c>
      <c r="B178" s="6" t="inlineStr">
        <is>
          <t>Brunei Darussalam</t>
        </is>
      </c>
      <c r="C178" s="6" t="inlineStr">
        <is>
          <t>East Asia &amp; Pacific</t>
        </is>
      </c>
      <c r="D178" s="6" t="inlineStr">
        <is>
          <t>High income</t>
        </is>
      </c>
      <c r="E178" s="29" t="n">
        <v>30999</v>
      </c>
      <c r="F178" s="29" t="n">
        <v>32240</v>
      </c>
      <c r="G178" s="29" t="n">
        <v>32945</v>
      </c>
      <c r="H178" s="29" t="n">
        <v>31501</v>
      </c>
      <c r="I178" s="29" t="n">
        <v>35639</v>
      </c>
      <c r="J178" s="29" t="n">
        <v>39152</v>
      </c>
      <c r="K178" s="29" t="n">
        <v>41338</v>
      </c>
      <c r="L178" s="29" t="n">
        <v>41081</v>
      </c>
      <c r="M178" s="29" t="n">
        <v>38368</v>
      </c>
      <c r="N178" s="29" t="n">
        <v>34871</v>
      </c>
      <c r="O178" s="29" t="n">
        <v>30494</v>
      </c>
      <c r="P178" s="29" t="n">
        <v>24714</v>
      </c>
      <c r="Q178" s="29" t="n">
        <v>19231</v>
      </c>
      <c r="R178" s="29" t="n">
        <v>14640</v>
      </c>
      <c r="S178" s="29" t="n">
        <v>9693</v>
      </c>
      <c r="T178" s="29" t="n">
        <v>5225</v>
      </c>
      <c r="U178" s="29" t="n">
        <v>4197</v>
      </c>
      <c r="V178" s="29" t="n">
        <v>218891</v>
      </c>
      <c r="W178" s="29" t="n">
        <v>247437</v>
      </c>
      <c r="X178" s="30">
        <f>SUM(E178:G178)</f>
        <v/>
      </c>
      <c r="Y178" s="30">
        <f>SUM(H178:I178)</f>
        <v/>
      </c>
      <c r="Z178" s="30">
        <f>SUM(J178:K178)</f>
        <v/>
      </c>
      <c r="AA178" s="30">
        <f>SUM(L178:M178)</f>
        <v/>
      </c>
      <c r="AB178" s="30">
        <f>SUM(N178:O178)</f>
        <v/>
      </c>
      <c r="AC178" s="30">
        <f>SUM(P178:Q178)</f>
        <v/>
      </c>
      <c r="AD178" s="30">
        <f>SUM(R178:U178)</f>
        <v/>
      </c>
      <c r="AE178" s="31">
        <f>SUM(X178:AD178)</f>
        <v/>
      </c>
      <c r="AF178" s="32">
        <f>AE178/SUM($AE$5:$AE$222)</f>
        <v/>
      </c>
      <c r="AG178" s="10">
        <f>RANK(AE178,$AE$5:$AE$222)</f>
        <v/>
      </c>
      <c r="AH178" s="29" t="n">
        <v>462721</v>
      </c>
      <c r="AI178" s="9">
        <f>IF(AH178&gt;0,AE178/AH178-1,"")</f>
        <v/>
      </c>
      <c r="AJ178" s="29" t="n">
        <v>32235</v>
      </c>
      <c r="AK178" s="19">
        <f>IF(SUM($E178:E178)&gt;=AE178/2,0+5*(AE178/2-0)/E178,IF(SUM($E178:F178)&gt;=AE178/2,5+5*(AE178/2-SUM($E178:E178))/F178,IF(SUM($E178:G178)&gt;=AE178/2,10+5*(AE178/2-SUM($E178:F178))/G178,IF(SUM($E178:H178)&gt;=AE178/2,15+5*(AE178/2-SUM($E178:G178))/H178,IF(SUM($E178:I178)&gt;=AE178/2,20+5*(AE178/2-SUM($E178:H178))/I178,IF(SUM($E178:J178)&gt;=AE178/2,25+5*(AE178/2-SUM($E178:I178))/J178,IF(SUM($E178:K178)&gt;=AE178/2,30+5*(AE178/2-SUM($E178:J178))/K178,IF(SUM($E178:L178)&gt;=AE178/2,35+5*(AE178/2-SUM($E178:K178))/L178,IF(SUM($E178:M178)&gt;=AE178/2,40+5*(AE178/2-SUM($E178:L178))/M178,IF(SUM($E178:N178)&gt;=AE178/2,45+5*(AE178/2-SUM($E178:M178))/N178,IF(SUM($E178:O178)&gt;=AE178/2,50+5*(AE178/2-SUM($E178:N178))/O178,IF(SUM($E178:P178)&gt;=AE178/2,55+5*(AE178/2-SUM($E178:O178))/P178,IF(SUM($E178:Q178)&gt;=AE178/2,60+5*(AE178/2-SUM($E178:P178))/Q178,IF(SUM($E178:R178)&gt;=AE178/2,65+5*(AE178/2-SUM($E178:Q178))/R178,IF(SUM($E178:S178)&gt;=AE178/2,70+5*(AE178/2-SUM($E178:R178))/S178,IF(SUM($E178:T178)&gt;=AE178/2,75+5*(AE178/2-SUM($E178:S178))/T178,""))))))))))))))))</f>
        <v/>
      </c>
      <c r="AL178" s="30">
        <f>SUM(H178:Q178)</f>
        <v/>
      </c>
      <c r="AM178" s="36" t="n"/>
      <c r="AN178" s="36" t="n"/>
      <c r="AO178" s="33">
        <f>IF(AND(ISNUMBER(AN178),ISNUMBER(AM178)),(AN178-AM178)*100,"")</f>
        <v/>
      </c>
      <c r="AP178" s="30">
        <f>IF(ISNUMBER(AN178),AN178*AL178,"")</f>
        <v/>
      </c>
      <c r="AQ178" s="30">
        <f>IF(ISNUMBER(AN178),AL178,0)</f>
        <v/>
      </c>
      <c r="BB178" s="30">
        <f>IF(BA178="Yes",AX178,0)</f>
        <v/>
      </c>
      <c r="BC178" s="30">
        <f>IF(AND(BA178="Yes",ISNUMBER(AP178)),AP178,0)</f>
        <v/>
      </c>
      <c r="BD178" s="30">
        <f>IF(BA178="Yes",AX178,IF(ISNUMBER(AP178),AP178,0))</f>
        <v/>
      </c>
    </row>
    <row r="179">
      <c r="A179" s="6" t="inlineStr">
        <is>
          <t>BLZ</t>
        </is>
      </c>
      <c r="B179" s="6" t="inlineStr">
        <is>
          <t>Belize</t>
        </is>
      </c>
      <c r="C179" s="6" t="inlineStr">
        <is>
          <t>Latin America &amp; Caribbean</t>
        </is>
      </c>
      <c r="D179" s="6" t="inlineStr">
        <is>
          <t>Upper middle income</t>
        </is>
      </c>
      <c r="E179" s="29" t="n">
        <v>35705</v>
      </c>
      <c r="F179" s="29" t="n">
        <v>38441</v>
      </c>
      <c r="G179" s="29" t="n">
        <v>36957</v>
      </c>
      <c r="H179" s="29" t="n">
        <v>37867</v>
      </c>
      <c r="I179" s="29" t="n">
        <v>39551</v>
      </c>
      <c r="J179" s="29" t="n">
        <v>39768</v>
      </c>
      <c r="K179" s="29" t="n">
        <v>37695</v>
      </c>
      <c r="L179" s="29" t="n">
        <v>33342</v>
      </c>
      <c r="M179" s="29" t="n">
        <v>28313</v>
      </c>
      <c r="N179" s="29" t="n">
        <v>23571</v>
      </c>
      <c r="O179" s="29" t="n">
        <v>20277</v>
      </c>
      <c r="P179" s="29" t="n">
        <v>16339</v>
      </c>
      <c r="Q179" s="29" t="n">
        <v>12987</v>
      </c>
      <c r="R179" s="29" t="n">
        <v>9275</v>
      </c>
      <c r="S179" s="29" t="n">
        <v>6084</v>
      </c>
      <c r="T179" s="29" t="n">
        <v>3612</v>
      </c>
      <c r="U179" s="29" t="n">
        <v>3140</v>
      </c>
      <c r="V179" s="29" t="n">
        <v>209587</v>
      </c>
      <c r="W179" s="29" t="n">
        <v>213337</v>
      </c>
      <c r="X179" s="30">
        <f>SUM(E179:G179)</f>
        <v/>
      </c>
      <c r="Y179" s="30">
        <f>SUM(H179:I179)</f>
        <v/>
      </c>
      <c r="Z179" s="30">
        <f>SUM(J179:K179)</f>
        <v/>
      </c>
      <c r="AA179" s="30">
        <f>SUM(L179:M179)</f>
        <v/>
      </c>
      <c r="AB179" s="30">
        <f>SUM(N179:O179)</f>
        <v/>
      </c>
      <c r="AC179" s="30">
        <f>SUM(P179:Q179)</f>
        <v/>
      </c>
      <c r="AD179" s="30">
        <f>SUM(R179:U179)</f>
        <v/>
      </c>
      <c r="AE179" s="31">
        <f>SUM(X179:AD179)</f>
        <v/>
      </c>
      <c r="AF179" s="32">
        <f>AE179/SUM($AE$5:$AE$222)</f>
        <v/>
      </c>
      <c r="AG179" s="10">
        <f>RANK(AE179,$AE$5:$AE$222)</f>
        <v/>
      </c>
      <c r="AH179" s="29" t="n">
        <v>417072</v>
      </c>
      <c r="AI179" s="9">
        <f>IF(AH179&gt;0,AE179/AH179-1,"")</f>
        <v/>
      </c>
      <c r="AJ179" s="29" t="n">
        <v>7865</v>
      </c>
      <c r="AK179" s="19">
        <f>IF(SUM($E179:E179)&gt;=AE179/2,0+5*(AE179/2-0)/E179,IF(SUM($E179:F179)&gt;=AE179/2,5+5*(AE179/2-SUM($E179:E179))/F179,IF(SUM($E179:G179)&gt;=AE179/2,10+5*(AE179/2-SUM($E179:F179))/G179,IF(SUM($E179:H179)&gt;=AE179/2,15+5*(AE179/2-SUM($E179:G179))/H179,IF(SUM($E179:I179)&gt;=AE179/2,20+5*(AE179/2-SUM($E179:H179))/I179,IF(SUM($E179:J179)&gt;=AE179/2,25+5*(AE179/2-SUM($E179:I179))/J179,IF(SUM($E179:K179)&gt;=AE179/2,30+5*(AE179/2-SUM($E179:J179))/K179,IF(SUM($E179:L179)&gt;=AE179/2,35+5*(AE179/2-SUM($E179:K179))/L179,IF(SUM($E179:M179)&gt;=AE179/2,40+5*(AE179/2-SUM($E179:L179))/M179,IF(SUM($E179:N179)&gt;=AE179/2,45+5*(AE179/2-SUM($E179:M179))/N179,IF(SUM($E179:O179)&gt;=AE179/2,50+5*(AE179/2-SUM($E179:N179))/O179,IF(SUM($E179:P179)&gt;=AE179/2,55+5*(AE179/2-SUM($E179:O179))/P179,IF(SUM($E179:Q179)&gt;=AE179/2,60+5*(AE179/2-SUM($E179:P179))/Q179,IF(SUM($E179:R179)&gt;=AE179/2,65+5*(AE179/2-SUM($E179:Q179))/R179,IF(SUM($E179:S179)&gt;=AE179/2,70+5*(AE179/2-SUM($E179:R179))/S179,IF(SUM($E179:T179)&gt;=AE179/2,75+5*(AE179/2-SUM($E179:S179))/T179,""))))))))))))))))</f>
        <v/>
      </c>
      <c r="AL179" s="30">
        <f>SUM(H179:Q179)</f>
        <v/>
      </c>
      <c r="AM179" s="36" t="n"/>
      <c r="AN179" s="36" t="n"/>
      <c r="AO179" s="33">
        <f>IF(AND(ISNUMBER(AN179),ISNUMBER(AM179)),(AN179-AM179)*100,"")</f>
        <v/>
      </c>
      <c r="AP179" s="30">
        <f>IF(ISNUMBER(AN179),AN179*AL179,"")</f>
        <v/>
      </c>
      <c r="AQ179" s="30">
        <f>IF(ISNUMBER(AN179),AL179,0)</f>
        <v/>
      </c>
      <c r="BB179" s="30">
        <f>IF(BA179="Yes",AX179,0)</f>
        <v/>
      </c>
      <c r="BC179" s="30">
        <f>IF(AND(BA179="Yes",ISNUMBER(AP179)),AP179,0)</f>
        <v/>
      </c>
      <c r="BD179" s="30">
        <f>IF(BA179="Yes",AX179,IF(ISNUMBER(AP179),AP179,0))</f>
        <v/>
      </c>
    </row>
    <row r="180">
      <c r="A180" s="6" t="inlineStr">
        <is>
          <t>BHS</t>
        </is>
      </c>
      <c r="B180" s="6" t="inlineStr">
        <is>
          <t>Bahamas, The</t>
        </is>
      </c>
      <c r="C180" s="6" t="inlineStr">
        <is>
          <t>Latin America &amp; Caribbean</t>
        </is>
      </c>
      <c r="D180" s="6" t="inlineStr">
        <is>
          <t>High income</t>
        </is>
      </c>
      <c r="E180" s="29" t="n">
        <v>21762</v>
      </c>
      <c r="F180" s="29" t="n">
        <v>22663</v>
      </c>
      <c r="G180" s="29" t="n">
        <v>26301</v>
      </c>
      <c r="H180" s="29" t="n">
        <v>28862</v>
      </c>
      <c r="I180" s="29" t="n">
        <v>28664</v>
      </c>
      <c r="J180" s="29" t="n">
        <v>31255</v>
      </c>
      <c r="K180" s="29" t="n">
        <v>33748</v>
      </c>
      <c r="L180" s="29" t="n">
        <v>30565</v>
      </c>
      <c r="M180" s="29" t="n">
        <v>27902</v>
      </c>
      <c r="N180" s="29" t="n">
        <v>26895</v>
      </c>
      <c r="O180" s="29" t="n">
        <v>27221</v>
      </c>
      <c r="P180" s="29" t="n">
        <v>26340</v>
      </c>
      <c r="Q180" s="29" t="n">
        <v>22109</v>
      </c>
      <c r="R180" s="29" t="n">
        <v>16009</v>
      </c>
      <c r="S180" s="29" t="n">
        <v>11481</v>
      </c>
      <c r="T180" s="29" t="n">
        <v>9266</v>
      </c>
      <c r="U180" s="29" t="n">
        <v>11989</v>
      </c>
      <c r="V180" s="29" t="n">
        <v>210742</v>
      </c>
      <c r="W180" s="29" t="n">
        <v>192290</v>
      </c>
      <c r="X180" s="30">
        <f>SUM(E180:G180)</f>
        <v/>
      </c>
      <c r="Y180" s="30">
        <f>SUM(H180:I180)</f>
        <v/>
      </c>
      <c r="Z180" s="30">
        <f>SUM(J180:K180)</f>
        <v/>
      </c>
      <c r="AA180" s="30">
        <f>SUM(L180:M180)</f>
        <v/>
      </c>
      <c r="AB180" s="30">
        <f>SUM(N180:O180)</f>
        <v/>
      </c>
      <c r="AC180" s="30">
        <f>SUM(P180:Q180)</f>
        <v/>
      </c>
      <c r="AD180" s="30">
        <f>SUM(R180:U180)</f>
        <v/>
      </c>
      <c r="AE180" s="31">
        <f>SUM(X180:AD180)</f>
        <v/>
      </c>
      <c r="AF180" s="32">
        <f>AE180/SUM($AE$5:$AE$222)</f>
        <v/>
      </c>
      <c r="AG180" s="10">
        <f>RANK(AE180,$AE$5:$AE$222)</f>
        <v/>
      </c>
      <c r="AH180" s="29" t="n">
        <v>401283</v>
      </c>
      <c r="AI180" s="9">
        <f>IF(AH180&gt;0,AE180/AH180-1,"")</f>
        <v/>
      </c>
      <c r="AJ180" s="29" t="n">
        <v>39455</v>
      </c>
      <c r="AK180" s="19">
        <f>IF(SUM($E180:E180)&gt;=AE180/2,0+5*(AE180/2-0)/E180,IF(SUM($E180:F180)&gt;=AE180/2,5+5*(AE180/2-SUM($E180:E180))/F180,IF(SUM($E180:G180)&gt;=AE180/2,10+5*(AE180/2-SUM($E180:F180))/G180,IF(SUM($E180:H180)&gt;=AE180/2,15+5*(AE180/2-SUM($E180:G180))/H180,IF(SUM($E180:I180)&gt;=AE180/2,20+5*(AE180/2-SUM($E180:H180))/I180,IF(SUM($E180:J180)&gt;=AE180/2,25+5*(AE180/2-SUM($E180:I180))/J180,IF(SUM($E180:K180)&gt;=AE180/2,30+5*(AE180/2-SUM($E180:J180))/K180,IF(SUM($E180:L180)&gt;=AE180/2,35+5*(AE180/2-SUM($E180:K180))/L180,IF(SUM($E180:M180)&gt;=AE180/2,40+5*(AE180/2-SUM($E180:L180))/M180,IF(SUM($E180:N180)&gt;=AE180/2,45+5*(AE180/2-SUM($E180:M180))/N180,IF(SUM($E180:O180)&gt;=AE180/2,50+5*(AE180/2-SUM($E180:N180))/O180,IF(SUM($E180:P180)&gt;=AE180/2,55+5*(AE180/2-SUM($E180:O180))/P180,IF(SUM($E180:Q180)&gt;=AE180/2,60+5*(AE180/2-SUM($E180:P180))/Q180,IF(SUM($E180:R180)&gt;=AE180/2,65+5*(AE180/2-SUM($E180:Q180))/R180,IF(SUM($E180:S180)&gt;=AE180/2,70+5*(AE180/2-SUM($E180:R180))/S180,IF(SUM($E180:T180)&gt;=AE180/2,75+5*(AE180/2-SUM($E180:S180))/T180,""))))))))))))))))</f>
        <v/>
      </c>
      <c r="AL180" s="30">
        <f>SUM(H180:Q180)</f>
        <v/>
      </c>
      <c r="AM180" s="36" t="n"/>
      <c r="AN180" s="36" t="n"/>
      <c r="AO180" s="33">
        <f>IF(AND(ISNUMBER(AN180),ISNUMBER(AM180)),(AN180-AM180)*100,"")</f>
        <v/>
      </c>
      <c r="AP180" s="30">
        <f>IF(ISNUMBER(AN180),AN180*AL180,"")</f>
        <v/>
      </c>
      <c r="AQ180" s="30">
        <f>IF(ISNUMBER(AN180),AL180,0)</f>
        <v/>
      </c>
      <c r="BB180" s="30">
        <f>IF(BA180="Yes",AX180,0)</f>
        <v/>
      </c>
      <c r="BC180" s="30">
        <f>IF(AND(BA180="Yes",ISNUMBER(AP180)),AP180,0)</f>
        <v/>
      </c>
      <c r="BD180" s="30">
        <f>IF(BA180="Yes",AX180,IF(ISNUMBER(AP180),AP180,0))</f>
        <v/>
      </c>
    </row>
    <row r="181">
      <c r="A181" s="6" t="inlineStr">
        <is>
          <t>ISL</t>
        </is>
      </c>
      <c r="B181" s="6" t="inlineStr">
        <is>
          <t>Iceland</t>
        </is>
      </c>
      <c r="C181" s="6" t="inlineStr">
        <is>
          <t>Europe &amp; Central Asia</t>
        </is>
      </c>
      <c r="D181" s="6" t="inlineStr">
        <is>
          <t>High income</t>
        </is>
      </c>
      <c r="E181" s="29" t="n">
        <v>22976</v>
      </c>
      <c r="F181" s="29" t="n">
        <v>22380</v>
      </c>
      <c r="G181" s="29" t="n">
        <v>23385</v>
      </c>
      <c r="H181" s="29" t="n">
        <v>25129</v>
      </c>
      <c r="I181" s="29" t="n">
        <v>25806</v>
      </c>
      <c r="J181" s="29" t="n">
        <v>29261</v>
      </c>
      <c r="K181" s="29" t="n">
        <v>33029</v>
      </c>
      <c r="L181" s="29" t="n">
        <v>29717</v>
      </c>
      <c r="M181" s="29" t="n">
        <v>27079</v>
      </c>
      <c r="N181" s="29" t="n">
        <v>24765</v>
      </c>
      <c r="O181" s="29" t="n">
        <v>23294</v>
      </c>
      <c r="P181" s="29" t="n">
        <v>21596</v>
      </c>
      <c r="Q181" s="29" t="n">
        <v>21292</v>
      </c>
      <c r="R181" s="29" t="n">
        <v>19685</v>
      </c>
      <c r="S181" s="29" t="n">
        <v>16095</v>
      </c>
      <c r="T181" s="29" t="n">
        <v>12345</v>
      </c>
      <c r="U181" s="29" t="n">
        <v>14569</v>
      </c>
      <c r="V181" s="29" t="n">
        <v>191341</v>
      </c>
      <c r="W181" s="29" t="n">
        <v>201062</v>
      </c>
      <c r="X181" s="30">
        <f>SUM(E181:G181)</f>
        <v/>
      </c>
      <c r="Y181" s="30">
        <f>SUM(H181:I181)</f>
        <v/>
      </c>
      <c r="Z181" s="30">
        <f>SUM(J181:K181)</f>
        <v/>
      </c>
      <c r="AA181" s="30">
        <f>SUM(L181:M181)</f>
        <v/>
      </c>
      <c r="AB181" s="30">
        <f>SUM(N181:O181)</f>
        <v/>
      </c>
      <c r="AC181" s="30">
        <f>SUM(P181:Q181)</f>
        <v/>
      </c>
      <c r="AD181" s="30">
        <f>SUM(R181:U181)</f>
        <v/>
      </c>
      <c r="AE181" s="31">
        <f>SUM(X181:AD181)</f>
        <v/>
      </c>
      <c r="AF181" s="32">
        <f>AE181/SUM($AE$5:$AE$222)</f>
        <v/>
      </c>
      <c r="AG181" s="10">
        <f>RANK(AE181,$AE$5:$AE$222)</f>
        <v/>
      </c>
      <c r="AH181" s="29" t="n">
        <v>386506</v>
      </c>
      <c r="AI181" s="9">
        <f>IF(AH181&gt;0,AE181/AH181-1,"")</f>
        <v/>
      </c>
      <c r="AJ181" s="29" t="n">
        <v>98323</v>
      </c>
      <c r="AK181" s="19">
        <f>IF(SUM($E181:E181)&gt;=AE181/2,0+5*(AE181/2-0)/E181,IF(SUM($E181:F181)&gt;=AE181/2,5+5*(AE181/2-SUM($E181:E181))/F181,IF(SUM($E181:G181)&gt;=AE181/2,10+5*(AE181/2-SUM($E181:F181))/G181,IF(SUM($E181:H181)&gt;=AE181/2,15+5*(AE181/2-SUM($E181:G181))/H181,IF(SUM($E181:I181)&gt;=AE181/2,20+5*(AE181/2-SUM($E181:H181))/I181,IF(SUM($E181:J181)&gt;=AE181/2,25+5*(AE181/2-SUM($E181:I181))/J181,IF(SUM($E181:K181)&gt;=AE181/2,30+5*(AE181/2-SUM($E181:J181))/K181,IF(SUM($E181:L181)&gt;=AE181/2,35+5*(AE181/2-SUM($E181:K181))/L181,IF(SUM($E181:M181)&gt;=AE181/2,40+5*(AE181/2-SUM($E181:L181))/M181,IF(SUM($E181:N181)&gt;=AE181/2,45+5*(AE181/2-SUM($E181:M181))/N181,IF(SUM($E181:O181)&gt;=AE181/2,50+5*(AE181/2-SUM($E181:N181))/O181,IF(SUM($E181:P181)&gt;=AE181/2,55+5*(AE181/2-SUM($E181:O181))/P181,IF(SUM($E181:Q181)&gt;=AE181/2,60+5*(AE181/2-SUM($E181:P181))/Q181,IF(SUM($E181:R181)&gt;=AE181/2,65+5*(AE181/2-SUM($E181:Q181))/R181,IF(SUM($E181:S181)&gt;=AE181/2,70+5*(AE181/2-SUM($E181:R181))/S181,IF(SUM($E181:T181)&gt;=AE181/2,75+5*(AE181/2-SUM($E181:S181))/T181,""))))))))))))))))</f>
        <v/>
      </c>
      <c r="AL181" s="30">
        <f>SUM(H181:Q181)</f>
        <v/>
      </c>
      <c r="AM181" s="36" t="n"/>
      <c r="AN181" s="36" t="n"/>
      <c r="AO181" s="33">
        <f>IF(AND(ISNUMBER(AN181),ISNUMBER(AM181)),(AN181-AM181)*100,"")</f>
        <v/>
      </c>
      <c r="AP181" s="30">
        <f>IF(ISNUMBER(AN181),AN181*AL181,"")</f>
        <v/>
      </c>
      <c r="AQ181" s="30">
        <f>IF(ISNUMBER(AN181),AL181,0)</f>
        <v/>
      </c>
      <c r="BB181" s="30">
        <f>IF(BA181="Yes",AX181,0)</f>
        <v/>
      </c>
      <c r="BC181" s="30">
        <f>IF(AND(BA181="Yes",ISNUMBER(AP181)),AP181,0)</f>
        <v/>
      </c>
      <c r="BD181" s="30">
        <f>IF(BA181="Yes",AX181,IF(ISNUMBER(AP181),AP181,0))</f>
        <v/>
      </c>
    </row>
    <row r="182">
      <c r="A182" s="6" t="inlineStr">
        <is>
          <t>VUT</t>
        </is>
      </c>
      <c r="B182" s="6" t="inlineStr">
        <is>
          <t>Vanuatu</t>
        </is>
      </c>
      <c r="C182" s="6" t="inlineStr">
        <is>
          <t>East Asia &amp; Pacific</t>
        </is>
      </c>
      <c r="D182" s="6" t="inlineStr">
        <is>
          <t>Lower middle income</t>
        </is>
      </c>
      <c r="E182" s="29" t="n">
        <v>44303</v>
      </c>
      <c r="F182" s="29" t="n">
        <v>43244</v>
      </c>
      <c r="G182" s="29" t="n">
        <v>39688</v>
      </c>
      <c r="H182" s="29" t="n">
        <v>33124</v>
      </c>
      <c r="I182" s="29" t="n">
        <v>26888</v>
      </c>
      <c r="J182" s="29" t="n">
        <v>24495</v>
      </c>
      <c r="K182" s="29" t="n">
        <v>24890</v>
      </c>
      <c r="L182" s="29" t="n">
        <v>22139</v>
      </c>
      <c r="M182" s="29" t="n">
        <v>18268</v>
      </c>
      <c r="N182" s="29" t="n">
        <v>12338</v>
      </c>
      <c r="O182" s="29" t="n">
        <v>12937</v>
      </c>
      <c r="P182" s="29" t="n">
        <v>9969</v>
      </c>
      <c r="Q182" s="29" t="n">
        <v>8209</v>
      </c>
      <c r="R182" s="29" t="n">
        <v>6226</v>
      </c>
      <c r="S182" s="29" t="n">
        <v>4278</v>
      </c>
      <c r="T182" s="29" t="n">
        <v>2371</v>
      </c>
      <c r="U182" s="29" t="n">
        <v>1800</v>
      </c>
      <c r="V182" s="29" t="n">
        <v>166024</v>
      </c>
      <c r="W182" s="29" t="n">
        <v>169143</v>
      </c>
      <c r="X182" s="30">
        <f>SUM(E182:G182)</f>
        <v/>
      </c>
      <c r="Y182" s="30">
        <f>SUM(H182:I182)</f>
        <v/>
      </c>
      <c r="Z182" s="30">
        <f>SUM(J182:K182)</f>
        <v/>
      </c>
      <c r="AA182" s="30">
        <f>SUM(L182:M182)</f>
        <v/>
      </c>
      <c r="AB182" s="30">
        <f>SUM(N182:O182)</f>
        <v/>
      </c>
      <c r="AC182" s="30">
        <f>SUM(P182:Q182)</f>
        <v/>
      </c>
      <c r="AD182" s="30">
        <f>SUM(R182:U182)</f>
        <v/>
      </c>
      <c r="AE182" s="31">
        <f>SUM(X182:AD182)</f>
        <v/>
      </c>
      <c r="AF182" s="32">
        <f>AE182/SUM($AE$5:$AE$222)</f>
        <v/>
      </c>
      <c r="AG182" s="10">
        <f>RANK(AE182,$AE$5:$AE$222)</f>
        <v/>
      </c>
      <c r="AH182" s="29" t="n">
        <v>327777</v>
      </c>
      <c r="AI182" s="9">
        <f>IF(AH182&gt;0,AE182/AH182-1,"")</f>
        <v/>
      </c>
      <c r="AJ182" s="29" t="n">
        <v>4039</v>
      </c>
      <c r="AK182" s="19">
        <f>IF(SUM($E182:E182)&gt;=AE182/2,0+5*(AE182/2-0)/E182,IF(SUM($E182:F182)&gt;=AE182/2,5+5*(AE182/2-SUM($E182:E182))/F182,IF(SUM($E182:G182)&gt;=AE182/2,10+5*(AE182/2-SUM($E182:F182))/G182,IF(SUM($E182:H182)&gt;=AE182/2,15+5*(AE182/2-SUM($E182:G182))/H182,IF(SUM($E182:I182)&gt;=AE182/2,20+5*(AE182/2-SUM($E182:H182))/I182,IF(SUM($E182:J182)&gt;=AE182/2,25+5*(AE182/2-SUM($E182:I182))/J182,IF(SUM($E182:K182)&gt;=AE182/2,30+5*(AE182/2-SUM($E182:J182))/K182,IF(SUM($E182:L182)&gt;=AE182/2,35+5*(AE182/2-SUM($E182:K182))/L182,IF(SUM($E182:M182)&gt;=AE182/2,40+5*(AE182/2-SUM($E182:L182))/M182,IF(SUM($E182:N182)&gt;=AE182/2,45+5*(AE182/2-SUM($E182:M182))/N182,IF(SUM($E182:O182)&gt;=AE182/2,50+5*(AE182/2-SUM($E182:N182))/O182,IF(SUM($E182:P182)&gt;=AE182/2,55+5*(AE182/2-SUM($E182:O182))/P182,IF(SUM($E182:Q182)&gt;=AE182/2,60+5*(AE182/2-SUM($E182:P182))/Q182,IF(SUM($E182:R182)&gt;=AE182/2,65+5*(AE182/2-SUM($E182:Q182))/R182,IF(SUM($E182:S182)&gt;=AE182/2,70+5*(AE182/2-SUM($E182:R182))/S182,IF(SUM($E182:T182)&gt;=AE182/2,75+5*(AE182/2-SUM($E182:S182))/T182,""))))))))))))))))</f>
        <v/>
      </c>
      <c r="AL182" s="30">
        <f>SUM(H182:Q182)</f>
        <v/>
      </c>
      <c r="AM182" s="36" t="n"/>
      <c r="AN182" s="36" t="n"/>
      <c r="AO182" s="33">
        <f>IF(AND(ISNUMBER(AN182),ISNUMBER(AM182)),(AN182-AM182)*100,"")</f>
        <v/>
      </c>
      <c r="AP182" s="30">
        <f>IF(ISNUMBER(AN182),AN182*AL182,"")</f>
        <v/>
      </c>
      <c r="AQ182" s="30">
        <f>IF(ISNUMBER(AN182),AL182,0)</f>
        <v/>
      </c>
      <c r="BB182" s="30">
        <f>IF(BA182="Yes",AX182,0)</f>
        <v/>
      </c>
      <c r="BC182" s="30">
        <f>IF(AND(BA182="Yes",ISNUMBER(AP182)),AP182,0)</f>
        <v/>
      </c>
      <c r="BD182" s="30">
        <f>IF(BA182="Yes",AX182,IF(ISNUMBER(AP182),AP182,0))</f>
        <v/>
      </c>
    </row>
    <row r="183">
      <c r="A183" s="6" t="inlineStr">
        <is>
          <t>NCL</t>
        </is>
      </c>
      <c r="B183" s="6" t="inlineStr">
        <is>
          <t>New Caledonia</t>
        </is>
      </c>
      <c r="C183" s="6" t="inlineStr">
        <is>
          <t>East Asia &amp; Pacific</t>
        </is>
      </c>
      <c r="D183" s="6" t="inlineStr">
        <is>
          <t>High income</t>
        </is>
      </c>
      <c r="E183" s="29" t="n">
        <v>20633</v>
      </c>
      <c r="F183" s="29" t="n">
        <v>20684</v>
      </c>
      <c r="G183" s="29" t="n">
        <v>20968</v>
      </c>
      <c r="H183" s="29" t="n">
        <v>21286</v>
      </c>
      <c r="I183" s="29" t="n">
        <v>21567</v>
      </c>
      <c r="J183" s="29" t="n">
        <v>19585</v>
      </c>
      <c r="K183" s="29" t="n">
        <v>20677</v>
      </c>
      <c r="L183" s="29" t="n">
        <v>21655</v>
      </c>
      <c r="M183" s="29" t="n">
        <v>20835</v>
      </c>
      <c r="N183" s="29" t="n">
        <v>19431</v>
      </c>
      <c r="O183" s="29" t="n">
        <v>20060</v>
      </c>
      <c r="P183" s="29" t="n">
        <v>18056</v>
      </c>
      <c r="Q183" s="29" t="n">
        <v>15111</v>
      </c>
      <c r="R183" s="29" t="n">
        <v>11840</v>
      </c>
      <c r="S183" s="29" t="n">
        <v>8955</v>
      </c>
      <c r="T183" s="29" t="n">
        <v>6941</v>
      </c>
      <c r="U183" s="29" t="n">
        <v>7048</v>
      </c>
      <c r="V183" s="29" t="n">
        <v>149633</v>
      </c>
      <c r="W183" s="29" t="n">
        <v>145699</v>
      </c>
      <c r="X183" s="30">
        <f>SUM(E183:G183)</f>
        <v/>
      </c>
      <c r="Y183" s="30">
        <f>SUM(H183:I183)</f>
        <v/>
      </c>
      <c r="Z183" s="30">
        <f>SUM(J183:K183)</f>
        <v/>
      </c>
      <c r="AA183" s="30">
        <f>SUM(L183:M183)</f>
        <v/>
      </c>
      <c r="AB183" s="30">
        <f>SUM(N183:O183)</f>
        <v/>
      </c>
      <c r="AC183" s="30">
        <f>SUM(P183:Q183)</f>
        <v/>
      </c>
      <c r="AD183" s="30">
        <f>SUM(R183:U183)</f>
        <v/>
      </c>
      <c r="AE183" s="31">
        <f>SUM(X183:AD183)</f>
        <v/>
      </c>
      <c r="AF183" s="32">
        <f>AE183/SUM($AE$5:$AE$222)</f>
        <v/>
      </c>
      <c r="AG183" s="10">
        <f>RANK(AE183,$AE$5:$AE$222)</f>
        <v/>
      </c>
      <c r="AH183" s="29" t="n">
        <v>292639</v>
      </c>
      <c r="AI183" s="9">
        <f>IF(AH183&gt;0,AE183/AH183-1,"")</f>
        <v/>
      </c>
      <c r="AJ183" s="29" t="n">
        <v>29213</v>
      </c>
      <c r="AK183" s="19">
        <f>IF(SUM($E183:E183)&gt;=AE183/2,0+5*(AE183/2-0)/E183,IF(SUM($E183:F183)&gt;=AE183/2,5+5*(AE183/2-SUM($E183:E183))/F183,IF(SUM($E183:G183)&gt;=AE183/2,10+5*(AE183/2-SUM($E183:F183))/G183,IF(SUM($E183:H183)&gt;=AE183/2,15+5*(AE183/2-SUM($E183:G183))/H183,IF(SUM($E183:I183)&gt;=AE183/2,20+5*(AE183/2-SUM($E183:H183))/I183,IF(SUM($E183:J183)&gt;=AE183/2,25+5*(AE183/2-SUM($E183:I183))/J183,IF(SUM($E183:K183)&gt;=AE183/2,30+5*(AE183/2-SUM($E183:J183))/K183,IF(SUM($E183:L183)&gt;=AE183/2,35+5*(AE183/2-SUM($E183:K183))/L183,IF(SUM($E183:M183)&gt;=AE183/2,40+5*(AE183/2-SUM($E183:L183))/M183,IF(SUM($E183:N183)&gt;=AE183/2,45+5*(AE183/2-SUM($E183:M183))/N183,IF(SUM($E183:O183)&gt;=AE183/2,50+5*(AE183/2-SUM($E183:N183))/O183,IF(SUM($E183:P183)&gt;=AE183/2,55+5*(AE183/2-SUM($E183:O183))/P183,IF(SUM($E183:Q183)&gt;=AE183/2,60+5*(AE183/2-SUM($E183:P183))/Q183,IF(SUM($E183:R183)&gt;=AE183/2,65+5*(AE183/2-SUM($E183:Q183))/R183,IF(SUM($E183:S183)&gt;=AE183/2,70+5*(AE183/2-SUM($E183:R183))/S183,IF(SUM($E183:T183)&gt;=AE183/2,75+5*(AE183/2-SUM($E183:S183))/T183,""))))))))))))))))</f>
        <v/>
      </c>
      <c r="AL183" s="30">
        <f>SUM(H183:Q183)</f>
        <v/>
      </c>
      <c r="AM183" s="36" t="n"/>
      <c r="AN183" s="36" t="n"/>
      <c r="AO183" s="33">
        <f>IF(AND(ISNUMBER(AN183),ISNUMBER(AM183)),(AN183-AM183)*100,"")</f>
        <v/>
      </c>
      <c r="AP183" s="30">
        <f>IF(ISNUMBER(AN183),AN183*AL183,"")</f>
        <v/>
      </c>
      <c r="AQ183" s="30">
        <f>IF(ISNUMBER(AN183),AL183,0)</f>
        <v/>
      </c>
      <c r="BB183" s="30">
        <f>IF(BA183="Yes",AX183,0)</f>
        <v/>
      </c>
      <c r="BC183" s="30">
        <f>IF(AND(BA183="Yes",ISNUMBER(AP183)),AP183,0)</f>
        <v/>
      </c>
      <c r="BD183" s="30">
        <f>IF(BA183="Yes",AX183,IF(ISNUMBER(AP183),AP183,0))</f>
        <v/>
      </c>
    </row>
    <row r="184">
      <c r="A184" s="6" t="inlineStr">
        <is>
          <t>BRB</t>
        </is>
      </c>
      <c r="B184" s="6" t="inlineStr">
        <is>
          <t>Barbados</t>
        </is>
      </c>
      <c r="C184" s="6" t="inlineStr">
        <is>
          <t>Latin America &amp; Caribbean</t>
        </is>
      </c>
      <c r="D184" s="6" t="inlineStr">
        <is>
          <t>High income</t>
        </is>
      </c>
      <c r="E184" s="29" t="n">
        <v>15630</v>
      </c>
      <c r="F184" s="29" t="n">
        <v>16007</v>
      </c>
      <c r="G184" s="29" t="n">
        <v>16588</v>
      </c>
      <c r="H184" s="29" t="n">
        <v>18163</v>
      </c>
      <c r="I184" s="29" t="n">
        <v>18428</v>
      </c>
      <c r="J184" s="29" t="n">
        <v>18264</v>
      </c>
      <c r="K184" s="29" t="n">
        <v>18498</v>
      </c>
      <c r="L184" s="29" t="n">
        <v>18166</v>
      </c>
      <c r="M184" s="29" t="n">
        <v>18972</v>
      </c>
      <c r="N184" s="29" t="n">
        <v>18189</v>
      </c>
      <c r="O184" s="29" t="n">
        <v>19509</v>
      </c>
      <c r="P184" s="29" t="n">
        <v>18805</v>
      </c>
      <c r="Q184" s="29" t="n">
        <v>19113</v>
      </c>
      <c r="R184" s="29" t="n">
        <v>17182</v>
      </c>
      <c r="S184" s="29" t="n">
        <v>13308</v>
      </c>
      <c r="T184" s="29" t="n">
        <v>9232</v>
      </c>
      <c r="U184" s="29" t="n">
        <v>8567</v>
      </c>
      <c r="V184" s="29" t="n">
        <v>147102</v>
      </c>
      <c r="W184" s="29" t="n">
        <v>135519</v>
      </c>
      <c r="X184" s="30">
        <f>SUM(E184:G184)</f>
        <v/>
      </c>
      <c r="Y184" s="30">
        <f>SUM(H184:I184)</f>
        <v/>
      </c>
      <c r="Z184" s="30">
        <f>SUM(J184:K184)</f>
        <v/>
      </c>
      <c r="AA184" s="30">
        <f>SUM(L184:M184)</f>
        <v/>
      </c>
      <c r="AB184" s="30">
        <f>SUM(N184:O184)</f>
        <v/>
      </c>
      <c r="AC184" s="30">
        <f>SUM(P184:Q184)</f>
        <v/>
      </c>
      <c r="AD184" s="30">
        <f>SUM(R184:U184)</f>
        <v/>
      </c>
      <c r="AE184" s="31">
        <f>SUM(X184:AD184)</f>
        <v/>
      </c>
      <c r="AF184" s="32">
        <f>AE184/SUM($AE$5:$AE$222)</f>
        <v/>
      </c>
      <c r="AG184" s="10">
        <f>RANK(AE184,$AE$5:$AE$222)</f>
        <v/>
      </c>
      <c r="AH184" s="29" t="n">
        <v>282467</v>
      </c>
      <c r="AI184" s="9">
        <f>IF(AH184&gt;0,AE184/AH184-1,"")</f>
        <v/>
      </c>
      <c r="AJ184" s="29" t="n">
        <v>28365</v>
      </c>
      <c r="AK184" s="19">
        <f>IF(SUM($E184:E184)&gt;=AE184/2,0+5*(AE184/2-0)/E184,IF(SUM($E184:F184)&gt;=AE184/2,5+5*(AE184/2-SUM($E184:E184))/F184,IF(SUM($E184:G184)&gt;=AE184/2,10+5*(AE184/2-SUM($E184:F184))/G184,IF(SUM($E184:H184)&gt;=AE184/2,15+5*(AE184/2-SUM($E184:G184))/H184,IF(SUM($E184:I184)&gt;=AE184/2,20+5*(AE184/2-SUM($E184:H184))/I184,IF(SUM($E184:J184)&gt;=AE184/2,25+5*(AE184/2-SUM($E184:I184))/J184,IF(SUM($E184:K184)&gt;=AE184/2,30+5*(AE184/2-SUM($E184:J184))/K184,IF(SUM($E184:L184)&gt;=AE184/2,35+5*(AE184/2-SUM($E184:K184))/L184,IF(SUM($E184:M184)&gt;=AE184/2,40+5*(AE184/2-SUM($E184:L184))/M184,IF(SUM($E184:N184)&gt;=AE184/2,45+5*(AE184/2-SUM($E184:M184))/N184,IF(SUM($E184:O184)&gt;=AE184/2,50+5*(AE184/2-SUM($E184:N184))/O184,IF(SUM($E184:P184)&gt;=AE184/2,55+5*(AE184/2-SUM($E184:O184))/P184,IF(SUM($E184:Q184)&gt;=AE184/2,60+5*(AE184/2-SUM($E184:P184))/Q184,IF(SUM($E184:R184)&gt;=AE184/2,65+5*(AE184/2-SUM($E184:Q184))/R184,IF(SUM($E184:S184)&gt;=AE184/2,70+5*(AE184/2-SUM($E184:R184))/S184,IF(SUM($E184:T184)&gt;=AE184/2,75+5*(AE184/2-SUM($E184:S184))/T184,""))))))))))))))))</f>
        <v/>
      </c>
      <c r="AL184" s="30">
        <f>SUM(H184:Q184)</f>
        <v/>
      </c>
      <c r="AM184" s="36" t="n"/>
      <c r="AN184" s="36" t="n"/>
      <c r="AO184" s="33">
        <f>IF(AND(ISNUMBER(AN184),ISNUMBER(AM184)),(AN184-AM184)*100,"")</f>
        <v/>
      </c>
      <c r="AP184" s="30">
        <f>IF(ISNUMBER(AN184),AN184*AL184,"")</f>
        <v/>
      </c>
      <c r="AQ184" s="30">
        <f>IF(ISNUMBER(AN184),AL184,0)</f>
        <v/>
      </c>
      <c r="BB184" s="30">
        <f>IF(BA184="Yes",AX184,0)</f>
        <v/>
      </c>
      <c r="BC184" s="30">
        <f>IF(AND(BA184="Yes",ISNUMBER(AP184)),AP184,0)</f>
        <v/>
      </c>
      <c r="BD184" s="30">
        <f>IF(BA184="Yes",AX184,IF(ISNUMBER(AP184),AP184,0))</f>
        <v/>
      </c>
    </row>
    <row r="185">
      <c r="A185" s="6" t="inlineStr">
        <is>
          <t>PYF</t>
        </is>
      </c>
      <c r="B185" s="6" t="inlineStr">
        <is>
          <t>French Polynesia</t>
        </is>
      </c>
      <c r="C185" s="6" t="inlineStr">
        <is>
          <t>East Asia &amp; Pacific</t>
        </is>
      </c>
      <c r="D185" s="6" t="inlineStr">
        <is>
          <t>High income</t>
        </is>
      </c>
      <c r="E185" s="29" t="n">
        <v>14762</v>
      </c>
      <c r="F185" s="29" t="n">
        <v>17005</v>
      </c>
      <c r="G185" s="29" t="n">
        <v>20356</v>
      </c>
      <c r="H185" s="29" t="n">
        <v>21766</v>
      </c>
      <c r="I185" s="29" t="n">
        <v>20779</v>
      </c>
      <c r="J185" s="29" t="n">
        <v>18208</v>
      </c>
      <c r="K185" s="29" t="n">
        <v>19488</v>
      </c>
      <c r="L185" s="29" t="n">
        <v>21948</v>
      </c>
      <c r="M185" s="29" t="n">
        <v>21326</v>
      </c>
      <c r="N185" s="29" t="n">
        <v>19296</v>
      </c>
      <c r="O185" s="29" t="n">
        <v>19263</v>
      </c>
      <c r="P185" s="29" t="n">
        <v>18683</v>
      </c>
      <c r="Q185" s="29" t="n">
        <v>15834</v>
      </c>
      <c r="R185" s="29" t="n">
        <v>12358</v>
      </c>
      <c r="S185" s="29" t="n">
        <v>9069</v>
      </c>
      <c r="T185" s="29" t="n">
        <v>5821</v>
      </c>
      <c r="U185" s="29" t="n">
        <v>6503</v>
      </c>
      <c r="V185" s="29" t="n">
        <v>139708</v>
      </c>
      <c r="W185" s="29" t="n">
        <v>142757</v>
      </c>
      <c r="X185" s="30">
        <f>SUM(E185:G185)</f>
        <v/>
      </c>
      <c r="Y185" s="30">
        <f>SUM(H185:I185)</f>
        <v/>
      </c>
      <c r="Z185" s="30">
        <f>SUM(J185:K185)</f>
        <v/>
      </c>
      <c r="AA185" s="30">
        <f>SUM(L185:M185)</f>
        <v/>
      </c>
      <c r="AB185" s="30">
        <f>SUM(N185:O185)</f>
        <v/>
      </c>
      <c r="AC185" s="30">
        <f>SUM(P185:Q185)</f>
        <v/>
      </c>
      <c r="AD185" s="30">
        <f>SUM(R185:U185)</f>
        <v/>
      </c>
      <c r="AE185" s="31">
        <f>SUM(X185:AD185)</f>
        <v/>
      </c>
      <c r="AF185" s="32">
        <f>AE185/SUM($AE$5:$AE$222)</f>
        <v/>
      </c>
      <c r="AG185" s="10">
        <f>RANK(AE185,$AE$5:$AE$222)</f>
        <v/>
      </c>
      <c r="AH185" s="29" t="n">
        <v>281807</v>
      </c>
      <c r="AI185" s="9">
        <f>IF(AH185&gt;0,AE185/AH185-1,"")</f>
        <v/>
      </c>
      <c r="AJ185" s="29" t="n">
        <v>22440</v>
      </c>
      <c r="AK185" s="19">
        <f>IF(SUM($E185:E185)&gt;=AE185/2,0+5*(AE185/2-0)/E185,IF(SUM($E185:F185)&gt;=AE185/2,5+5*(AE185/2-SUM($E185:E185))/F185,IF(SUM($E185:G185)&gt;=AE185/2,10+5*(AE185/2-SUM($E185:F185))/G185,IF(SUM($E185:H185)&gt;=AE185/2,15+5*(AE185/2-SUM($E185:G185))/H185,IF(SUM($E185:I185)&gt;=AE185/2,20+5*(AE185/2-SUM($E185:H185))/I185,IF(SUM($E185:J185)&gt;=AE185/2,25+5*(AE185/2-SUM($E185:I185))/J185,IF(SUM($E185:K185)&gt;=AE185/2,30+5*(AE185/2-SUM($E185:J185))/K185,IF(SUM($E185:L185)&gt;=AE185/2,35+5*(AE185/2-SUM($E185:K185))/L185,IF(SUM($E185:M185)&gt;=AE185/2,40+5*(AE185/2-SUM($E185:L185))/M185,IF(SUM($E185:N185)&gt;=AE185/2,45+5*(AE185/2-SUM($E185:M185))/N185,IF(SUM($E185:O185)&gt;=AE185/2,50+5*(AE185/2-SUM($E185:N185))/O185,IF(SUM($E185:P185)&gt;=AE185/2,55+5*(AE185/2-SUM($E185:O185))/P185,IF(SUM($E185:Q185)&gt;=AE185/2,60+5*(AE185/2-SUM($E185:P185))/Q185,IF(SUM($E185:R185)&gt;=AE185/2,65+5*(AE185/2-SUM($E185:Q185))/R185,IF(SUM($E185:S185)&gt;=AE185/2,70+5*(AE185/2-SUM($E185:R185))/S185,IF(SUM($E185:T185)&gt;=AE185/2,75+5*(AE185/2-SUM($E185:S185))/T185,""))))))))))))))))</f>
        <v/>
      </c>
      <c r="AL185" s="30">
        <f>SUM(H185:Q185)</f>
        <v/>
      </c>
      <c r="AM185" s="36" t="n"/>
      <c r="AN185" s="36" t="n"/>
      <c r="AO185" s="33">
        <f>IF(AND(ISNUMBER(AN185),ISNUMBER(AM185)),(AN185-AM185)*100,"")</f>
        <v/>
      </c>
      <c r="AP185" s="30">
        <f>IF(ISNUMBER(AN185),AN185*AL185,"")</f>
        <v/>
      </c>
      <c r="AQ185" s="30">
        <f>IF(ISNUMBER(AN185),AL185,0)</f>
        <v/>
      </c>
      <c r="BB185" s="30">
        <f>IF(BA185="Yes",AX185,0)</f>
        <v/>
      </c>
      <c r="BC185" s="30">
        <f>IF(AND(BA185="Yes",ISNUMBER(AP185)),AP185,0)</f>
        <v/>
      </c>
      <c r="BD185" s="30">
        <f>IF(BA185="Yes",AX185,IF(ISNUMBER(AP185),AP185,0))</f>
        <v/>
      </c>
    </row>
    <row r="186">
      <c r="A186" s="6" t="inlineStr">
        <is>
          <t>STP</t>
        </is>
      </c>
      <c r="B186" s="6" t="inlineStr">
        <is>
          <t>Sao Tome and Principe</t>
        </is>
      </c>
      <c r="C186" s="6" t="inlineStr">
        <is>
          <t>Sub-Saharan Africa</t>
        </is>
      </c>
      <c r="D186" s="6" t="inlineStr">
        <is>
          <t>Lower middle income</t>
        </is>
      </c>
      <c r="E186" s="29" t="n">
        <v>31678</v>
      </c>
      <c r="F186" s="29" t="n">
        <v>29240</v>
      </c>
      <c r="G186" s="29" t="n">
        <v>29070</v>
      </c>
      <c r="H186" s="29" t="n">
        <v>27669</v>
      </c>
      <c r="I186" s="29" t="n">
        <v>23346</v>
      </c>
      <c r="J186" s="29" t="n">
        <v>17644</v>
      </c>
      <c r="K186" s="29" t="n">
        <v>14439</v>
      </c>
      <c r="L186" s="29" t="n">
        <v>13171</v>
      </c>
      <c r="M186" s="29" t="n">
        <v>13179</v>
      </c>
      <c r="N186" s="29" t="n">
        <v>11077</v>
      </c>
      <c r="O186" s="29" t="n">
        <v>8451</v>
      </c>
      <c r="P186" s="29" t="n">
        <v>6550</v>
      </c>
      <c r="Q186" s="29" t="n">
        <v>5266</v>
      </c>
      <c r="R186" s="29" t="n">
        <v>3737</v>
      </c>
      <c r="S186" s="29" t="n">
        <v>2515</v>
      </c>
      <c r="T186" s="29" t="n">
        <v>1510</v>
      </c>
      <c r="U186" s="29" t="n">
        <v>1715</v>
      </c>
      <c r="V186" s="29" t="n">
        <v>120888</v>
      </c>
      <c r="W186" s="29" t="n">
        <v>119369</v>
      </c>
      <c r="X186" s="30">
        <f>SUM(E186:G186)</f>
        <v/>
      </c>
      <c r="Y186" s="30">
        <f>SUM(H186:I186)</f>
        <v/>
      </c>
      <c r="Z186" s="30">
        <f>SUM(J186:K186)</f>
        <v/>
      </c>
      <c r="AA186" s="30">
        <f>SUM(L186:M186)</f>
        <v/>
      </c>
      <c r="AB186" s="30">
        <f>SUM(N186:O186)</f>
        <v/>
      </c>
      <c r="AC186" s="30">
        <f>SUM(P186:Q186)</f>
        <v/>
      </c>
      <c r="AD186" s="30">
        <f>SUM(R186:U186)</f>
        <v/>
      </c>
      <c r="AE186" s="31">
        <f>SUM(X186:AD186)</f>
        <v/>
      </c>
      <c r="AF186" s="32">
        <f>AE186/SUM($AE$5:$AE$222)</f>
        <v/>
      </c>
      <c r="AG186" s="10">
        <f>RANK(AE186,$AE$5:$AE$222)</f>
        <v/>
      </c>
      <c r="AH186" s="29" t="n">
        <v>235536</v>
      </c>
      <c r="AI186" s="9">
        <f>IF(AH186&gt;0,AE186/AH186-1,"")</f>
        <v/>
      </c>
      <c r="AJ186" s="29" t="n">
        <v>4084</v>
      </c>
      <c r="AK186" s="19">
        <f>IF(SUM($E186:E186)&gt;=AE186/2,0+5*(AE186/2-0)/E186,IF(SUM($E186:F186)&gt;=AE186/2,5+5*(AE186/2-SUM($E186:E186))/F186,IF(SUM($E186:G186)&gt;=AE186/2,10+5*(AE186/2-SUM($E186:F186))/G186,IF(SUM($E186:H186)&gt;=AE186/2,15+5*(AE186/2-SUM($E186:G186))/H186,IF(SUM($E186:I186)&gt;=AE186/2,20+5*(AE186/2-SUM($E186:H186))/I186,IF(SUM($E186:J186)&gt;=AE186/2,25+5*(AE186/2-SUM($E186:I186))/J186,IF(SUM($E186:K186)&gt;=AE186/2,30+5*(AE186/2-SUM($E186:J186))/K186,IF(SUM($E186:L186)&gt;=AE186/2,35+5*(AE186/2-SUM($E186:K186))/L186,IF(SUM($E186:M186)&gt;=AE186/2,40+5*(AE186/2-SUM($E186:L186))/M186,IF(SUM($E186:N186)&gt;=AE186/2,45+5*(AE186/2-SUM($E186:M186))/N186,IF(SUM($E186:O186)&gt;=AE186/2,50+5*(AE186/2-SUM($E186:N186))/O186,IF(SUM($E186:P186)&gt;=AE186/2,55+5*(AE186/2-SUM($E186:O186))/P186,IF(SUM($E186:Q186)&gt;=AE186/2,60+5*(AE186/2-SUM($E186:P186))/Q186,IF(SUM($E186:R186)&gt;=AE186/2,65+5*(AE186/2-SUM($E186:Q186))/R186,IF(SUM($E186:S186)&gt;=AE186/2,70+5*(AE186/2-SUM($E186:R186))/S186,IF(SUM($E186:T186)&gt;=AE186/2,75+5*(AE186/2-SUM($E186:S186))/T186,""))))))))))))))))</f>
        <v/>
      </c>
      <c r="AL186" s="30">
        <f>SUM(H186:Q186)</f>
        <v/>
      </c>
      <c r="AM186" s="36" t="n"/>
      <c r="AN186" s="36" t="n"/>
      <c r="AO186" s="33">
        <f>IF(AND(ISNUMBER(AN186),ISNUMBER(AM186)),(AN186-AM186)*100,"")</f>
        <v/>
      </c>
      <c r="AP186" s="30">
        <f>IF(ISNUMBER(AN186),AN186*AL186,"")</f>
        <v/>
      </c>
      <c r="AQ186" s="30">
        <f>IF(ISNUMBER(AN186),AL186,0)</f>
        <v/>
      </c>
      <c r="BB186" s="30">
        <f>IF(BA186="Yes",AX186,0)</f>
        <v/>
      </c>
      <c r="BC186" s="30">
        <f>IF(AND(BA186="Yes",ISNUMBER(AP186)),AP186,0)</f>
        <v/>
      </c>
      <c r="BD186" s="30">
        <f>IF(BA186="Yes",AX186,IF(ISNUMBER(AP186),AP186,0))</f>
        <v/>
      </c>
    </row>
    <row r="187">
      <c r="A187" s="6" t="inlineStr">
        <is>
          <t>WSM</t>
        </is>
      </c>
      <c r="B187" s="6" t="inlineStr">
        <is>
          <t>Samoa</t>
        </is>
      </c>
      <c r="C187" s="6" t="inlineStr">
        <is>
          <t>East Asia &amp; Pacific</t>
        </is>
      </c>
      <c r="D187" s="6" t="inlineStr">
        <is>
          <t>Upper middle income</t>
        </is>
      </c>
      <c r="E187" s="29" t="n">
        <v>26869</v>
      </c>
      <c r="F187" s="29" t="n">
        <v>28774</v>
      </c>
      <c r="G187" s="29" t="n">
        <v>27826</v>
      </c>
      <c r="H187" s="29" t="n">
        <v>23068</v>
      </c>
      <c r="I187" s="29" t="n">
        <v>16984</v>
      </c>
      <c r="J187" s="29" t="n">
        <v>13694</v>
      </c>
      <c r="K187" s="29" t="n">
        <v>12388</v>
      </c>
      <c r="L187" s="29" t="n">
        <v>10943</v>
      </c>
      <c r="M187" s="29" t="n">
        <v>10193</v>
      </c>
      <c r="N187" s="29" t="n">
        <v>9700</v>
      </c>
      <c r="O187" s="29" t="n">
        <v>9661</v>
      </c>
      <c r="P187" s="29" t="n">
        <v>8694</v>
      </c>
      <c r="Q187" s="29" t="n">
        <v>7198</v>
      </c>
      <c r="R187" s="29" t="n">
        <v>5580</v>
      </c>
      <c r="S187" s="29" t="n">
        <v>3605</v>
      </c>
      <c r="T187" s="29" t="n">
        <v>2156</v>
      </c>
      <c r="U187" s="29" t="n">
        <v>1967</v>
      </c>
      <c r="V187" s="29" t="n">
        <v>108830</v>
      </c>
      <c r="W187" s="29" t="n">
        <v>110470</v>
      </c>
      <c r="X187" s="30">
        <f>SUM(E187:G187)</f>
        <v/>
      </c>
      <c r="Y187" s="30">
        <f>SUM(H187:I187)</f>
        <v/>
      </c>
      <c r="Z187" s="30">
        <f>SUM(J187:K187)</f>
        <v/>
      </c>
      <c r="AA187" s="30">
        <f>SUM(L187:M187)</f>
        <v/>
      </c>
      <c r="AB187" s="30">
        <f>SUM(N187:O187)</f>
        <v/>
      </c>
      <c r="AC187" s="30">
        <f>SUM(P187:Q187)</f>
        <v/>
      </c>
      <c r="AD187" s="30">
        <f>SUM(R187:U187)</f>
        <v/>
      </c>
      <c r="AE187" s="31">
        <f>SUM(X187:AD187)</f>
        <v/>
      </c>
      <c r="AF187" s="32">
        <f>AE187/SUM($AE$5:$AE$222)</f>
        <v/>
      </c>
      <c r="AG187" s="10">
        <f>RANK(AE187,$AE$5:$AE$222)</f>
        <v/>
      </c>
      <c r="AH187" s="29" t="n">
        <v>218019</v>
      </c>
      <c r="AI187" s="9">
        <f>IF(AH187&gt;0,AE187/AH187-1,"")</f>
        <v/>
      </c>
      <c r="AJ187" s="29" t="n">
        <v>5873</v>
      </c>
      <c r="AK187" s="19">
        <f>IF(SUM($E187:E187)&gt;=AE187/2,0+5*(AE187/2-0)/E187,IF(SUM($E187:F187)&gt;=AE187/2,5+5*(AE187/2-SUM($E187:E187))/F187,IF(SUM($E187:G187)&gt;=AE187/2,10+5*(AE187/2-SUM($E187:F187))/G187,IF(SUM($E187:H187)&gt;=AE187/2,15+5*(AE187/2-SUM($E187:G187))/H187,IF(SUM($E187:I187)&gt;=AE187/2,20+5*(AE187/2-SUM($E187:H187))/I187,IF(SUM($E187:J187)&gt;=AE187/2,25+5*(AE187/2-SUM($E187:I187))/J187,IF(SUM($E187:K187)&gt;=AE187/2,30+5*(AE187/2-SUM($E187:J187))/K187,IF(SUM($E187:L187)&gt;=AE187/2,35+5*(AE187/2-SUM($E187:K187))/L187,IF(SUM($E187:M187)&gt;=AE187/2,40+5*(AE187/2-SUM($E187:L187))/M187,IF(SUM($E187:N187)&gt;=AE187/2,45+5*(AE187/2-SUM($E187:M187))/N187,IF(SUM($E187:O187)&gt;=AE187/2,50+5*(AE187/2-SUM($E187:N187))/O187,IF(SUM($E187:P187)&gt;=AE187/2,55+5*(AE187/2-SUM($E187:O187))/P187,IF(SUM($E187:Q187)&gt;=AE187/2,60+5*(AE187/2-SUM($E187:P187))/Q187,IF(SUM($E187:R187)&gt;=AE187/2,65+5*(AE187/2-SUM($E187:Q187))/R187,IF(SUM($E187:S187)&gt;=AE187/2,70+5*(AE187/2-SUM($E187:R187))/S187,IF(SUM($E187:T187)&gt;=AE187/2,75+5*(AE187/2-SUM($E187:S187))/T187,""))))))))))))))))</f>
        <v/>
      </c>
      <c r="AL187" s="30">
        <f>SUM(H187:Q187)</f>
        <v/>
      </c>
      <c r="AM187" s="36" t="n"/>
      <c r="AN187" s="36" t="n"/>
      <c r="AO187" s="33">
        <f>IF(AND(ISNUMBER(AN187),ISNUMBER(AM187)),(AN187-AM187)*100,"")</f>
        <v/>
      </c>
      <c r="AP187" s="30">
        <f>IF(ISNUMBER(AN187),AN187*AL187,"")</f>
        <v/>
      </c>
      <c r="AQ187" s="30">
        <f>IF(ISNUMBER(AN187),AL187,0)</f>
        <v/>
      </c>
      <c r="BB187" s="30">
        <f>IF(BA187="Yes",AX187,0)</f>
        <v/>
      </c>
      <c r="BC187" s="30">
        <f>IF(AND(BA187="Yes",ISNUMBER(AP187)),AP187,0)</f>
        <v/>
      </c>
      <c r="BD187" s="30">
        <f>IF(BA187="Yes",AX187,IF(ISNUMBER(AP187),AP187,0))</f>
        <v/>
      </c>
    </row>
    <row r="188">
      <c r="A188" s="6" t="inlineStr">
        <is>
          <t>LCA</t>
        </is>
      </c>
      <c r="B188" s="6" t="inlineStr">
        <is>
          <t>St. Lucia</t>
        </is>
      </c>
      <c r="C188" s="6" t="inlineStr">
        <is>
          <t>Latin America &amp; Caribbean</t>
        </is>
      </c>
      <c r="D188" s="6" t="inlineStr">
        <is>
          <t>Upper middle income</t>
        </is>
      </c>
      <c r="E188" s="29" t="n">
        <v>10021</v>
      </c>
      <c r="F188" s="29" t="n">
        <v>10428</v>
      </c>
      <c r="G188" s="29" t="n">
        <v>10618</v>
      </c>
      <c r="H188" s="29" t="n">
        <v>12254</v>
      </c>
      <c r="I188" s="29" t="n">
        <v>13389</v>
      </c>
      <c r="J188" s="29" t="n">
        <v>15322</v>
      </c>
      <c r="K188" s="29" t="n">
        <v>16141</v>
      </c>
      <c r="L188" s="29" t="n">
        <v>14609</v>
      </c>
      <c r="M188" s="29" t="n">
        <v>13714</v>
      </c>
      <c r="N188" s="29" t="n">
        <v>12460</v>
      </c>
      <c r="O188" s="29" t="n">
        <v>11979</v>
      </c>
      <c r="P188" s="29" t="n">
        <v>11451</v>
      </c>
      <c r="Q188" s="29" t="n">
        <v>9813</v>
      </c>
      <c r="R188" s="29" t="n">
        <v>7171</v>
      </c>
      <c r="S188" s="29" t="n">
        <v>4729</v>
      </c>
      <c r="T188" s="29" t="n">
        <v>3165</v>
      </c>
      <c r="U188" s="29" t="n">
        <v>2885</v>
      </c>
      <c r="V188" s="29" t="n">
        <v>91291</v>
      </c>
      <c r="W188" s="29" t="n">
        <v>88858</v>
      </c>
      <c r="X188" s="30">
        <f>SUM(E188:G188)</f>
        <v/>
      </c>
      <c r="Y188" s="30">
        <f>SUM(H188:I188)</f>
        <v/>
      </c>
      <c r="Z188" s="30">
        <f>SUM(J188:K188)</f>
        <v/>
      </c>
      <c r="AA188" s="30">
        <f>SUM(L188:M188)</f>
        <v/>
      </c>
      <c r="AB188" s="30">
        <f>SUM(N188:O188)</f>
        <v/>
      </c>
      <c r="AC188" s="30">
        <f>SUM(P188:Q188)</f>
        <v/>
      </c>
      <c r="AD188" s="30">
        <f>SUM(R188:U188)</f>
        <v/>
      </c>
      <c r="AE188" s="31">
        <f>SUM(X188:AD188)</f>
        <v/>
      </c>
      <c r="AF188" s="32">
        <f>AE188/SUM($AE$5:$AE$222)</f>
        <v/>
      </c>
      <c r="AG188" s="10">
        <f>RANK(AE188,$AE$5:$AE$222)</f>
        <v/>
      </c>
      <c r="AH188" s="29" t="n">
        <v>179744</v>
      </c>
      <c r="AI188" s="9">
        <f>IF(AH188&gt;0,AE188/AH188-1,"")</f>
        <v/>
      </c>
      <c r="AJ188" s="29" t="n">
        <v>14746</v>
      </c>
      <c r="AK188" s="19">
        <f>IF(SUM($E188:E188)&gt;=AE188/2,0+5*(AE188/2-0)/E188,IF(SUM($E188:F188)&gt;=AE188/2,5+5*(AE188/2-SUM($E188:E188))/F188,IF(SUM($E188:G188)&gt;=AE188/2,10+5*(AE188/2-SUM($E188:F188))/G188,IF(SUM($E188:H188)&gt;=AE188/2,15+5*(AE188/2-SUM($E188:G188))/H188,IF(SUM($E188:I188)&gt;=AE188/2,20+5*(AE188/2-SUM($E188:H188))/I188,IF(SUM($E188:J188)&gt;=AE188/2,25+5*(AE188/2-SUM($E188:I188))/J188,IF(SUM($E188:K188)&gt;=AE188/2,30+5*(AE188/2-SUM($E188:J188))/K188,IF(SUM($E188:L188)&gt;=AE188/2,35+5*(AE188/2-SUM($E188:K188))/L188,IF(SUM($E188:M188)&gt;=AE188/2,40+5*(AE188/2-SUM($E188:L188))/M188,IF(SUM($E188:N188)&gt;=AE188/2,45+5*(AE188/2-SUM($E188:M188))/N188,IF(SUM($E188:O188)&gt;=AE188/2,50+5*(AE188/2-SUM($E188:N188))/O188,IF(SUM($E188:P188)&gt;=AE188/2,55+5*(AE188/2-SUM($E188:O188))/P188,IF(SUM($E188:Q188)&gt;=AE188/2,60+5*(AE188/2-SUM($E188:P188))/Q188,IF(SUM($E188:R188)&gt;=AE188/2,65+5*(AE188/2-SUM($E188:Q188))/R188,IF(SUM($E188:S188)&gt;=AE188/2,70+5*(AE188/2-SUM($E188:R188))/S188,IF(SUM($E188:T188)&gt;=AE188/2,75+5*(AE188/2-SUM($E188:S188))/T188,""))))))))))))))))</f>
        <v/>
      </c>
      <c r="AL188" s="30">
        <f>SUM(H188:Q188)</f>
        <v/>
      </c>
      <c r="AM188" s="36" t="n"/>
      <c r="AN188" s="36" t="n"/>
      <c r="AO188" s="33">
        <f>IF(AND(ISNUMBER(AN188),ISNUMBER(AM188)),(AN188-AM188)*100,"")</f>
        <v/>
      </c>
      <c r="AP188" s="30">
        <f>IF(ISNUMBER(AN188),AN188*AL188,"")</f>
        <v/>
      </c>
      <c r="AQ188" s="30">
        <f>IF(ISNUMBER(AN188),AL188,0)</f>
        <v/>
      </c>
      <c r="BB188" s="30">
        <f>IF(BA188="Yes",AX188,0)</f>
        <v/>
      </c>
      <c r="BC188" s="30">
        <f>IF(AND(BA188="Yes",ISNUMBER(AP188)),AP188,0)</f>
        <v/>
      </c>
      <c r="BD188" s="30">
        <f>IF(BA188="Yes",AX188,IF(ISNUMBER(AP188),AP188,0))</f>
        <v/>
      </c>
    </row>
    <row r="189">
      <c r="A189" s="6" t="inlineStr">
        <is>
          <t>GUM</t>
        </is>
      </c>
      <c r="B189" s="6" t="inlineStr">
        <is>
          <t>Guam</t>
        </is>
      </c>
      <c r="C189" s="6" t="inlineStr">
        <is>
          <t>East Asia &amp; Pacific</t>
        </is>
      </c>
      <c r="D189" s="6" t="inlineStr">
        <is>
          <t>High income</t>
        </is>
      </c>
      <c r="E189" s="29" t="n">
        <v>14475</v>
      </c>
      <c r="F189" s="29" t="n">
        <v>14923</v>
      </c>
      <c r="G189" s="29" t="n">
        <v>14318</v>
      </c>
      <c r="H189" s="29" t="n">
        <v>12274</v>
      </c>
      <c r="I189" s="29" t="n">
        <v>11434</v>
      </c>
      <c r="J189" s="29" t="n">
        <v>11464</v>
      </c>
      <c r="K189" s="29" t="n">
        <v>11167</v>
      </c>
      <c r="L189" s="29" t="n">
        <v>9834</v>
      </c>
      <c r="M189" s="29" t="n">
        <v>9215</v>
      </c>
      <c r="N189" s="29" t="n">
        <v>8952</v>
      </c>
      <c r="O189" s="29" t="n">
        <v>9752</v>
      </c>
      <c r="P189" s="29" t="n">
        <v>9773</v>
      </c>
      <c r="Q189" s="29" t="n">
        <v>9291</v>
      </c>
      <c r="R189" s="29" t="n">
        <v>7686</v>
      </c>
      <c r="S189" s="29" t="n">
        <v>6047</v>
      </c>
      <c r="T189" s="29" t="n">
        <v>4276</v>
      </c>
      <c r="U189" s="29" t="n">
        <v>4122</v>
      </c>
      <c r="V189" s="29" t="n">
        <v>83466</v>
      </c>
      <c r="W189" s="29" t="n">
        <v>85537</v>
      </c>
      <c r="X189" s="30">
        <f>SUM(E189:G189)</f>
        <v/>
      </c>
      <c r="Y189" s="30">
        <f>SUM(H189:I189)</f>
        <v/>
      </c>
      <c r="Z189" s="30">
        <f>SUM(J189:K189)</f>
        <v/>
      </c>
      <c r="AA189" s="30">
        <f>SUM(L189:M189)</f>
        <v/>
      </c>
      <c r="AB189" s="30">
        <f>SUM(N189:O189)</f>
        <v/>
      </c>
      <c r="AC189" s="30">
        <f>SUM(P189:Q189)</f>
        <v/>
      </c>
      <c r="AD189" s="30">
        <f>SUM(R189:U189)</f>
        <v/>
      </c>
      <c r="AE189" s="31">
        <f>SUM(X189:AD189)</f>
        <v/>
      </c>
      <c r="AF189" s="32">
        <f>AE189/SUM($AE$5:$AE$222)</f>
        <v/>
      </c>
      <c r="AG189" s="10">
        <f>RANK(AE189,$AE$5:$AE$222)</f>
        <v/>
      </c>
      <c r="AH189" s="29" t="n">
        <v>167777</v>
      </c>
      <c r="AI189" s="9">
        <f>IF(AH189&gt;0,AE189/AH189-1,"")</f>
        <v/>
      </c>
      <c r="AJ189" s="35" t="n"/>
      <c r="AK189" s="19">
        <f>IF(SUM($E189:E189)&gt;=AE189/2,0+5*(AE189/2-0)/E189,IF(SUM($E189:F189)&gt;=AE189/2,5+5*(AE189/2-SUM($E189:E189))/F189,IF(SUM($E189:G189)&gt;=AE189/2,10+5*(AE189/2-SUM($E189:F189))/G189,IF(SUM($E189:H189)&gt;=AE189/2,15+5*(AE189/2-SUM($E189:G189))/H189,IF(SUM($E189:I189)&gt;=AE189/2,20+5*(AE189/2-SUM($E189:H189))/I189,IF(SUM($E189:J189)&gt;=AE189/2,25+5*(AE189/2-SUM($E189:I189))/J189,IF(SUM($E189:K189)&gt;=AE189/2,30+5*(AE189/2-SUM($E189:J189))/K189,IF(SUM($E189:L189)&gt;=AE189/2,35+5*(AE189/2-SUM($E189:K189))/L189,IF(SUM($E189:M189)&gt;=AE189/2,40+5*(AE189/2-SUM($E189:L189))/M189,IF(SUM($E189:N189)&gt;=AE189/2,45+5*(AE189/2-SUM($E189:M189))/N189,IF(SUM($E189:O189)&gt;=AE189/2,50+5*(AE189/2-SUM($E189:N189))/O189,IF(SUM($E189:P189)&gt;=AE189/2,55+5*(AE189/2-SUM($E189:O189))/P189,IF(SUM($E189:Q189)&gt;=AE189/2,60+5*(AE189/2-SUM($E189:P189))/Q189,IF(SUM($E189:R189)&gt;=AE189/2,65+5*(AE189/2-SUM($E189:Q189))/R189,IF(SUM($E189:S189)&gt;=AE189/2,70+5*(AE189/2-SUM($E189:R189))/S189,IF(SUM($E189:T189)&gt;=AE189/2,75+5*(AE189/2-SUM($E189:S189))/T189,""))))))))))))))))</f>
        <v/>
      </c>
      <c r="AL189" s="30">
        <f>SUM(H189:Q189)</f>
        <v/>
      </c>
      <c r="AM189" s="36" t="n"/>
      <c r="AN189" s="36" t="n"/>
      <c r="AO189" s="33">
        <f>IF(AND(ISNUMBER(AN189),ISNUMBER(AM189)),(AN189-AM189)*100,"")</f>
        <v/>
      </c>
      <c r="AP189" s="30">
        <f>IF(ISNUMBER(AN189),AN189*AL189,"")</f>
        <v/>
      </c>
      <c r="AQ189" s="30">
        <f>IF(ISNUMBER(AN189),AL189,0)</f>
        <v/>
      </c>
      <c r="BB189" s="30">
        <f>IF(BA189="Yes",AX189,0)</f>
        <v/>
      </c>
      <c r="BC189" s="30">
        <f>IF(AND(BA189="Yes",ISNUMBER(AP189)),AP189,0)</f>
        <v/>
      </c>
      <c r="BD189" s="30">
        <f>IF(BA189="Yes",AX189,IF(ISNUMBER(AP189),AP189,0))</f>
        <v/>
      </c>
    </row>
    <row r="190">
      <c r="A190" s="6" t="inlineStr">
        <is>
          <t>CHI</t>
        </is>
      </c>
      <c r="B190" s="6" t="inlineStr">
        <is>
          <t>Channel Islands</t>
        </is>
      </c>
      <c r="C190" s="6" t="inlineStr">
        <is>
          <t>Europe &amp; Central Asia</t>
        </is>
      </c>
      <c r="D190" s="6" t="inlineStr">
        <is>
          <t>High income</t>
        </is>
      </c>
      <c r="E190" s="29" t="n">
        <v>7005</v>
      </c>
      <c r="F190" s="29" t="n">
        <v>7770</v>
      </c>
      <c r="G190" s="29" t="n">
        <v>8868</v>
      </c>
      <c r="H190" s="29" t="n">
        <v>8877</v>
      </c>
      <c r="I190" s="29" t="n">
        <v>9131</v>
      </c>
      <c r="J190" s="29" t="n">
        <v>9856</v>
      </c>
      <c r="K190" s="29" t="n">
        <v>10323</v>
      </c>
      <c r="L190" s="29" t="n">
        <v>11054</v>
      </c>
      <c r="M190" s="29" t="n">
        <v>11686</v>
      </c>
      <c r="N190" s="29" t="n">
        <v>11420</v>
      </c>
      <c r="O190" s="29" t="n">
        <v>12168</v>
      </c>
      <c r="P190" s="29" t="n">
        <v>13362</v>
      </c>
      <c r="Q190" s="29" t="n">
        <v>12560</v>
      </c>
      <c r="R190" s="29" t="n">
        <v>10215</v>
      </c>
      <c r="S190" s="29" t="n">
        <v>8018</v>
      </c>
      <c r="T190" s="29" t="n">
        <v>7152</v>
      </c>
      <c r="U190" s="29" t="n">
        <v>9008</v>
      </c>
      <c r="V190" s="29" t="n">
        <v>85307</v>
      </c>
      <c r="W190" s="29" t="n">
        <v>83166</v>
      </c>
      <c r="X190" s="30">
        <f>SUM(E190:G190)</f>
        <v/>
      </c>
      <c r="Y190" s="30">
        <f>SUM(H190:I190)</f>
        <v/>
      </c>
      <c r="Z190" s="30">
        <f>SUM(J190:K190)</f>
        <v/>
      </c>
      <c r="AA190" s="30">
        <f>SUM(L190:M190)</f>
        <v/>
      </c>
      <c r="AB190" s="30">
        <f>SUM(N190:O190)</f>
        <v/>
      </c>
      <c r="AC190" s="30">
        <f>SUM(P190:Q190)</f>
        <v/>
      </c>
      <c r="AD190" s="30">
        <f>SUM(R190:U190)</f>
        <v/>
      </c>
      <c r="AE190" s="31">
        <f>SUM(X190:AD190)</f>
        <v/>
      </c>
      <c r="AF190" s="32">
        <f>AE190/SUM($AE$5:$AE$222)</f>
        <v/>
      </c>
      <c r="AG190" s="10">
        <f>RANK(AE190,$AE$5:$AE$222)</f>
        <v/>
      </c>
      <c r="AH190" s="29" t="n">
        <v>168126</v>
      </c>
      <c r="AI190" s="9">
        <f>IF(AH190&gt;0,AE190/AH190-1,"")</f>
        <v/>
      </c>
      <c r="AJ190" s="35" t="n"/>
      <c r="AK190" s="19">
        <f>IF(SUM($E190:E190)&gt;=AE190/2,0+5*(AE190/2-0)/E190,IF(SUM($E190:F190)&gt;=AE190/2,5+5*(AE190/2-SUM($E190:E190))/F190,IF(SUM($E190:G190)&gt;=AE190/2,10+5*(AE190/2-SUM($E190:F190))/G190,IF(SUM($E190:H190)&gt;=AE190/2,15+5*(AE190/2-SUM($E190:G190))/H190,IF(SUM($E190:I190)&gt;=AE190/2,20+5*(AE190/2-SUM($E190:H190))/I190,IF(SUM($E190:J190)&gt;=AE190/2,25+5*(AE190/2-SUM($E190:I190))/J190,IF(SUM($E190:K190)&gt;=AE190/2,30+5*(AE190/2-SUM($E190:J190))/K190,IF(SUM($E190:L190)&gt;=AE190/2,35+5*(AE190/2-SUM($E190:K190))/L190,IF(SUM($E190:M190)&gt;=AE190/2,40+5*(AE190/2-SUM($E190:L190))/M190,IF(SUM($E190:N190)&gt;=AE190/2,45+5*(AE190/2-SUM($E190:M190))/N190,IF(SUM($E190:O190)&gt;=AE190/2,50+5*(AE190/2-SUM($E190:N190))/O190,IF(SUM($E190:P190)&gt;=AE190/2,55+5*(AE190/2-SUM($E190:O190))/P190,IF(SUM($E190:Q190)&gt;=AE190/2,60+5*(AE190/2-SUM($E190:P190))/Q190,IF(SUM($E190:R190)&gt;=AE190/2,65+5*(AE190/2-SUM($E190:Q190))/R190,IF(SUM($E190:S190)&gt;=AE190/2,70+5*(AE190/2-SUM($E190:R190))/S190,IF(SUM($E190:T190)&gt;=AE190/2,75+5*(AE190/2-SUM($E190:S190))/T190,""))))))))))))))))</f>
        <v/>
      </c>
      <c r="AL190" s="30">
        <f>SUM(H190:Q190)</f>
        <v/>
      </c>
      <c r="AM190" s="36" t="n"/>
      <c r="AN190" s="36" t="n"/>
      <c r="AO190" s="33">
        <f>IF(AND(ISNUMBER(AN190),ISNUMBER(AM190)),(AN190-AM190)*100,"")</f>
        <v/>
      </c>
      <c r="AP190" s="30">
        <f>IF(ISNUMBER(AN190),AN190*AL190,"")</f>
        <v/>
      </c>
      <c r="AQ190" s="30">
        <f>IF(ISNUMBER(AN190),AL190,0)</f>
        <v/>
      </c>
      <c r="BB190" s="30">
        <f>IF(BA190="Yes",AX190,0)</f>
        <v/>
      </c>
      <c r="BC190" s="30">
        <f>IF(AND(BA190="Yes",ISNUMBER(AP190)),AP190,0)</f>
        <v/>
      </c>
      <c r="BD190" s="30">
        <f>IF(BA190="Yes",AX190,IF(ISNUMBER(AP190),AP190,0))</f>
        <v/>
      </c>
    </row>
    <row r="191">
      <c r="A191" s="6" t="inlineStr">
        <is>
          <t>CUW</t>
        </is>
      </c>
      <c r="B191" s="6" t="inlineStr">
        <is>
          <t>Curacao</t>
        </is>
      </c>
      <c r="C191" s="6" t="inlineStr">
        <is>
          <t>Latin America &amp; Caribbean</t>
        </is>
      </c>
      <c r="D191" s="6" t="inlineStr">
        <is>
          <t>High income</t>
        </is>
      </c>
      <c r="E191" s="29" t="n">
        <v>5897</v>
      </c>
      <c r="F191" s="29" t="n">
        <v>7435</v>
      </c>
      <c r="G191" s="29" t="n">
        <v>9488</v>
      </c>
      <c r="H191" s="29" t="n">
        <v>8837</v>
      </c>
      <c r="I191" s="29" t="n">
        <v>10282</v>
      </c>
      <c r="J191" s="29" t="n">
        <v>12756</v>
      </c>
      <c r="K191" s="29" t="n">
        <v>13469</v>
      </c>
      <c r="L191" s="29" t="n">
        <v>10493</v>
      </c>
      <c r="M191" s="29" t="n">
        <v>9721</v>
      </c>
      <c r="N191" s="29" t="n">
        <v>9258</v>
      </c>
      <c r="O191" s="29" t="n">
        <v>10114</v>
      </c>
      <c r="P191" s="29" t="n">
        <v>10531</v>
      </c>
      <c r="Q191" s="29" t="n">
        <v>10948</v>
      </c>
      <c r="R191" s="29" t="n">
        <v>9384</v>
      </c>
      <c r="S191" s="29" t="n">
        <v>7342</v>
      </c>
      <c r="T191" s="29" t="n">
        <v>5323</v>
      </c>
      <c r="U191" s="29" t="n">
        <v>4986</v>
      </c>
      <c r="V191" s="29" t="n">
        <v>81812</v>
      </c>
      <c r="W191" s="29" t="n">
        <v>74452</v>
      </c>
      <c r="X191" s="30">
        <f>SUM(E191:G191)</f>
        <v/>
      </c>
      <c r="Y191" s="30">
        <f>SUM(H191:I191)</f>
        <v/>
      </c>
      <c r="Z191" s="30">
        <f>SUM(J191:K191)</f>
        <v/>
      </c>
      <c r="AA191" s="30">
        <f>SUM(L191:M191)</f>
        <v/>
      </c>
      <c r="AB191" s="30">
        <f>SUM(N191:O191)</f>
        <v/>
      </c>
      <c r="AC191" s="30">
        <f>SUM(P191:Q191)</f>
        <v/>
      </c>
      <c r="AD191" s="30">
        <f>SUM(R191:U191)</f>
        <v/>
      </c>
      <c r="AE191" s="31">
        <f>SUM(X191:AD191)</f>
        <v/>
      </c>
      <c r="AF191" s="32">
        <f>AE191/SUM($AE$5:$AE$222)</f>
        <v/>
      </c>
      <c r="AG191" s="10">
        <f>RANK(AE191,$AE$5:$AE$222)</f>
        <v/>
      </c>
      <c r="AH191" s="29" t="n">
        <v>155967</v>
      </c>
      <c r="AI191" s="9">
        <f>IF(AH191&gt;0,AE191/AH191-1,"")</f>
        <v/>
      </c>
      <c r="AJ191" s="29" t="n">
        <v>22833</v>
      </c>
      <c r="AK191" s="19">
        <f>IF(SUM($E191:E191)&gt;=AE191/2,0+5*(AE191/2-0)/E191,IF(SUM($E191:F191)&gt;=AE191/2,5+5*(AE191/2-SUM($E191:E191))/F191,IF(SUM($E191:G191)&gt;=AE191/2,10+5*(AE191/2-SUM($E191:F191))/G191,IF(SUM($E191:H191)&gt;=AE191/2,15+5*(AE191/2-SUM($E191:G191))/H191,IF(SUM($E191:I191)&gt;=AE191/2,20+5*(AE191/2-SUM($E191:H191))/I191,IF(SUM($E191:J191)&gt;=AE191/2,25+5*(AE191/2-SUM($E191:I191))/J191,IF(SUM($E191:K191)&gt;=AE191/2,30+5*(AE191/2-SUM($E191:J191))/K191,IF(SUM($E191:L191)&gt;=AE191/2,35+5*(AE191/2-SUM($E191:K191))/L191,IF(SUM($E191:M191)&gt;=AE191/2,40+5*(AE191/2-SUM($E191:L191))/M191,IF(SUM($E191:N191)&gt;=AE191/2,45+5*(AE191/2-SUM($E191:M191))/N191,IF(SUM($E191:O191)&gt;=AE191/2,50+5*(AE191/2-SUM($E191:N191))/O191,IF(SUM($E191:P191)&gt;=AE191/2,55+5*(AE191/2-SUM($E191:O191))/P191,IF(SUM($E191:Q191)&gt;=AE191/2,60+5*(AE191/2-SUM($E191:P191))/Q191,IF(SUM($E191:R191)&gt;=AE191/2,65+5*(AE191/2-SUM($E191:Q191))/R191,IF(SUM($E191:S191)&gt;=AE191/2,70+5*(AE191/2-SUM($E191:R191))/S191,IF(SUM($E191:T191)&gt;=AE191/2,75+5*(AE191/2-SUM($E191:S191))/T191,""))))))))))))))))</f>
        <v/>
      </c>
      <c r="AL191" s="30">
        <f>SUM(H191:Q191)</f>
        <v/>
      </c>
      <c r="AM191" s="36" t="n"/>
      <c r="AN191" s="36" t="n"/>
      <c r="AO191" s="33">
        <f>IF(AND(ISNUMBER(AN191),ISNUMBER(AM191)),(AN191-AM191)*100,"")</f>
        <v/>
      </c>
      <c r="AP191" s="30">
        <f>IF(ISNUMBER(AN191),AN191*AL191,"")</f>
        <v/>
      </c>
      <c r="AQ191" s="30">
        <f>IF(ISNUMBER(AN191),AL191,0)</f>
        <v/>
      </c>
      <c r="BB191" s="30">
        <f>IF(BA191="Yes",AX191,0)</f>
        <v/>
      </c>
      <c r="BC191" s="30">
        <f>IF(AND(BA191="Yes",ISNUMBER(AP191)),AP191,0)</f>
        <v/>
      </c>
      <c r="BD191" s="30">
        <f>IF(BA191="Yes",AX191,IF(ISNUMBER(AP191),AP191,0))</f>
        <v/>
      </c>
    </row>
    <row r="192">
      <c r="A192" s="6" t="inlineStr">
        <is>
          <t>KIR</t>
        </is>
      </c>
      <c r="B192" s="6" t="inlineStr">
        <is>
          <t>Kiribati</t>
        </is>
      </c>
      <c r="C192" s="6" t="inlineStr">
        <is>
          <t>East Asia &amp; Pacific</t>
        </is>
      </c>
      <c r="D192" s="6" t="inlineStr">
        <is>
          <t>Lower middle income</t>
        </is>
      </c>
      <c r="E192" s="29" t="n">
        <v>16210</v>
      </c>
      <c r="F192" s="29" t="n">
        <v>15649</v>
      </c>
      <c r="G192" s="29" t="n">
        <v>15044</v>
      </c>
      <c r="H192" s="29" t="n">
        <v>12971</v>
      </c>
      <c r="I192" s="29" t="n">
        <v>10711</v>
      </c>
      <c r="J192" s="29" t="n">
        <v>11520</v>
      </c>
      <c r="K192" s="29" t="n">
        <v>10645</v>
      </c>
      <c r="L192" s="29" t="n">
        <v>9329</v>
      </c>
      <c r="M192" s="29" t="n">
        <v>8011</v>
      </c>
      <c r="N192" s="29" t="n">
        <v>6130</v>
      </c>
      <c r="O192" s="29" t="n">
        <v>5031</v>
      </c>
      <c r="P192" s="29" t="n">
        <v>5058</v>
      </c>
      <c r="Q192" s="29" t="n">
        <v>4206</v>
      </c>
      <c r="R192" s="29" t="n">
        <v>2640</v>
      </c>
      <c r="S192" s="29" t="n">
        <v>1618</v>
      </c>
      <c r="T192" s="29" t="n">
        <v>982</v>
      </c>
      <c r="U192" s="29" t="n">
        <v>731</v>
      </c>
      <c r="V192" s="29" t="n">
        <v>70184</v>
      </c>
      <c r="W192" s="29" t="n">
        <v>66302</v>
      </c>
      <c r="X192" s="30">
        <f>SUM(E192:G192)</f>
        <v/>
      </c>
      <c r="Y192" s="30">
        <f>SUM(H192:I192)</f>
        <v/>
      </c>
      <c r="Z192" s="30">
        <f>SUM(J192:K192)</f>
        <v/>
      </c>
      <c r="AA192" s="30">
        <f>SUM(L192:M192)</f>
        <v/>
      </c>
      <c r="AB192" s="30">
        <f>SUM(N192:O192)</f>
        <v/>
      </c>
      <c r="AC192" s="30">
        <f>SUM(P192:Q192)</f>
        <v/>
      </c>
      <c r="AD192" s="30">
        <f>SUM(R192:U192)</f>
        <v/>
      </c>
      <c r="AE192" s="31">
        <f>SUM(X192:AD192)</f>
        <v/>
      </c>
      <c r="AF192" s="32">
        <f>AE192/SUM($AE$5:$AE$222)</f>
        <v/>
      </c>
      <c r="AG192" s="10">
        <f>RANK(AE192,$AE$5:$AE$222)</f>
        <v/>
      </c>
      <c r="AH192" s="29" t="n">
        <v>134518</v>
      </c>
      <c r="AI192" s="9">
        <f>IF(AH192&gt;0,AE192/AH192-1,"")</f>
        <v/>
      </c>
      <c r="AJ192" s="29" t="n">
        <v>2559</v>
      </c>
      <c r="AK192" s="19">
        <f>IF(SUM($E192:E192)&gt;=AE192/2,0+5*(AE192/2-0)/E192,IF(SUM($E192:F192)&gt;=AE192/2,5+5*(AE192/2-SUM($E192:E192))/F192,IF(SUM($E192:G192)&gt;=AE192/2,10+5*(AE192/2-SUM($E192:F192))/G192,IF(SUM($E192:H192)&gt;=AE192/2,15+5*(AE192/2-SUM($E192:G192))/H192,IF(SUM($E192:I192)&gt;=AE192/2,20+5*(AE192/2-SUM($E192:H192))/I192,IF(SUM($E192:J192)&gt;=AE192/2,25+5*(AE192/2-SUM($E192:I192))/J192,IF(SUM($E192:K192)&gt;=AE192/2,30+5*(AE192/2-SUM($E192:J192))/K192,IF(SUM($E192:L192)&gt;=AE192/2,35+5*(AE192/2-SUM($E192:K192))/L192,IF(SUM($E192:M192)&gt;=AE192/2,40+5*(AE192/2-SUM($E192:L192))/M192,IF(SUM($E192:N192)&gt;=AE192/2,45+5*(AE192/2-SUM($E192:M192))/N192,IF(SUM($E192:O192)&gt;=AE192/2,50+5*(AE192/2-SUM($E192:N192))/O192,IF(SUM($E192:P192)&gt;=AE192/2,55+5*(AE192/2-SUM($E192:O192))/P192,IF(SUM($E192:Q192)&gt;=AE192/2,60+5*(AE192/2-SUM($E192:P192))/Q192,IF(SUM($E192:R192)&gt;=AE192/2,65+5*(AE192/2-SUM($E192:Q192))/R192,IF(SUM($E192:S192)&gt;=AE192/2,70+5*(AE192/2-SUM($E192:R192))/S192,IF(SUM($E192:T192)&gt;=AE192/2,75+5*(AE192/2-SUM($E192:S192))/T192,""))))))))))))))))</f>
        <v/>
      </c>
      <c r="AL192" s="30">
        <f>SUM(H192:Q192)</f>
        <v/>
      </c>
      <c r="AM192" s="36" t="n"/>
      <c r="AN192" s="36" t="n"/>
      <c r="AO192" s="33">
        <f>IF(AND(ISNUMBER(AN192),ISNUMBER(AM192)),(AN192-AM192)*100,"")</f>
        <v/>
      </c>
      <c r="AP192" s="30">
        <f>IF(ISNUMBER(AN192),AN192*AL192,"")</f>
        <v/>
      </c>
      <c r="AQ192" s="30">
        <f>IF(ISNUMBER(AN192),AL192,0)</f>
        <v/>
      </c>
      <c r="BB192" s="30">
        <f>IF(BA192="Yes",AX192,0)</f>
        <v/>
      </c>
      <c r="BC192" s="30">
        <f>IF(AND(BA192="Yes",ISNUMBER(AP192)),AP192,0)</f>
        <v/>
      </c>
      <c r="BD192" s="30">
        <f>IF(BA192="Yes",AX192,IF(ISNUMBER(AP192),AP192,0))</f>
        <v/>
      </c>
    </row>
    <row r="193">
      <c r="A193" s="6" t="inlineStr">
        <is>
          <t>SYC</t>
        </is>
      </c>
      <c r="B193" s="6" t="inlineStr">
        <is>
          <t>Seychelles</t>
        </is>
      </c>
      <c r="C193" s="6" t="inlineStr">
        <is>
          <t>Sub-Saharan Africa</t>
        </is>
      </c>
      <c r="D193" s="6" t="inlineStr">
        <is>
          <t>High income</t>
        </is>
      </c>
      <c r="E193" s="29" t="n">
        <v>8265</v>
      </c>
      <c r="F193" s="29" t="n">
        <v>8121</v>
      </c>
      <c r="G193" s="29" t="n">
        <v>7873</v>
      </c>
      <c r="H193" s="29" t="n">
        <v>7606</v>
      </c>
      <c r="I193" s="29" t="n">
        <v>7891</v>
      </c>
      <c r="J193" s="29" t="n">
        <v>9682</v>
      </c>
      <c r="K193" s="29" t="n">
        <v>11311</v>
      </c>
      <c r="L193" s="29" t="n">
        <v>11276</v>
      </c>
      <c r="M193" s="29" t="n">
        <v>10297</v>
      </c>
      <c r="N193" s="29" t="n">
        <v>9092</v>
      </c>
      <c r="O193" s="29" t="n">
        <v>7892</v>
      </c>
      <c r="P193" s="29" t="n">
        <v>6864</v>
      </c>
      <c r="Q193" s="29" t="n">
        <v>5828</v>
      </c>
      <c r="R193" s="29" t="n">
        <v>4554</v>
      </c>
      <c r="S193" s="29" t="n">
        <v>2680</v>
      </c>
      <c r="T193" s="29" t="n">
        <v>1696</v>
      </c>
      <c r="U193" s="29" t="n">
        <v>1804</v>
      </c>
      <c r="V193" s="29" t="n">
        <v>55161</v>
      </c>
      <c r="W193" s="29" t="n">
        <v>67571</v>
      </c>
      <c r="X193" s="30">
        <f>SUM(E193:G193)</f>
        <v/>
      </c>
      <c r="Y193" s="30">
        <f>SUM(H193:I193)</f>
        <v/>
      </c>
      <c r="Z193" s="30">
        <f>SUM(J193:K193)</f>
        <v/>
      </c>
      <c r="AA193" s="30">
        <f>SUM(L193:M193)</f>
        <v/>
      </c>
      <c r="AB193" s="30">
        <f>SUM(N193:O193)</f>
        <v/>
      </c>
      <c r="AC193" s="30">
        <f>SUM(P193:Q193)</f>
        <v/>
      </c>
      <c r="AD193" s="30">
        <f>SUM(R193:U193)</f>
        <v/>
      </c>
      <c r="AE193" s="31">
        <f>SUM(X193:AD193)</f>
        <v/>
      </c>
      <c r="AF193" s="32">
        <f>AE193/SUM($AE$5:$AE$222)</f>
        <v/>
      </c>
      <c r="AG193" s="10">
        <f>RANK(AE193,$AE$5:$AE$222)</f>
        <v/>
      </c>
      <c r="AH193" s="29" t="n">
        <v>121354</v>
      </c>
      <c r="AI193" s="9">
        <f>IF(AH193&gt;0,AE193/AH193-1,"")</f>
        <v/>
      </c>
      <c r="AJ193" s="29" t="n">
        <v>19449</v>
      </c>
      <c r="AK193" s="19">
        <f>IF(SUM($E193:E193)&gt;=AE193/2,0+5*(AE193/2-0)/E193,IF(SUM($E193:F193)&gt;=AE193/2,5+5*(AE193/2-SUM($E193:E193))/F193,IF(SUM($E193:G193)&gt;=AE193/2,10+5*(AE193/2-SUM($E193:F193))/G193,IF(SUM($E193:H193)&gt;=AE193/2,15+5*(AE193/2-SUM($E193:G193))/H193,IF(SUM($E193:I193)&gt;=AE193/2,20+5*(AE193/2-SUM($E193:H193))/I193,IF(SUM($E193:J193)&gt;=AE193/2,25+5*(AE193/2-SUM($E193:I193))/J193,IF(SUM($E193:K193)&gt;=AE193/2,30+5*(AE193/2-SUM($E193:J193))/K193,IF(SUM($E193:L193)&gt;=AE193/2,35+5*(AE193/2-SUM($E193:K193))/L193,IF(SUM($E193:M193)&gt;=AE193/2,40+5*(AE193/2-SUM($E193:L193))/M193,IF(SUM($E193:N193)&gt;=AE193/2,45+5*(AE193/2-SUM($E193:M193))/N193,IF(SUM($E193:O193)&gt;=AE193/2,50+5*(AE193/2-SUM($E193:N193))/O193,IF(SUM($E193:P193)&gt;=AE193/2,55+5*(AE193/2-SUM($E193:O193))/P193,IF(SUM($E193:Q193)&gt;=AE193/2,60+5*(AE193/2-SUM($E193:P193))/Q193,IF(SUM($E193:R193)&gt;=AE193/2,65+5*(AE193/2-SUM($E193:Q193))/R193,IF(SUM($E193:S193)&gt;=AE193/2,70+5*(AE193/2-SUM($E193:R193))/S193,IF(SUM($E193:T193)&gt;=AE193/2,75+5*(AE193/2-SUM($E193:S193))/T193,""))))))))))))))))</f>
        <v/>
      </c>
      <c r="AL193" s="30">
        <f>SUM(H193:Q193)</f>
        <v/>
      </c>
      <c r="AM193" s="36" t="n"/>
      <c r="AN193" s="36" t="n"/>
      <c r="AO193" s="33">
        <f>IF(AND(ISNUMBER(AN193),ISNUMBER(AM193)),(AN193-AM193)*100,"")</f>
        <v/>
      </c>
      <c r="AP193" s="30">
        <f>IF(ISNUMBER(AN193),AN193*AL193,"")</f>
        <v/>
      </c>
      <c r="AQ193" s="30">
        <f>IF(ISNUMBER(AN193),AL193,0)</f>
        <v/>
      </c>
      <c r="BB193" s="30">
        <f>IF(BA193="Yes",AX193,0)</f>
        <v/>
      </c>
      <c r="BC193" s="30">
        <f>IF(AND(BA193="Yes",ISNUMBER(AP193)),AP193,0)</f>
        <v/>
      </c>
      <c r="BD193" s="30">
        <f>IF(BA193="Yes",AX193,IF(ISNUMBER(AP193),AP193,0))</f>
        <v/>
      </c>
    </row>
    <row r="194">
      <c r="A194" s="6" t="inlineStr">
        <is>
          <t>GRD</t>
        </is>
      </c>
      <c r="B194" s="6" t="inlineStr">
        <is>
          <t>Grenada</t>
        </is>
      </c>
      <c r="C194" s="6" t="inlineStr">
        <is>
          <t>Latin America &amp; Caribbean</t>
        </is>
      </c>
      <c r="D194" s="6" t="inlineStr">
        <is>
          <t>Upper middle income</t>
        </is>
      </c>
      <c r="E194" s="29" t="n">
        <v>6770</v>
      </c>
      <c r="F194" s="29" t="n">
        <v>7069</v>
      </c>
      <c r="G194" s="29" t="n">
        <v>8461</v>
      </c>
      <c r="H194" s="29" t="n">
        <v>8640</v>
      </c>
      <c r="I194" s="29" t="n">
        <v>8154</v>
      </c>
      <c r="J194" s="29" t="n">
        <v>9005</v>
      </c>
      <c r="K194" s="29" t="n">
        <v>9729</v>
      </c>
      <c r="L194" s="29" t="n">
        <v>10805</v>
      </c>
      <c r="M194" s="29" t="n">
        <v>9022</v>
      </c>
      <c r="N194" s="29" t="n">
        <v>6473</v>
      </c>
      <c r="O194" s="29" t="n">
        <v>6091</v>
      </c>
      <c r="P194" s="29" t="n">
        <v>5975</v>
      </c>
      <c r="Q194" s="29" t="n">
        <v>6297</v>
      </c>
      <c r="R194" s="29" t="n">
        <v>5299</v>
      </c>
      <c r="S194" s="29" t="n">
        <v>3611</v>
      </c>
      <c r="T194" s="29" t="n">
        <v>2423</v>
      </c>
      <c r="U194" s="29" t="n">
        <v>3477</v>
      </c>
      <c r="V194" s="29" t="n">
        <v>58538</v>
      </c>
      <c r="W194" s="29" t="n">
        <v>58763</v>
      </c>
      <c r="X194" s="30">
        <f>SUM(E194:G194)</f>
        <v/>
      </c>
      <c r="Y194" s="30">
        <f>SUM(H194:I194)</f>
        <v/>
      </c>
      <c r="Z194" s="30">
        <f>SUM(J194:K194)</f>
        <v/>
      </c>
      <c r="AA194" s="30">
        <f>SUM(L194:M194)</f>
        <v/>
      </c>
      <c r="AB194" s="30">
        <f>SUM(N194:O194)</f>
        <v/>
      </c>
      <c r="AC194" s="30">
        <f>SUM(P194:Q194)</f>
        <v/>
      </c>
      <c r="AD194" s="30">
        <f>SUM(R194:U194)</f>
        <v/>
      </c>
      <c r="AE194" s="31">
        <f>SUM(X194:AD194)</f>
        <v/>
      </c>
      <c r="AF194" s="32">
        <f>AE194/SUM($AE$5:$AE$222)</f>
        <v/>
      </c>
      <c r="AG194" s="10">
        <f>RANK(AE194,$AE$5:$AE$222)</f>
        <v/>
      </c>
      <c r="AH194" s="29" t="n">
        <v>117207</v>
      </c>
      <c r="AI194" s="9">
        <f>IF(AH194&gt;0,AE194/AH194-1,"")</f>
        <v/>
      </c>
      <c r="AJ194" s="29" t="n">
        <v>12107</v>
      </c>
      <c r="AK194" s="19">
        <f>IF(SUM($E194:E194)&gt;=AE194/2,0+5*(AE194/2-0)/E194,IF(SUM($E194:F194)&gt;=AE194/2,5+5*(AE194/2-SUM($E194:E194))/F194,IF(SUM($E194:G194)&gt;=AE194/2,10+5*(AE194/2-SUM($E194:F194))/G194,IF(SUM($E194:H194)&gt;=AE194/2,15+5*(AE194/2-SUM($E194:G194))/H194,IF(SUM($E194:I194)&gt;=AE194/2,20+5*(AE194/2-SUM($E194:H194))/I194,IF(SUM($E194:J194)&gt;=AE194/2,25+5*(AE194/2-SUM($E194:I194))/J194,IF(SUM($E194:K194)&gt;=AE194/2,30+5*(AE194/2-SUM($E194:J194))/K194,IF(SUM($E194:L194)&gt;=AE194/2,35+5*(AE194/2-SUM($E194:K194))/L194,IF(SUM($E194:M194)&gt;=AE194/2,40+5*(AE194/2-SUM($E194:L194))/M194,IF(SUM($E194:N194)&gt;=AE194/2,45+5*(AE194/2-SUM($E194:M194))/N194,IF(SUM($E194:O194)&gt;=AE194/2,50+5*(AE194/2-SUM($E194:N194))/O194,IF(SUM($E194:P194)&gt;=AE194/2,55+5*(AE194/2-SUM($E194:O194))/P194,IF(SUM($E194:Q194)&gt;=AE194/2,60+5*(AE194/2-SUM($E194:P194))/Q194,IF(SUM($E194:R194)&gt;=AE194/2,65+5*(AE194/2-SUM($E194:Q194))/R194,IF(SUM($E194:S194)&gt;=AE194/2,70+5*(AE194/2-SUM($E194:R194))/S194,IF(SUM($E194:T194)&gt;=AE194/2,75+5*(AE194/2-SUM($E194:S194))/T194,""))))))))))))))))</f>
        <v/>
      </c>
      <c r="AL194" s="30">
        <f>SUM(H194:Q194)</f>
        <v/>
      </c>
      <c r="AM194" s="36" t="n"/>
      <c r="AN194" s="36" t="n"/>
      <c r="AO194" s="33">
        <f>IF(AND(ISNUMBER(AN194),ISNUMBER(AM194)),(AN194-AM194)*100,"")</f>
        <v/>
      </c>
      <c r="AP194" s="30">
        <f>IF(ISNUMBER(AN194),AN194*AL194,"")</f>
        <v/>
      </c>
      <c r="AQ194" s="30">
        <f>IF(ISNUMBER(AN194),AL194,0)</f>
        <v/>
      </c>
      <c r="BB194" s="30">
        <f>IF(BA194="Yes",AX194,0)</f>
        <v/>
      </c>
      <c r="BC194" s="30">
        <f>IF(AND(BA194="Yes",ISNUMBER(AP194)),AP194,0)</f>
        <v/>
      </c>
      <c r="BD194" s="30">
        <f>IF(BA194="Yes",AX194,IF(ISNUMBER(AP194),AP194,0))</f>
        <v/>
      </c>
    </row>
    <row r="195">
      <c r="A195" s="6" t="inlineStr">
        <is>
          <t>FSM</t>
        </is>
      </c>
      <c r="B195" s="6" t="inlineStr">
        <is>
          <t>Micronesia, Fed. Sts.</t>
        </is>
      </c>
      <c r="C195" s="6" t="inlineStr">
        <is>
          <t>East Asia &amp; Pacific</t>
        </is>
      </c>
      <c r="D195" s="6" t="inlineStr">
        <is>
          <t>Upper middle income</t>
        </is>
      </c>
      <c r="E195" s="29" t="n">
        <v>12062</v>
      </c>
      <c r="F195" s="29" t="n">
        <v>11809</v>
      </c>
      <c r="G195" s="29" t="n">
        <v>11932</v>
      </c>
      <c r="H195" s="29" t="n">
        <v>11698</v>
      </c>
      <c r="I195" s="29" t="n">
        <v>10800</v>
      </c>
      <c r="J195" s="29" t="n">
        <v>10245</v>
      </c>
      <c r="K195" s="29" t="n">
        <v>8761</v>
      </c>
      <c r="L195" s="29" t="n">
        <v>6471</v>
      </c>
      <c r="M195" s="29" t="n">
        <v>5453</v>
      </c>
      <c r="N195" s="29" t="n">
        <v>4828</v>
      </c>
      <c r="O195" s="29" t="n">
        <v>4524</v>
      </c>
      <c r="P195" s="29" t="n">
        <v>4259</v>
      </c>
      <c r="Q195" s="29" t="n">
        <v>3811</v>
      </c>
      <c r="R195" s="29" t="n">
        <v>3164</v>
      </c>
      <c r="S195" s="29" t="n">
        <v>2129</v>
      </c>
      <c r="T195" s="29" t="n">
        <v>1083</v>
      </c>
      <c r="U195" s="29" t="n">
        <v>654</v>
      </c>
      <c r="V195" s="29" t="n">
        <v>57223</v>
      </c>
      <c r="W195" s="29" t="n">
        <v>56460</v>
      </c>
      <c r="X195" s="30">
        <f>SUM(E195:G195)</f>
        <v/>
      </c>
      <c r="Y195" s="30">
        <f>SUM(H195:I195)</f>
        <v/>
      </c>
      <c r="Z195" s="30">
        <f>SUM(J195:K195)</f>
        <v/>
      </c>
      <c r="AA195" s="30">
        <f>SUM(L195:M195)</f>
        <v/>
      </c>
      <c r="AB195" s="30">
        <f>SUM(N195:O195)</f>
        <v/>
      </c>
      <c r="AC195" s="30">
        <f>SUM(P195:Q195)</f>
        <v/>
      </c>
      <c r="AD195" s="30">
        <f>SUM(R195:U195)</f>
        <v/>
      </c>
      <c r="AE195" s="31">
        <f>SUM(X195:AD195)</f>
        <v/>
      </c>
      <c r="AF195" s="32">
        <f>AE195/SUM($AE$5:$AE$222)</f>
        <v/>
      </c>
      <c r="AG195" s="10">
        <f>RANK(AE195,$AE$5:$AE$222)</f>
        <v/>
      </c>
      <c r="AH195" s="29" t="n">
        <v>113160</v>
      </c>
      <c r="AI195" s="9">
        <f>IF(AH195&gt;0,AE195/AH195-1,"")</f>
        <v/>
      </c>
      <c r="AJ195" s="29" t="n">
        <v>4414</v>
      </c>
      <c r="AK195" s="19">
        <f>IF(SUM($E195:E195)&gt;=AE195/2,0+5*(AE195/2-0)/E195,IF(SUM($E195:F195)&gt;=AE195/2,5+5*(AE195/2-SUM($E195:E195))/F195,IF(SUM($E195:G195)&gt;=AE195/2,10+5*(AE195/2-SUM($E195:F195))/G195,IF(SUM($E195:H195)&gt;=AE195/2,15+5*(AE195/2-SUM($E195:G195))/H195,IF(SUM($E195:I195)&gt;=AE195/2,20+5*(AE195/2-SUM($E195:H195))/I195,IF(SUM($E195:J195)&gt;=AE195/2,25+5*(AE195/2-SUM($E195:I195))/J195,IF(SUM($E195:K195)&gt;=AE195/2,30+5*(AE195/2-SUM($E195:J195))/K195,IF(SUM($E195:L195)&gt;=AE195/2,35+5*(AE195/2-SUM($E195:K195))/L195,IF(SUM($E195:M195)&gt;=AE195/2,40+5*(AE195/2-SUM($E195:L195))/M195,IF(SUM($E195:N195)&gt;=AE195/2,45+5*(AE195/2-SUM($E195:M195))/N195,IF(SUM($E195:O195)&gt;=AE195/2,50+5*(AE195/2-SUM($E195:N195))/O195,IF(SUM($E195:P195)&gt;=AE195/2,55+5*(AE195/2-SUM($E195:O195))/P195,IF(SUM($E195:Q195)&gt;=AE195/2,60+5*(AE195/2-SUM($E195:P195))/Q195,IF(SUM($E195:R195)&gt;=AE195/2,65+5*(AE195/2-SUM($E195:Q195))/R195,IF(SUM($E195:S195)&gt;=AE195/2,70+5*(AE195/2-SUM($E195:R195))/S195,IF(SUM($E195:T195)&gt;=AE195/2,75+5*(AE195/2-SUM($E195:S195))/T195,""))))))))))))))))</f>
        <v/>
      </c>
      <c r="AL195" s="30">
        <f>SUM(H195:Q195)</f>
        <v/>
      </c>
      <c r="AM195" s="36" t="n"/>
      <c r="AN195" s="36" t="n"/>
      <c r="AO195" s="33">
        <f>IF(AND(ISNUMBER(AN195),ISNUMBER(AM195)),(AN195-AM195)*100,"")</f>
        <v/>
      </c>
      <c r="AP195" s="30">
        <f>IF(ISNUMBER(AN195),AN195*AL195,"")</f>
        <v/>
      </c>
      <c r="AQ195" s="30">
        <f>IF(ISNUMBER(AN195),AL195,0)</f>
        <v/>
      </c>
      <c r="BB195" s="30">
        <f>IF(BA195="Yes",AX195,0)</f>
        <v/>
      </c>
      <c r="BC195" s="30">
        <f>IF(AND(BA195="Yes",ISNUMBER(AP195)),AP195,0)</f>
        <v/>
      </c>
      <c r="BD195" s="30">
        <f>IF(BA195="Yes",AX195,IF(ISNUMBER(AP195),AP195,0))</f>
        <v/>
      </c>
    </row>
    <row r="196">
      <c r="A196" s="6" t="inlineStr">
        <is>
          <t>ABW</t>
        </is>
      </c>
      <c r="B196" s="6" t="inlineStr">
        <is>
          <t>Aruba</t>
        </is>
      </c>
      <c r="C196" s="6" t="inlineStr">
        <is>
          <t>Latin America &amp; Caribbean</t>
        </is>
      </c>
      <c r="D196" s="6" t="inlineStr">
        <is>
          <t>High income</t>
        </is>
      </c>
      <c r="E196" s="29" t="n">
        <v>5169</v>
      </c>
      <c r="F196" s="29" t="n">
        <v>5915</v>
      </c>
      <c r="G196" s="29" t="n">
        <v>6887</v>
      </c>
      <c r="H196" s="29" t="n">
        <v>6987</v>
      </c>
      <c r="I196" s="29" t="n">
        <v>6969</v>
      </c>
      <c r="J196" s="29" t="n">
        <v>5833</v>
      </c>
      <c r="K196" s="29" t="n">
        <v>6432</v>
      </c>
      <c r="L196" s="29" t="n">
        <v>6792</v>
      </c>
      <c r="M196" s="29" t="n">
        <v>6859</v>
      </c>
      <c r="N196" s="29" t="n">
        <v>7216</v>
      </c>
      <c r="O196" s="29" t="n">
        <v>7632</v>
      </c>
      <c r="P196" s="29" t="n">
        <v>8294</v>
      </c>
      <c r="Q196" s="29" t="n">
        <v>8478</v>
      </c>
      <c r="R196" s="29" t="n">
        <v>7375</v>
      </c>
      <c r="S196" s="29" t="n">
        <v>5688</v>
      </c>
      <c r="T196" s="29" t="n">
        <v>3596</v>
      </c>
      <c r="U196" s="29" t="n">
        <v>2663</v>
      </c>
      <c r="V196" s="29" t="n">
        <v>57403</v>
      </c>
      <c r="W196" s="29" t="n">
        <v>51382</v>
      </c>
      <c r="X196" s="30">
        <f>SUM(E196:G196)</f>
        <v/>
      </c>
      <c r="Y196" s="30">
        <f>SUM(H196:I196)</f>
        <v/>
      </c>
      <c r="Z196" s="30">
        <f>SUM(J196:K196)</f>
        <v/>
      </c>
      <c r="AA196" s="30">
        <f>SUM(L196:M196)</f>
        <v/>
      </c>
      <c r="AB196" s="30">
        <f>SUM(N196:O196)</f>
        <v/>
      </c>
      <c r="AC196" s="30">
        <f>SUM(P196:Q196)</f>
        <v/>
      </c>
      <c r="AD196" s="30">
        <f>SUM(R196:U196)</f>
        <v/>
      </c>
      <c r="AE196" s="31">
        <f>SUM(X196:AD196)</f>
        <v/>
      </c>
      <c r="AF196" s="32">
        <f>AE196/SUM($AE$5:$AE$222)</f>
        <v/>
      </c>
      <c r="AG196" s="10">
        <f>RANK(AE196,$AE$5:$AE$222)</f>
        <v/>
      </c>
      <c r="AH196" s="29" t="n">
        <v>107995</v>
      </c>
      <c r="AI196" s="9">
        <f>IF(AH196&gt;0,AE196/AH196-1,"")</f>
        <v/>
      </c>
      <c r="AJ196" s="29" t="n">
        <v>38591</v>
      </c>
      <c r="AK196" s="19">
        <f>IF(SUM($E196:E196)&gt;=AE196/2,0+5*(AE196/2-0)/E196,IF(SUM($E196:F196)&gt;=AE196/2,5+5*(AE196/2-SUM($E196:E196))/F196,IF(SUM($E196:G196)&gt;=AE196/2,10+5*(AE196/2-SUM($E196:F196))/G196,IF(SUM($E196:H196)&gt;=AE196/2,15+5*(AE196/2-SUM($E196:G196))/H196,IF(SUM($E196:I196)&gt;=AE196/2,20+5*(AE196/2-SUM($E196:H196))/I196,IF(SUM($E196:J196)&gt;=AE196/2,25+5*(AE196/2-SUM($E196:I196))/J196,IF(SUM($E196:K196)&gt;=AE196/2,30+5*(AE196/2-SUM($E196:J196))/K196,IF(SUM($E196:L196)&gt;=AE196/2,35+5*(AE196/2-SUM($E196:K196))/L196,IF(SUM($E196:M196)&gt;=AE196/2,40+5*(AE196/2-SUM($E196:L196))/M196,IF(SUM($E196:N196)&gt;=AE196/2,45+5*(AE196/2-SUM($E196:M196))/N196,IF(SUM($E196:O196)&gt;=AE196/2,50+5*(AE196/2-SUM($E196:N196))/O196,IF(SUM($E196:P196)&gt;=AE196/2,55+5*(AE196/2-SUM($E196:O196))/P196,IF(SUM($E196:Q196)&gt;=AE196/2,60+5*(AE196/2-SUM($E196:P196))/Q196,IF(SUM($E196:R196)&gt;=AE196/2,65+5*(AE196/2-SUM($E196:Q196))/R196,IF(SUM($E196:S196)&gt;=AE196/2,70+5*(AE196/2-SUM($E196:R196))/S196,IF(SUM($E196:T196)&gt;=AE196/2,75+5*(AE196/2-SUM($E196:S196))/T196,""))))))))))))))))</f>
        <v/>
      </c>
      <c r="AL196" s="30">
        <f>SUM(H196:Q196)</f>
        <v/>
      </c>
      <c r="AM196" s="36" t="n"/>
      <c r="AN196" s="36" t="n"/>
      <c r="AO196" s="33">
        <f>IF(AND(ISNUMBER(AN196),ISNUMBER(AM196)),(AN196-AM196)*100,"")</f>
        <v/>
      </c>
      <c r="AP196" s="30">
        <f>IF(ISNUMBER(AN196),AN196*AL196,"")</f>
        <v/>
      </c>
      <c r="AQ196" s="30">
        <f>IF(ISNUMBER(AN196),AL196,0)</f>
        <v/>
      </c>
      <c r="BB196" s="30">
        <f>IF(BA196="Yes",AX196,0)</f>
        <v/>
      </c>
      <c r="BC196" s="30">
        <f>IF(AND(BA196="Yes",ISNUMBER(AP196)),AP196,0)</f>
        <v/>
      </c>
      <c r="BD196" s="30">
        <f>IF(BA196="Yes",AX196,IF(ISNUMBER(AP196),AP196,0))</f>
        <v/>
      </c>
    </row>
    <row r="197">
      <c r="A197" s="6" t="inlineStr">
        <is>
          <t>VIR</t>
        </is>
      </c>
      <c r="B197" s="6" t="inlineStr">
        <is>
          <t>Virgin Islands (U.S.)</t>
        </is>
      </c>
      <c r="C197" s="6" t="inlineStr">
        <is>
          <t>Latin America &amp; Caribbean</t>
        </is>
      </c>
      <c r="D197" s="6" t="inlineStr">
        <is>
          <t>High income</t>
        </is>
      </c>
      <c r="E197" s="29" t="n">
        <v>5821</v>
      </c>
      <c r="F197" s="29" t="n">
        <v>5543</v>
      </c>
      <c r="G197" s="29" t="n">
        <v>5718</v>
      </c>
      <c r="H197" s="29" t="n">
        <v>6212</v>
      </c>
      <c r="I197" s="29" t="n">
        <v>5755</v>
      </c>
      <c r="J197" s="29" t="n">
        <v>4854</v>
      </c>
      <c r="K197" s="29" t="n">
        <v>5363</v>
      </c>
      <c r="L197" s="29" t="n">
        <v>5560</v>
      </c>
      <c r="M197" s="29" t="n">
        <v>6051</v>
      </c>
      <c r="N197" s="29" t="n">
        <v>6194</v>
      </c>
      <c r="O197" s="29" t="n">
        <v>6796</v>
      </c>
      <c r="P197" s="29" t="n">
        <v>7810</v>
      </c>
      <c r="Q197" s="29" t="n">
        <v>8114</v>
      </c>
      <c r="R197" s="29" t="n">
        <v>7458</v>
      </c>
      <c r="S197" s="29" t="n">
        <v>6180</v>
      </c>
      <c r="T197" s="29" t="n">
        <v>5096</v>
      </c>
      <c r="U197" s="29" t="n">
        <v>5268</v>
      </c>
      <c r="V197" s="29" t="n">
        <v>54559</v>
      </c>
      <c r="W197" s="29" t="n">
        <v>49234</v>
      </c>
      <c r="X197" s="30">
        <f>SUM(E197:G197)</f>
        <v/>
      </c>
      <c r="Y197" s="30">
        <f>SUM(H197:I197)</f>
        <v/>
      </c>
      <c r="Z197" s="30">
        <f>SUM(J197:K197)</f>
        <v/>
      </c>
      <c r="AA197" s="30">
        <f>SUM(L197:M197)</f>
        <v/>
      </c>
      <c r="AB197" s="30">
        <f>SUM(N197:O197)</f>
        <v/>
      </c>
      <c r="AC197" s="30">
        <f>SUM(P197:Q197)</f>
        <v/>
      </c>
      <c r="AD197" s="30">
        <f>SUM(R197:U197)</f>
        <v/>
      </c>
      <c r="AE197" s="31">
        <f>SUM(X197:AD197)</f>
        <v/>
      </c>
      <c r="AF197" s="32">
        <f>AE197/SUM($AE$5:$AE$222)</f>
        <v/>
      </c>
      <c r="AG197" s="10">
        <f>RANK(AE197,$AE$5:$AE$222)</f>
        <v/>
      </c>
      <c r="AH197" s="29" t="n">
        <v>104377</v>
      </c>
      <c r="AI197" s="9">
        <f>IF(AH197&gt;0,AE197/AH197-1,"")</f>
        <v/>
      </c>
      <c r="AJ197" s="35" t="n"/>
      <c r="AK197" s="19">
        <f>IF(SUM($E197:E197)&gt;=AE197/2,0+5*(AE197/2-0)/E197,IF(SUM($E197:F197)&gt;=AE197/2,5+5*(AE197/2-SUM($E197:E197))/F197,IF(SUM($E197:G197)&gt;=AE197/2,10+5*(AE197/2-SUM($E197:F197))/G197,IF(SUM($E197:H197)&gt;=AE197/2,15+5*(AE197/2-SUM($E197:G197))/H197,IF(SUM($E197:I197)&gt;=AE197/2,20+5*(AE197/2-SUM($E197:H197))/I197,IF(SUM($E197:J197)&gt;=AE197/2,25+5*(AE197/2-SUM($E197:I197))/J197,IF(SUM($E197:K197)&gt;=AE197/2,30+5*(AE197/2-SUM($E197:J197))/K197,IF(SUM($E197:L197)&gt;=AE197/2,35+5*(AE197/2-SUM($E197:K197))/L197,IF(SUM($E197:M197)&gt;=AE197/2,40+5*(AE197/2-SUM($E197:L197))/M197,IF(SUM($E197:N197)&gt;=AE197/2,45+5*(AE197/2-SUM($E197:M197))/N197,IF(SUM($E197:O197)&gt;=AE197/2,50+5*(AE197/2-SUM($E197:N197))/O197,IF(SUM($E197:P197)&gt;=AE197/2,55+5*(AE197/2-SUM($E197:O197))/P197,IF(SUM($E197:Q197)&gt;=AE197/2,60+5*(AE197/2-SUM($E197:P197))/Q197,IF(SUM($E197:R197)&gt;=AE197/2,65+5*(AE197/2-SUM($E197:Q197))/R197,IF(SUM($E197:S197)&gt;=AE197/2,70+5*(AE197/2-SUM($E197:R197))/S197,IF(SUM($E197:T197)&gt;=AE197/2,75+5*(AE197/2-SUM($E197:S197))/T197,""))))))))))))))))</f>
        <v/>
      </c>
      <c r="AL197" s="30">
        <f>SUM(H197:Q197)</f>
        <v/>
      </c>
      <c r="AM197" s="36" t="n"/>
      <c r="AN197" s="36" t="n"/>
      <c r="AO197" s="33">
        <f>IF(AND(ISNUMBER(AN197),ISNUMBER(AM197)),(AN197-AM197)*100,"")</f>
        <v/>
      </c>
      <c r="AP197" s="30">
        <f>IF(ISNUMBER(AN197),AN197*AL197,"")</f>
        <v/>
      </c>
      <c r="AQ197" s="30">
        <f>IF(ISNUMBER(AN197),AL197,0)</f>
        <v/>
      </c>
      <c r="BB197" s="30">
        <f>IF(BA197="Yes",AX197,0)</f>
        <v/>
      </c>
      <c r="BC197" s="30">
        <f>IF(AND(BA197="Yes",ISNUMBER(AP197)),AP197,0)</f>
        <v/>
      </c>
      <c r="BD197" s="30">
        <f>IF(BA197="Yes",AX197,IF(ISNUMBER(AP197),AP197,0))</f>
        <v/>
      </c>
    </row>
    <row r="198">
      <c r="A198" s="6" t="inlineStr">
        <is>
          <t>TON</t>
        </is>
      </c>
      <c r="B198" s="6" t="inlineStr">
        <is>
          <t>Tonga</t>
        </is>
      </c>
      <c r="C198" s="6" t="inlineStr">
        <is>
          <t>East Asia &amp; Pacific</t>
        </is>
      </c>
      <c r="D198" s="6" t="inlineStr">
        <is>
          <t>Upper middle income</t>
        </is>
      </c>
      <c r="E198" s="29" t="n">
        <v>11548</v>
      </c>
      <c r="F198" s="29" t="n">
        <v>11721</v>
      </c>
      <c r="G198" s="29" t="n">
        <v>12958</v>
      </c>
      <c r="H198" s="29" t="n">
        <v>11739</v>
      </c>
      <c r="I198" s="29" t="n">
        <v>9758</v>
      </c>
      <c r="J198" s="29" t="n">
        <v>6301</v>
      </c>
      <c r="K198" s="29" t="n">
        <v>5229</v>
      </c>
      <c r="L198" s="29" t="n">
        <v>5048</v>
      </c>
      <c r="M198" s="29" t="n">
        <v>5199</v>
      </c>
      <c r="N198" s="29" t="n">
        <v>4765</v>
      </c>
      <c r="O198" s="29" t="n">
        <v>4638</v>
      </c>
      <c r="P198" s="29" t="n">
        <v>4520</v>
      </c>
      <c r="Q198" s="29" t="n">
        <v>3210</v>
      </c>
      <c r="R198" s="29" t="n">
        <v>2509</v>
      </c>
      <c r="S198" s="29" t="n">
        <v>1915</v>
      </c>
      <c r="T198" s="29" t="n">
        <v>1337</v>
      </c>
      <c r="U198" s="29" t="n">
        <v>1347</v>
      </c>
      <c r="V198" s="29" t="n">
        <v>54738</v>
      </c>
      <c r="W198" s="29" t="n">
        <v>49004</v>
      </c>
      <c r="X198" s="30">
        <f>SUM(E198:G198)</f>
        <v/>
      </c>
      <c r="Y198" s="30">
        <f>SUM(H198:I198)</f>
        <v/>
      </c>
      <c r="Z198" s="30">
        <f>SUM(J198:K198)</f>
        <v/>
      </c>
      <c r="AA198" s="30">
        <f>SUM(L198:M198)</f>
        <v/>
      </c>
      <c r="AB198" s="30">
        <f>SUM(N198:O198)</f>
        <v/>
      </c>
      <c r="AC198" s="30">
        <f>SUM(P198:Q198)</f>
        <v/>
      </c>
      <c r="AD198" s="30">
        <f>SUM(R198:U198)</f>
        <v/>
      </c>
      <c r="AE198" s="31">
        <f>SUM(X198:AD198)</f>
        <v/>
      </c>
      <c r="AF198" s="32">
        <f>AE198/SUM($AE$5:$AE$222)</f>
        <v/>
      </c>
      <c r="AG198" s="10">
        <f>RANK(AE198,$AE$5:$AE$222)</f>
        <v/>
      </c>
      <c r="AH198" s="29" t="n">
        <v>104175</v>
      </c>
      <c r="AI198" s="9">
        <f>IF(AH198&gt;0,AE198/AH198-1,"")</f>
        <v/>
      </c>
      <c r="AJ198" s="29" t="n">
        <v>6547</v>
      </c>
      <c r="AK198" s="19">
        <f>IF(SUM($E198:E198)&gt;=AE198/2,0+5*(AE198/2-0)/E198,IF(SUM($E198:F198)&gt;=AE198/2,5+5*(AE198/2-SUM($E198:E198))/F198,IF(SUM($E198:G198)&gt;=AE198/2,10+5*(AE198/2-SUM($E198:F198))/G198,IF(SUM($E198:H198)&gt;=AE198/2,15+5*(AE198/2-SUM($E198:G198))/H198,IF(SUM($E198:I198)&gt;=AE198/2,20+5*(AE198/2-SUM($E198:H198))/I198,IF(SUM($E198:J198)&gt;=AE198/2,25+5*(AE198/2-SUM($E198:I198))/J198,IF(SUM($E198:K198)&gt;=AE198/2,30+5*(AE198/2-SUM($E198:J198))/K198,IF(SUM($E198:L198)&gt;=AE198/2,35+5*(AE198/2-SUM($E198:K198))/L198,IF(SUM($E198:M198)&gt;=AE198/2,40+5*(AE198/2-SUM($E198:L198))/M198,IF(SUM($E198:N198)&gt;=AE198/2,45+5*(AE198/2-SUM($E198:M198))/N198,IF(SUM($E198:O198)&gt;=AE198/2,50+5*(AE198/2-SUM($E198:N198))/O198,IF(SUM($E198:P198)&gt;=AE198/2,55+5*(AE198/2-SUM($E198:O198))/P198,IF(SUM($E198:Q198)&gt;=AE198/2,60+5*(AE198/2-SUM($E198:P198))/Q198,IF(SUM($E198:R198)&gt;=AE198/2,65+5*(AE198/2-SUM($E198:Q198))/R198,IF(SUM($E198:S198)&gt;=AE198/2,70+5*(AE198/2-SUM($E198:R198))/S198,IF(SUM($E198:T198)&gt;=AE198/2,75+5*(AE198/2-SUM($E198:S198))/T198,""))))))))))))))))</f>
        <v/>
      </c>
      <c r="AL198" s="30">
        <f>SUM(H198:Q198)</f>
        <v/>
      </c>
      <c r="AM198" s="36" t="n"/>
      <c r="AN198" s="36" t="n"/>
      <c r="AO198" s="33">
        <f>IF(AND(ISNUMBER(AN198),ISNUMBER(AM198)),(AN198-AM198)*100,"")</f>
        <v/>
      </c>
      <c r="AP198" s="30">
        <f>IF(ISNUMBER(AN198),AN198*AL198,"")</f>
        <v/>
      </c>
      <c r="AQ198" s="30">
        <f>IF(ISNUMBER(AN198),AL198,0)</f>
        <v/>
      </c>
      <c r="BB198" s="30">
        <f>IF(BA198="Yes",AX198,0)</f>
        <v/>
      </c>
      <c r="BC198" s="30">
        <f>IF(AND(BA198="Yes",ISNUMBER(AP198)),AP198,0)</f>
        <v/>
      </c>
      <c r="BD198" s="30">
        <f>IF(BA198="Yes",AX198,IF(ISNUMBER(AP198),AP198,0))</f>
        <v/>
      </c>
    </row>
    <row r="199">
      <c r="A199" s="6" t="inlineStr">
        <is>
          <t>VCT</t>
        </is>
      </c>
      <c r="B199" s="6" t="inlineStr">
        <is>
          <t>St. Vincent and the Grenadines</t>
        </is>
      </c>
      <c r="C199" s="6" t="inlineStr">
        <is>
          <t>Latin America &amp; Caribbean</t>
        </is>
      </c>
      <c r="D199" s="6" t="inlineStr">
        <is>
          <t>Upper middle income</t>
        </is>
      </c>
      <c r="E199" s="29" t="n">
        <v>5967</v>
      </c>
      <c r="F199" s="29" t="n">
        <v>6990</v>
      </c>
      <c r="G199" s="29" t="n">
        <v>7898</v>
      </c>
      <c r="H199" s="29" t="n">
        <v>7510</v>
      </c>
      <c r="I199" s="29" t="n">
        <v>6943</v>
      </c>
      <c r="J199" s="29" t="n">
        <v>7076</v>
      </c>
      <c r="K199" s="29" t="n">
        <v>7042</v>
      </c>
      <c r="L199" s="29" t="n">
        <v>6295</v>
      </c>
      <c r="M199" s="29" t="n">
        <v>6770</v>
      </c>
      <c r="N199" s="29" t="n">
        <v>6659</v>
      </c>
      <c r="O199" s="29" t="n">
        <v>6351</v>
      </c>
      <c r="P199" s="29" t="n">
        <v>6166</v>
      </c>
      <c r="Q199" s="29" t="n">
        <v>6013</v>
      </c>
      <c r="R199" s="29" t="n">
        <v>4737</v>
      </c>
      <c r="S199" s="29" t="n">
        <v>3158</v>
      </c>
      <c r="T199" s="29" t="n">
        <v>2120</v>
      </c>
      <c r="U199" s="29" t="n">
        <v>2226</v>
      </c>
      <c r="V199" s="29" t="n">
        <v>49105</v>
      </c>
      <c r="W199" s="29" t="n">
        <v>50816</v>
      </c>
      <c r="X199" s="30">
        <f>SUM(E199:G199)</f>
        <v/>
      </c>
      <c r="Y199" s="30">
        <f>SUM(H199:I199)</f>
        <v/>
      </c>
      <c r="Z199" s="30">
        <f>SUM(J199:K199)</f>
        <v/>
      </c>
      <c r="AA199" s="30">
        <f>SUM(L199:M199)</f>
        <v/>
      </c>
      <c r="AB199" s="30">
        <f>SUM(N199:O199)</f>
        <v/>
      </c>
      <c r="AC199" s="30">
        <f>SUM(P199:Q199)</f>
        <v/>
      </c>
      <c r="AD199" s="30">
        <f>SUM(R199:U199)</f>
        <v/>
      </c>
      <c r="AE199" s="31">
        <f>SUM(X199:AD199)</f>
        <v/>
      </c>
      <c r="AF199" s="32">
        <f>AE199/SUM($AE$5:$AE$222)</f>
        <v/>
      </c>
      <c r="AG199" s="10">
        <f>RANK(AE199,$AE$5:$AE$222)</f>
        <v/>
      </c>
      <c r="AH199" s="29" t="n">
        <v>100616</v>
      </c>
      <c r="AI199" s="9">
        <f>IF(AH199&gt;0,AE199/AH199-1,"")</f>
        <v/>
      </c>
      <c r="AJ199" s="29" t="n">
        <v>12562</v>
      </c>
      <c r="AK199" s="19">
        <f>IF(SUM($E199:E199)&gt;=AE199/2,0+5*(AE199/2-0)/E199,IF(SUM($E199:F199)&gt;=AE199/2,5+5*(AE199/2-SUM($E199:E199))/F199,IF(SUM($E199:G199)&gt;=AE199/2,10+5*(AE199/2-SUM($E199:F199))/G199,IF(SUM($E199:H199)&gt;=AE199/2,15+5*(AE199/2-SUM($E199:G199))/H199,IF(SUM($E199:I199)&gt;=AE199/2,20+5*(AE199/2-SUM($E199:H199))/I199,IF(SUM($E199:J199)&gt;=AE199/2,25+5*(AE199/2-SUM($E199:I199))/J199,IF(SUM($E199:K199)&gt;=AE199/2,30+5*(AE199/2-SUM($E199:J199))/K199,IF(SUM($E199:L199)&gt;=AE199/2,35+5*(AE199/2-SUM($E199:K199))/L199,IF(SUM($E199:M199)&gt;=AE199/2,40+5*(AE199/2-SUM($E199:L199))/M199,IF(SUM($E199:N199)&gt;=AE199/2,45+5*(AE199/2-SUM($E199:M199))/N199,IF(SUM($E199:O199)&gt;=AE199/2,50+5*(AE199/2-SUM($E199:N199))/O199,IF(SUM($E199:P199)&gt;=AE199/2,55+5*(AE199/2-SUM($E199:O199))/P199,IF(SUM($E199:Q199)&gt;=AE199/2,60+5*(AE199/2-SUM($E199:P199))/Q199,IF(SUM($E199:R199)&gt;=AE199/2,65+5*(AE199/2-SUM($E199:Q199))/R199,IF(SUM($E199:S199)&gt;=AE199/2,70+5*(AE199/2-SUM($E199:R199))/S199,IF(SUM($E199:T199)&gt;=AE199/2,75+5*(AE199/2-SUM($E199:S199))/T199,""))))))))))))))))</f>
        <v/>
      </c>
      <c r="AL199" s="30">
        <f>SUM(H199:Q199)</f>
        <v/>
      </c>
      <c r="AM199" s="36" t="n"/>
      <c r="AN199" s="36" t="n"/>
      <c r="AO199" s="33">
        <f>IF(AND(ISNUMBER(AN199),ISNUMBER(AM199)),(AN199-AM199)*100,"")</f>
        <v/>
      </c>
      <c r="AP199" s="30">
        <f>IF(ISNUMBER(AN199),AN199*AL199,"")</f>
        <v/>
      </c>
      <c r="AQ199" s="30">
        <f>IF(ISNUMBER(AN199),AL199,0)</f>
        <v/>
      </c>
      <c r="BB199" s="30">
        <f>IF(BA199="Yes",AX199,0)</f>
        <v/>
      </c>
      <c r="BC199" s="30">
        <f>IF(AND(BA199="Yes",ISNUMBER(AP199)),AP199,0)</f>
        <v/>
      </c>
      <c r="BD199" s="30">
        <f>IF(BA199="Yes",AX199,IF(ISNUMBER(AP199),AP199,0))</f>
        <v/>
      </c>
    </row>
    <row r="200">
      <c r="A200" s="6" t="inlineStr">
        <is>
          <t>ATG</t>
        </is>
      </c>
      <c r="B200" s="6" t="inlineStr">
        <is>
          <t>Antigua and Barbuda</t>
        </is>
      </c>
      <c r="C200" s="6" t="inlineStr">
        <is>
          <t>Latin America &amp; Caribbean</t>
        </is>
      </c>
      <c r="D200" s="6" t="inlineStr">
        <is>
          <t>High income</t>
        </is>
      </c>
      <c r="E200" s="29" t="n">
        <v>5502</v>
      </c>
      <c r="F200" s="29" t="n">
        <v>5217</v>
      </c>
      <c r="G200" s="29" t="n">
        <v>5740</v>
      </c>
      <c r="H200" s="29" t="n">
        <v>6563</v>
      </c>
      <c r="I200" s="29" t="n">
        <v>6533</v>
      </c>
      <c r="J200" s="29" t="n">
        <v>7116</v>
      </c>
      <c r="K200" s="29" t="n">
        <v>7139</v>
      </c>
      <c r="L200" s="29" t="n">
        <v>7092</v>
      </c>
      <c r="M200" s="29" t="n">
        <v>6662</v>
      </c>
      <c r="N200" s="29" t="n">
        <v>6344</v>
      </c>
      <c r="O200" s="29" t="n">
        <v>6402</v>
      </c>
      <c r="P200" s="29" t="n">
        <v>6548</v>
      </c>
      <c r="Q200" s="29" t="n">
        <v>5731</v>
      </c>
      <c r="R200" s="29" t="n">
        <v>4488</v>
      </c>
      <c r="S200" s="29" t="n">
        <v>3111</v>
      </c>
      <c r="T200" s="29" t="n">
        <v>1997</v>
      </c>
      <c r="U200" s="29" t="n">
        <v>2027</v>
      </c>
      <c r="V200" s="29" t="n">
        <v>49364</v>
      </c>
      <c r="W200" s="29" t="n">
        <v>44848</v>
      </c>
      <c r="X200" s="30">
        <f>SUM(E200:G200)</f>
        <v/>
      </c>
      <c r="Y200" s="30">
        <f>SUM(H200:I200)</f>
        <v/>
      </c>
      <c r="Z200" s="30">
        <f>SUM(J200:K200)</f>
        <v/>
      </c>
      <c r="AA200" s="30">
        <f>SUM(L200:M200)</f>
        <v/>
      </c>
      <c r="AB200" s="30">
        <f>SUM(N200:O200)</f>
        <v/>
      </c>
      <c r="AC200" s="30">
        <f>SUM(P200:Q200)</f>
        <v/>
      </c>
      <c r="AD200" s="30">
        <f>SUM(R200:U200)</f>
        <v/>
      </c>
      <c r="AE200" s="31">
        <f>SUM(X200:AD200)</f>
        <v/>
      </c>
      <c r="AF200" s="32">
        <f>AE200/SUM($AE$5:$AE$222)</f>
        <v/>
      </c>
      <c r="AG200" s="10">
        <f>RANK(AE200,$AE$5:$AE$222)</f>
        <v/>
      </c>
      <c r="AH200" s="29" t="n">
        <v>93772</v>
      </c>
      <c r="AI200" s="9">
        <f>IF(AH200&gt;0,AE200/AH200-1,"")</f>
        <v/>
      </c>
      <c r="AJ200" s="29" t="n">
        <v>24819</v>
      </c>
      <c r="AK200" s="19">
        <f>IF(SUM($E200:E200)&gt;=AE200/2,0+5*(AE200/2-0)/E200,IF(SUM($E200:F200)&gt;=AE200/2,5+5*(AE200/2-SUM($E200:E200))/F200,IF(SUM($E200:G200)&gt;=AE200/2,10+5*(AE200/2-SUM($E200:F200))/G200,IF(SUM($E200:H200)&gt;=AE200/2,15+5*(AE200/2-SUM($E200:G200))/H200,IF(SUM($E200:I200)&gt;=AE200/2,20+5*(AE200/2-SUM($E200:H200))/I200,IF(SUM($E200:J200)&gt;=AE200/2,25+5*(AE200/2-SUM($E200:I200))/J200,IF(SUM($E200:K200)&gt;=AE200/2,30+5*(AE200/2-SUM($E200:J200))/K200,IF(SUM($E200:L200)&gt;=AE200/2,35+5*(AE200/2-SUM($E200:K200))/L200,IF(SUM($E200:M200)&gt;=AE200/2,40+5*(AE200/2-SUM($E200:L200))/M200,IF(SUM($E200:N200)&gt;=AE200/2,45+5*(AE200/2-SUM($E200:M200))/N200,IF(SUM($E200:O200)&gt;=AE200/2,50+5*(AE200/2-SUM($E200:N200))/O200,IF(SUM($E200:P200)&gt;=AE200/2,55+5*(AE200/2-SUM($E200:O200))/P200,IF(SUM($E200:Q200)&gt;=AE200/2,60+5*(AE200/2-SUM($E200:P200))/Q200,IF(SUM($E200:R200)&gt;=AE200/2,65+5*(AE200/2-SUM($E200:Q200))/R200,IF(SUM($E200:S200)&gt;=AE200/2,70+5*(AE200/2-SUM($E200:R200))/S200,IF(SUM($E200:T200)&gt;=AE200/2,75+5*(AE200/2-SUM($E200:S200))/T200,""))))))))))))))))</f>
        <v/>
      </c>
      <c r="AL200" s="30">
        <f>SUM(H200:Q200)</f>
        <v/>
      </c>
      <c r="AM200" s="36" t="n"/>
      <c r="AN200" s="36" t="n"/>
      <c r="AO200" s="33">
        <f>IF(AND(ISNUMBER(AN200),ISNUMBER(AM200)),(AN200-AM200)*100,"")</f>
        <v/>
      </c>
      <c r="AP200" s="30">
        <f>IF(ISNUMBER(AN200),AN200*AL200,"")</f>
        <v/>
      </c>
      <c r="AQ200" s="30">
        <f>IF(ISNUMBER(AN200),AL200,0)</f>
        <v/>
      </c>
      <c r="BB200" s="30">
        <f>IF(BA200="Yes",AX200,0)</f>
        <v/>
      </c>
      <c r="BC200" s="30">
        <f>IF(AND(BA200="Yes",ISNUMBER(AP200)),AP200,0)</f>
        <v/>
      </c>
      <c r="BD200" s="30">
        <f>IF(BA200="Yes",AX200,IF(ISNUMBER(AP200),AP200,0))</f>
        <v/>
      </c>
    </row>
    <row r="201">
      <c r="A201" s="6" t="inlineStr">
        <is>
          <t>IMN</t>
        </is>
      </c>
      <c r="B201" s="6" t="inlineStr">
        <is>
          <t>Isle of Man</t>
        </is>
      </c>
      <c r="C201" s="6" t="inlineStr">
        <is>
          <t>Europe &amp; Central Asia</t>
        </is>
      </c>
      <c r="D201" s="6" t="inlineStr">
        <is>
          <t>High income</t>
        </is>
      </c>
      <c r="E201" s="29" t="n">
        <v>3479</v>
      </c>
      <c r="F201" s="29" t="n">
        <v>3714</v>
      </c>
      <c r="G201" s="29" t="n">
        <v>4504</v>
      </c>
      <c r="H201" s="29" t="n">
        <v>4721</v>
      </c>
      <c r="I201" s="29" t="n">
        <v>4469</v>
      </c>
      <c r="J201" s="29" t="n">
        <v>4425</v>
      </c>
      <c r="K201" s="29" t="n">
        <v>4604</v>
      </c>
      <c r="L201" s="29" t="n">
        <v>4874</v>
      </c>
      <c r="M201" s="29" t="n">
        <v>5100</v>
      </c>
      <c r="N201" s="29" t="n">
        <v>5222</v>
      </c>
      <c r="O201" s="29" t="n">
        <v>6191</v>
      </c>
      <c r="P201" s="29" t="n">
        <v>6557</v>
      </c>
      <c r="Q201" s="29" t="n">
        <v>6397</v>
      </c>
      <c r="R201" s="29" t="n">
        <v>5317</v>
      </c>
      <c r="S201" s="29" t="n">
        <v>4663</v>
      </c>
      <c r="T201" s="29" t="n">
        <v>4389</v>
      </c>
      <c r="U201" s="29" t="n">
        <v>5490</v>
      </c>
      <c r="V201" s="29" t="n">
        <v>42492</v>
      </c>
      <c r="W201" s="29" t="n">
        <v>41624</v>
      </c>
      <c r="X201" s="30">
        <f>SUM(E201:G201)</f>
        <v/>
      </c>
      <c r="Y201" s="30">
        <f>SUM(H201:I201)</f>
        <v/>
      </c>
      <c r="Z201" s="30">
        <f>SUM(J201:K201)</f>
        <v/>
      </c>
      <c r="AA201" s="30">
        <f>SUM(L201:M201)</f>
        <v/>
      </c>
      <c r="AB201" s="30">
        <f>SUM(N201:O201)</f>
        <v/>
      </c>
      <c r="AC201" s="30">
        <f>SUM(P201:Q201)</f>
        <v/>
      </c>
      <c r="AD201" s="30">
        <f>SUM(R201:U201)</f>
        <v/>
      </c>
      <c r="AE201" s="31">
        <f>SUM(X201:AD201)</f>
        <v/>
      </c>
      <c r="AF201" s="32">
        <f>AE201/SUM($AE$5:$AE$222)</f>
        <v/>
      </c>
      <c r="AG201" s="10">
        <f>RANK(AE201,$AE$5:$AE$222)</f>
        <v/>
      </c>
      <c r="AH201" s="29" t="n">
        <v>84160</v>
      </c>
      <c r="AI201" s="9">
        <f>IF(AH201&gt;0,AE201/AH201-1,"")</f>
        <v/>
      </c>
      <c r="AJ201" s="35" t="n"/>
      <c r="AK201" s="19">
        <f>IF(SUM($E201:E201)&gt;=AE201/2,0+5*(AE201/2-0)/E201,IF(SUM($E201:F201)&gt;=AE201/2,5+5*(AE201/2-SUM($E201:E201))/F201,IF(SUM($E201:G201)&gt;=AE201/2,10+5*(AE201/2-SUM($E201:F201))/G201,IF(SUM($E201:H201)&gt;=AE201/2,15+5*(AE201/2-SUM($E201:G201))/H201,IF(SUM($E201:I201)&gt;=AE201/2,20+5*(AE201/2-SUM($E201:H201))/I201,IF(SUM($E201:J201)&gt;=AE201/2,25+5*(AE201/2-SUM($E201:I201))/J201,IF(SUM($E201:K201)&gt;=AE201/2,30+5*(AE201/2-SUM($E201:J201))/K201,IF(SUM($E201:L201)&gt;=AE201/2,35+5*(AE201/2-SUM($E201:K201))/L201,IF(SUM($E201:M201)&gt;=AE201/2,40+5*(AE201/2-SUM($E201:L201))/M201,IF(SUM($E201:N201)&gt;=AE201/2,45+5*(AE201/2-SUM($E201:M201))/N201,IF(SUM($E201:O201)&gt;=AE201/2,50+5*(AE201/2-SUM($E201:N201))/O201,IF(SUM($E201:P201)&gt;=AE201/2,55+5*(AE201/2-SUM($E201:O201))/P201,IF(SUM($E201:Q201)&gt;=AE201/2,60+5*(AE201/2-SUM($E201:P201))/Q201,IF(SUM($E201:R201)&gt;=AE201/2,65+5*(AE201/2-SUM($E201:Q201))/R201,IF(SUM($E201:S201)&gt;=AE201/2,70+5*(AE201/2-SUM($E201:R201))/S201,IF(SUM($E201:T201)&gt;=AE201/2,75+5*(AE201/2-SUM($E201:S201))/T201,""))))))))))))))))</f>
        <v/>
      </c>
      <c r="AL201" s="30">
        <f>SUM(H201:Q201)</f>
        <v/>
      </c>
      <c r="AM201" s="36" t="n"/>
      <c r="AN201" s="36" t="n"/>
      <c r="AO201" s="33">
        <f>IF(AND(ISNUMBER(AN201),ISNUMBER(AM201)),(AN201-AM201)*100,"")</f>
        <v/>
      </c>
      <c r="AP201" s="30">
        <f>IF(ISNUMBER(AN201),AN201*AL201,"")</f>
        <v/>
      </c>
      <c r="AQ201" s="30">
        <f>IF(ISNUMBER(AN201),AL201,0)</f>
        <v/>
      </c>
      <c r="BB201" s="30">
        <f>IF(BA201="Yes",AX201,0)</f>
        <v/>
      </c>
      <c r="BC201" s="30">
        <f>IF(AND(BA201="Yes",ISNUMBER(AP201)),AP201,0)</f>
        <v/>
      </c>
      <c r="BD201" s="30">
        <f>IF(BA201="Yes",AX201,IF(ISNUMBER(AP201),AP201,0))</f>
        <v/>
      </c>
    </row>
    <row r="202">
      <c r="A202" s="6" t="inlineStr">
        <is>
          <t>AND</t>
        </is>
      </c>
      <c r="B202" s="6" t="inlineStr">
        <is>
          <t>Andorra</t>
        </is>
      </c>
      <c r="C202" s="6" t="inlineStr">
        <is>
          <t>Europe &amp; Central Asia</t>
        </is>
      </c>
      <c r="D202" s="6" t="inlineStr">
        <is>
          <t>High income</t>
        </is>
      </c>
      <c r="E202" s="29" t="n">
        <v>2681</v>
      </c>
      <c r="F202" s="29" t="n">
        <v>3091</v>
      </c>
      <c r="G202" s="29" t="n">
        <v>3859</v>
      </c>
      <c r="H202" s="29" t="n">
        <v>4407</v>
      </c>
      <c r="I202" s="29" t="n">
        <v>4700</v>
      </c>
      <c r="J202" s="29" t="n">
        <v>5230</v>
      </c>
      <c r="K202" s="29" t="n">
        <v>5532</v>
      </c>
      <c r="L202" s="29" t="n">
        <v>5771</v>
      </c>
      <c r="M202" s="29" t="n">
        <v>6376</v>
      </c>
      <c r="N202" s="29" t="n">
        <v>7129</v>
      </c>
      <c r="O202" s="29" t="n">
        <v>7411</v>
      </c>
      <c r="P202" s="29" t="n">
        <v>6850</v>
      </c>
      <c r="Q202" s="29" t="n">
        <v>6134</v>
      </c>
      <c r="R202" s="29" t="n">
        <v>4651</v>
      </c>
      <c r="S202" s="29" t="n">
        <v>3313</v>
      </c>
      <c r="T202" s="29" t="n">
        <v>2515</v>
      </c>
      <c r="U202" s="29" t="n">
        <v>3251</v>
      </c>
      <c r="V202" s="29" t="n">
        <v>40545</v>
      </c>
      <c r="W202" s="29" t="n">
        <v>42356</v>
      </c>
      <c r="X202" s="30">
        <f>SUM(E202:G202)</f>
        <v/>
      </c>
      <c r="Y202" s="30">
        <f>SUM(H202:I202)</f>
        <v/>
      </c>
      <c r="Z202" s="30">
        <f>SUM(J202:K202)</f>
        <v/>
      </c>
      <c r="AA202" s="30">
        <f>SUM(L202:M202)</f>
        <v/>
      </c>
      <c r="AB202" s="30">
        <f>SUM(N202:O202)</f>
        <v/>
      </c>
      <c r="AC202" s="30">
        <f>SUM(P202:Q202)</f>
        <v/>
      </c>
      <c r="AD202" s="30">
        <f>SUM(R202:U202)</f>
        <v/>
      </c>
      <c r="AE202" s="31">
        <f>SUM(X202:AD202)</f>
        <v/>
      </c>
      <c r="AF202" s="32">
        <f>AE202/SUM($AE$5:$AE$222)</f>
        <v/>
      </c>
      <c r="AG202" s="10">
        <f>RANK(AE202,$AE$5:$AE$222)</f>
        <v/>
      </c>
      <c r="AH202" s="29" t="n">
        <v>81938</v>
      </c>
      <c r="AI202" s="9">
        <f>IF(AH202&gt;0,AE202/AH202-1,"")</f>
        <v/>
      </c>
      <c r="AJ202" s="29" t="n">
        <v>54292</v>
      </c>
      <c r="AK202" s="19">
        <f>IF(SUM($E202:E202)&gt;=AE202/2,0+5*(AE202/2-0)/E202,IF(SUM($E202:F202)&gt;=AE202/2,5+5*(AE202/2-SUM($E202:E202))/F202,IF(SUM($E202:G202)&gt;=AE202/2,10+5*(AE202/2-SUM($E202:F202))/G202,IF(SUM($E202:H202)&gt;=AE202/2,15+5*(AE202/2-SUM($E202:G202))/H202,IF(SUM($E202:I202)&gt;=AE202/2,20+5*(AE202/2-SUM($E202:H202))/I202,IF(SUM($E202:J202)&gt;=AE202/2,25+5*(AE202/2-SUM($E202:I202))/J202,IF(SUM($E202:K202)&gt;=AE202/2,30+5*(AE202/2-SUM($E202:J202))/K202,IF(SUM($E202:L202)&gt;=AE202/2,35+5*(AE202/2-SUM($E202:K202))/L202,IF(SUM($E202:M202)&gt;=AE202/2,40+5*(AE202/2-SUM($E202:L202))/M202,IF(SUM($E202:N202)&gt;=AE202/2,45+5*(AE202/2-SUM($E202:M202))/N202,IF(SUM($E202:O202)&gt;=AE202/2,50+5*(AE202/2-SUM($E202:N202))/O202,IF(SUM($E202:P202)&gt;=AE202/2,55+5*(AE202/2-SUM($E202:O202))/P202,IF(SUM($E202:Q202)&gt;=AE202/2,60+5*(AE202/2-SUM($E202:P202))/Q202,IF(SUM($E202:R202)&gt;=AE202/2,65+5*(AE202/2-SUM($E202:Q202))/R202,IF(SUM($E202:S202)&gt;=AE202/2,70+5*(AE202/2-SUM($E202:R202))/S202,IF(SUM($E202:T202)&gt;=AE202/2,75+5*(AE202/2-SUM($E202:S202))/T202,""))))))))))))))))</f>
        <v/>
      </c>
      <c r="AL202" s="30">
        <f>SUM(H202:Q202)</f>
        <v/>
      </c>
      <c r="AM202" s="36" t="n"/>
      <c r="AN202" s="36" t="n"/>
      <c r="AO202" s="33">
        <f>IF(AND(ISNUMBER(AN202),ISNUMBER(AM202)),(AN202-AM202)*100,"")</f>
        <v/>
      </c>
      <c r="AP202" s="30">
        <f>IF(ISNUMBER(AN202),AN202*AL202,"")</f>
        <v/>
      </c>
      <c r="AQ202" s="30">
        <f>IF(ISNUMBER(AN202),AL202,0)</f>
        <v/>
      </c>
      <c r="BB202" s="30">
        <f>IF(BA202="Yes",AX202,0)</f>
        <v/>
      </c>
      <c r="BC202" s="30">
        <f>IF(AND(BA202="Yes",ISNUMBER(AP202)),AP202,0)</f>
        <v/>
      </c>
      <c r="BD202" s="30">
        <f>IF(BA202="Yes",AX202,IF(ISNUMBER(AP202),AP202,0))</f>
        <v/>
      </c>
    </row>
    <row r="203">
      <c r="A203" s="6" t="inlineStr">
        <is>
          <t>CYM</t>
        </is>
      </c>
      <c r="B203" s="6" t="inlineStr">
        <is>
          <t>Cayman Islands</t>
        </is>
      </c>
      <c r="C203" s="6" t="inlineStr">
        <is>
          <t>Latin America &amp; Caribbean</t>
        </is>
      </c>
      <c r="D203" s="6" t="inlineStr">
        <is>
          <t>High income</t>
        </is>
      </c>
      <c r="E203" s="29" t="n">
        <v>4428</v>
      </c>
      <c r="F203" s="29" t="n">
        <v>3866</v>
      </c>
      <c r="G203" s="29" t="n">
        <v>3884</v>
      </c>
      <c r="H203" s="29" t="n">
        <v>4041</v>
      </c>
      <c r="I203" s="29" t="n">
        <v>3968</v>
      </c>
      <c r="J203" s="29" t="n">
        <v>4792</v>
      </c>
      <c r="K203" s="29" t="n">
        <v>6375</v>
      </c>
      <c r="L203" s="29" t="n">
        <v>7051</v>
      </c>
      <c r="M203" s="29" t="n">
        <v>7116</v>
      </c>
      <c r="N203" s="29" t="n">
        <v>6784</v>
      </c>
      <c r="O203" s="29" t="n">
        <v>6359</v>
      </c>
      <c r="P203" s="29" t="n">
        <v>5599</v>
      </c>
      <c r="Q203" s="29" t="n">
        <v>4368</v>
      </c>
      <c r="R203" s="29" t="n">
        <v>2906</v>
      </c>
      <c r="S203" s="29" t="n">
        <v>1908</v>
      </c>
      <c r="T203" s="29" t="n">
        <v>1179</v>
      </c>
      <c r="U203" s="29" t="n">
        <v>1224</v>
      </c>
      <c r="V203" s="29" t="n">
        <v>37780</v>
      </c>
      <c r="W203" s="29" t="n">
        <v>38068</v>
      </c>
      <c r="X203" s="30">
        <f>SUM(E203:G203)</f>
        <v/>
      </c>
      <c r="Y203" s="30">
        <f>SUM(H203:I203)</f>
        <v/>
      </c>
      <c r="Z203" s="30">
        <f>SUM(J203:K203)</f>
        <v/>
      </c>
      <c r="AA203" s="30">
        <f>SUM(L203:M203)</f>
        <v/>
      </c>
      <c r="AB203" s="30">
        <f>SUM(N203:O203)</f>
        <v/>
      </c>
      <c r="AC203" s="30">
        <f>SUM(P203:Q203)</f>
        <v/>
      </c>
      <c r="AD203" s="30">
        <f>SUM(R203:U203)</f>
        <v/>
      </c>
      <c r="AE203" s="31">
        <f>SUM(X203:AD203)</f>
        <v/>
      </c>
      <c r="AF203" s="32">
        <f>AE203/SUM($AE$5:$AE$222)</f>
        <v/>
      </c>
      <c r="AG203" s="10">
        <f>RANK(AE203,$AE$5:$AE$222)</f>
        <v/>
      </c>
      <c r="AH203" s="29" t="n">
        <v>74457</v>
      </c>
      <c r="AI203" s="9">
        <f>IF(AH203&gt;0,AE203/AH203-1,"")</f>
        <v/>
      </c>
      <c r="AJ203" s="29" t="n">
        <v>104293</v>
      </c>
      <c r="AK203" s="19">
        <f>IF(SUM($E203:E203)&gt;=AE203/2,0+5*(AE203/2-0)/E203,IF(SUM($E203:F203)&gt;=AE203/2,5+5*(AE203/2-SUM($E203:E203))/F203,IF(SUM($E203:G203)&gt;=AE203/2,10+5*(AE203/2-SUM($E203:F203))/G203,IF(SUM($E203:H203)&gt;=AE203/2,15+5*(AE203/2-SUM($E203:G203))/H203,IF(SUM($E203:I203)&gt;=AE203/2,20+5*(AE203/2-SUM($E203:H203))/I203,IF(SUM($E203:J203)&gt;=AE203/2,25+5*(AE203/2-SUM($E203:I203))/J203,IF(SUM($E203:K203)&gt;=AE203/2,30+5*(AE203/2-SUM($E203:J203))/K203,IF(SUM($E203:L203)&gt;=AE203/2,35+5*(AE203/2-SUM($E203:K203))/L203,IF(SUM($E203:M203)&gt;=AE203/2,40+5*(AE203/2-SUM($E203:L203))/M203,IF(SUM($E203:N203)&gt;=AE203/2,45+5*(AE203/2-SUM($E203:M203))/N203,IF(SUM($E203:O203)&gt;=AE203/2,50+5*(AE203/2-SUM($E203:N203))/O203,IF(SUM($E203:P203)&gt;=AE203/2,55+5*(AE203/2-SUM($E203:O203))/P203,IF(SUM($E203:Q203)&gt;=AE203/2,60+5*(AE203/2-SUM($E203:P203))/Q203,IF(SUM($E203:R203)&gt;=AE203/2,65+5*(AE203/2-SUM($E203:Q203))/R203,IF(SUM($E203:S203)&gt;=AE203/2,70+5*(AE203/2-SUM($E203:R203))/S203,IF(SUM($E203:T203)&gt;=AE203/2,75+5*(AE203/2-SUM($E203:S203))/T203,""))))))))))))))))</f>
        <v/>
      </c>
      <c r="AL203" s="30">
        <f>SUM(H203:Q203)</f>
        <v/>
      </c>
      <c r="AM203" s="36" t="n"/>
      <c r="AN203" s="36" t="n"/>
      <c r="AO203" s="33">
        <f>IF(AND(ISNUMBER(AN203),ISNUMBER(AM203)),(AN203-AM203)*100,"")</f>
        <v/>
      </c>
      <c r="AP203" s="30">
        <f>IF(ISNUMBER(AN203),AN203*AL203,"")</f>
        <v/>
      </c>
      <c r="AQ203" s="30">
        <f>IF(ISNUMBER(AN203),AL203,0)</f>
        <v/>
      </c>
      <c r="BB203" s="30">
        <f>IF(BA203="Yes",AX203,0)</f>
        <v/>
      </c>
      <c r="BC203" s="30">
        <f>IF(AND(BA203="Yes",ISNUMBER(AP203)),AP203,0)</f>
        <v/>
      </c>
      <c r="BD203" s="30">
        <f>IF(BA203="Yes",AX203,IF(ISNUMBER(AP203),AP203,0))</f>
        <v/>
      </c>
    </row>
    <row r="204">
      <c r="A204" s="6" t="inlineStr">
        <is>
          <t>DMA</t>
        </is>
      </c>
      <c r="B204" s="6" t="inlineStr">
        <is>
          <t>Dominica</t>
        </is>
      </c>
      <c r="C204" s="6" t="inlineStr">
        <is>
          <t>Latin America &amp; Caribbean</t>
        </is>
      </c>
      <c r="D204" s="6" t="inlineStr">
        <is>
          <t>Upper middle income</t>
        </is>
      </c>
      <c r="E204" s="29" t="n">
        <v>3544</v>
      </c>
      <c r="F204" s="29" t="n">
        <v>3802</v>
      </c>
      <c r="G204" s="29" t="n">
        <v>4255</v>
      </c>
      <c r="H204" s="29" t="n">
        <v>4338</v>
      </c>
      <c r="I204" s="29" t="n">
        <v>4348</v>
      </c>
      <c r="J204" s="29" t="n">
        <v>4686</v>
      </c>
      <c r="K204" s="29" t="n">
        <v>5574</v>
      </c>
      <c r="L204" s="29" t="n">
        <v>5116</v>
      </c>
      <c r="M204" s="29" t="n">
        <v>4723</v>
      </c>
      <c r="N204" s="29" t="n">
        <v>3810</v>
      </c>
      <c r="O204" s="29" t="n">
        <v>4372</v>
      </c>
      <c r="P204" s="29" t="n">
        <v>4636</v>
      </c>
      <c r="Q204" s="29" t="n">
        <v>3971</v>
      </c>
      <c r="R204" s="29" t="n">
        <v>3240</v>
      </c>
      <c r="S204" s="29" t="n">
        <v>2273</v>
      </c>
      <c r="T204" s="29" t="n">
        <v>1526</v>
      </c>
      <c r="U204" s="29" t="n">
        <v>1655</v>
      </c>
      <c r="V204" s="29" t="n">
        <v>32975</v>
      </c>
      <c r="W204" s="29" t="n">
        <v>32894</v>
      </c>
      <c r="X204" s="30">
        <f>SUM(E204:G204)</f>
        <v/>
      </c>
      <c r="Y204" s="30">
        <f>SUM(H204:I204)</f>
        <v/>
      </c>
      <c r="Z204" s="30">
        <f>SUM(J204:K204)</f>
        <v/>
      </c>
      <c r="AA204" s="30">
        <f>SUM(L204:M204)</f>
        <v/>
      </c>
      <c r="AB204" s="30">
        <f>SUM(N204:O204)</f>
        <v/>
      </c>
      <c r="AC204" s="30">
        <f>SUM(P204:Q204)</f>
        <v/>
      </c>
      <c r="AD204" s="30">
        <f>SUM(R204:U204)</f>
        <v/>
      </c>
      <c r="AE204" s="31">
        <f>SUM(X204:AD204)</f>
        <v/>
      </c>
      <c r="AF204" s="32">
        <f>AE204/SUM($AE$5:$AE$222)</f>
        <v/>
      </c>
      <c r="AG204" s="10">
        <f>RANK(AE204,$AE$5:$AE$222)</f>
        <v/>
      </c>
      <c r="AH204" s="29" t="n">
        <v>66205</v>
      </c>
      <c r="AI204" s="9">
        <f>IF(AH204&gt;0,AE204/AH204-1,"")</f>
        <v/>
      </c>
      <c r="AJ204" s="29" t="n">
        <v>10989</v>
      </c>
      <c r="AK204" s="19">
        <f>IF(SUM($E204:E204)&gt;=AE204/2,0+5*(AE204/2-0)/E204,IF(SUM($E204:F204)&gt;=AE204/2,5+5*(AE204/2-SUM($E204:E204))/F204,IF(SUM($E204:G204)&gt;=AE204/2,10+5*(AE204/2-SUM($E204:F204))/G204,IF(SUM($E204:H204)&gt;=AE204/2,15+5*(AE204/2-SUM($E204:G204))/H204,IF(SUM($E204:I204)&gt;=AE204/2,20+5*(AE204/2-SUM($E204:H204))/I204,IF(SUM($E204:J204)&gt;=AE204/2,25+5*(AE204/2-SUM($E204:I204))/J204,IF(SUM($E204:K204)&gt;=AE204/2,30+5*(AE204/2-SUM($E204:J204))/K204,IF(SUM($E204:L204)&gt;=AE204/2,35+5*(AE204/2-SUM($E204:K204))/L204,IF(SUM($E204:M204)&gt;=AE204/2,40+5*(AE204/2-SUM($E204:L204))/M204,IF(SUM($E204:N204)&gt;=AE204/2,45+5*(AE204/2-SUM($E204:M204))/N204,IF(SUM($E204:O204)&gt;=AE204/2,50+5*(AE204/2-SUM($E204:N204))/O204,IF(SUM($E204:P204)&gt;=AE204/2,55+5*(AE204/2-SUM($E204:O204))/P204,IF(SUM($E204:Q204)&gt;=AE204/2,60+5*(AE204/2-SUM($E204:P204))/Q204,IF(SUM($E204:R204)&gt;=AE204/2,65+5*(AE204/2-SUM($E204:Q204))/R204,IF(SUM($E204:S204)&gt;=AE204/2,70+5*(AE204/2-SUM($E204:R204))/S204,IF(SUM($E204:T204)&gt;=AE204/2,75+5*(AE204/2-SUM($E204:S204))/T204,""))))))))))))))))</f>
        <v/>
      </c>
      <c r="AL204" s="30">
        <f>SUM(H204:Q204)</f>
        <v/>
      </c>
      <c r="AM204" s="36" t="n"/>
      <c r="AN204" s="36" t="n"/>
      <c r="AO204" s="33">
        <f>IF(AND(ISNUMBER(AN204),ISNUMBER(AM204)),(AN204-AM204)*100,"")</f>
        <v/>
      </c>
      <c r="AP204" s="30">
        <f>IF(ISNUMBER(AN204),AN204*AL204,"")</f>
        <v/>
      </c>
      <c r="AQ204" s="30">
        <f>IF(ISNUMBER(AN204),AL204,0)</f>
        <v/>
      </c>
      <c r="BB204" s="30">
        <f>IF(BA204="Yes",AX204,0)</f>
        <v/>
      </c>
      <c r="BC204" s="30">
        <f>IF(AND(BA204="Yes",ISNUMBER(AP204)),AP204,0)</f>
        <v/>
      </c>
      <c r="BD204" s="30">
        <f>IF(BA204="Yes",AX204,IF(ISNUMBER(AP204),AP204,0))</f>
        <v/>
      </c>
    </row>
    <row r="205">
      <c r="A205" s="6" t="inlineStr">
        <is>
          <t>BMU</t>
        </is>
      </c>
      <c r="B205" s="6" t="inlineStr">
        <is>
          <t>Bermuda</t>
        </is>
      </c>
      <c r="C205" s="6" t="inlineStr">
        <is>
          <t>North America</t>
        </is>
      </c>
      <c r="D205" s="6" t="inlineStr">
        <is>
          <t>High income</t>
        </is>
      </c>
      <c r="E205" s="29" t="n">
        <v>2631</v>
      </c>
      <c r="F205" s="29" t="n">
        <v>2871</v>
      </c>
      <c r="G205" s="29" t="n">
        <v>3118</v>
      </c>
      <c r="H205" s="29" t="n">
        <v>3387</v>
      </c>
      <c r="I205" s="29" t="n">
        <v>3325</v>
      </c>
      <c r="J205" s="29" t="n">
        <v>3416</v>
      </c>
      <c r="K205" s="29" t="n">
        <v>3349</v>
      </c>
      <c r="L205" s="29" t="n">
        <v>3792</v>
      </c>
      <c r="M205" s="29" t="n">
        <v>4585</v>
      </c>
      <c r="N205" s="29" t="n">
        <v>4596</v>
      </c>
      <c r="O205" s="29" t="n">
        <v>4849</v>
      </c>
      <c r="P205" s="29" t="n">
        <v>4834</v>
      </c>
      <c r="Q205" s="29" t="n">
        <v>5207</v>
      </c>
      <c r="R205" s="29" t="n">
        <v>4707</v>
      </c>
      <c r="S205" s="29" t="n">
        <v>3680</v>
      </c>
      <c r="T205" s="29" t="n">
        <v>2753</v>
      </c>
      <c r="U205" s="29" t="n">
        <v>3456</v>
      </c>
      <c r="V205" s="29" t="n">
        <v>33009</v>
      </c>
      <c r="W205" s="29" t="n">
        <v>31547</v>
      </c>
      <c r="X205" s="30">
        <f>SUM(E205:G205)</f>
        <v/>
      </c>
      <c r="Y205" s="30">
        <f>SUM(H205:I205)</f>
        <v/>
      </c>
      <c r="Z205" s="30">
        <f>SUM(J205:K205)</f>
        <v/>
      </c>
      <c r="AA205" s="30">
        <f>SUM(L205:M205)</f>
        <v/>
      </c>
      <c r="AB205" s="30">
        <f>SUM(N205:O205)</f>
        <v/>
      </c>
      <c r="AC205" s="30">
        <f>SUM(P205:Q205)</f>
        <v/>
      </c>
      <c r="AD205" s="30">
        <f>SUM(R205:U205)</f>
        <v/>
      </c>
      <c r="AE205" s="31">
        <f>SUM(X205:AD205)</f>
        <v/>
      </c>
      <c r="AF205" s="32">
        <f>AE205/SUM($AE$5:$AE$222)</f>
        <v/>
      </c>
      <c r="AG205" s="10">
        <f>RANK(AE205,$AE$5:$AE$222)</f>
        <v/>
      </c>
      <c r="AH205" s="29" t="n">
        <v>64636</v>
      </c>
      <c r="AI205" s="9">
        <f>IF(AH205&gt;0,AE205/AH205-1,"")</f>
        <v/>
      </c>
      <c r="AJ205" s="29" t="n">
        <v>142250</v>
      </c>
      <c r="AK205" s="19">
        <f>IF(SUM($E205:E205)&gt;=AE205/2,0+5*(AE205/2-0)/E205,IF(SUM($E205:F205)&gt;=AE205/2,5+5*(AE205/2-SUM($E205:E205))/F205,IF(SUM($E205:G205)&gt;=AE205/2,10+5*(AE205/2-SUM($E205:F205))/G205,IF(SUM($E205:H205)&gt;=AE205/2,15+5*(AE205/2-SUM($E205:G205))/H205,IF(SUM($E205:I205)&gt;=AE205/2,20+5*(AE205/2-SUM($E205:H205))/I205,IF(SUM($E205:J205)&gt;=AE205/2,25+5*(AE205/2-SUM($E205:I205))/J205,IF(SUM($E205:K205)&gt;=AE205/2,30+5*(AE205/2-SUM($E205:J205))/K205,IF(SUM($E205:L205)&gt;=AE205/2,35+5*(AE205/2-SUM($E205:K205))/L205,IF(SUM($E205:M205)&gt;=AE205/2,40+5*(AE205/2-SUM($E205:L205))/M205,IF(SUM($E205:N205)&gt;=AE205/2,45+5*(AE205/2-SUM($E205:M205))/N205,IF(SUM($E205:O205)&gt;=AE205/2,50+5*(AE205/2-SUM($E205:N205))/O205,IF(SUM($E205:P205)&gt;=AE205/2,55+5*(AE205/2-SUM($E205:O205))/P205,IF(SUM($E205:Q205)&gt;=AE205/2,60+5*(AE205/2-SUM($E205:P205))/Q205,IF(SUM($E205:R205)&gt;=AE205/2,65+5*(AE205/2-SUM($E205:Q205))/R205,IF(SUM($E205:S205)&gt;=AE205/2,70+5*(AE205/2-SUM($E205:R205))/S205,IF(SUM($E205:T205)&gt;=AE205/2,75+5*(AE205/2-SUM($E205:S205))/T205,""))))))))))))))))</f>
        <v/>
      </c>
      <c r="AL205" s="30">
        <f>SUM(H205:Q205)</f>
        <v/>
      </c>
      <c r="AM205" s="36" t="n"/>
      <c r="AN205" s="36" t="n"/>
      <c r="AO205" s="33">
        <f>IF(AND(ISNUMBER(AN205),ISNUMBER(AM205)),(AN205-AM205)*100,"")</f>
        <v/>
      </c>
      <c r="AP205" s="30">
        <f>IF(ISNUMBER(AN205),AN205*AL205,"")</f>
        <v/>
      </c>
      <c r="AQ205" s="30">
        <f>IF(ISNUMBER(AN205),AL205,0)</f>
        <v/>
      </c>
      <c r="BB205" s="30">
        <f>IF(BA205="Yes",AX205,0)</f>
        <v/>
      </c>
      <c r="BC205" s="30">
        <f>IF(AND(BA205="Yes",ISNUMBER(AP205)),AP205,0)</f>
        <v/>
      </c>
      <c r="BD205" s="30">
        <f>IF(BA205="Yes",AX205,IF(ISNUMBER(AP205),AP205,0))</f>
        <v/>
      </c>
    </row>
    <row r="206">
      <c r="A206" s="6" t="inlineStr">
        <is>
          <t>GRL</t>
        </is>
      </c>
      <c r="B206" s="6" t="inlineStr">
        <is>
          <t>Greenland</t>
        </is>
      </c>
      <c r="C206" s="6" t="inlineStr">
        <is>
          <t>Europe &amp; Central Asia</t>
        </is>
      </c>
      <c r="D206" s="6" t="inlineStr">
        <is>
          <t>High income</t>
        </is>
      </c>
      <c r="E206" s="29" t="n">
        <v>3920</v>
      </c>
      <c r="F206" s="29" t="n">
        <v>4090</v>
      </c>
      <c r="G206" s="29" t="n">
        <v>3777</v>
      </c>
      <c r="H206" s="29" t="n">
        <v>3567</v>
      </c>
      <c r="I206" s="29" t="n">
        <v>3375</v>
      </c>
      <c r="J206" s="29" t="n">
        <v>4014</v>
      </c>
      <c r="K206" s="29" t="n">
        <v>4683</v>
      </c>
      <c r="L206" s="29" t="n">
        <v>4447</v>
      </c>
      <c r="M206" s="29" t="n">
        <v>3818</v>
      </c>
      <c r="N206" s="29" t="n">
        <v>3047</v>
      </c>
      <c r="O206" s="29" t="n">
        <v>2820</v>
      </c>
      <c r="P206" s="29" t="n">
        <v>4379</v>
      </c>
      <c r="Q206" s="29" t="n">
        <v>4343</v>
      </c>
      <c r="R206" s="29" t="n">
        <v>3078</v>
      </c>
      <c r="S206" s="29" t="n">
        <v>1766</v>
      </c>
      <c r="T206" s="29" t="n">
        <v>923</v>
      </c>
      <c r="U206" s="29" t="n">
        <v>786</v>
      </c>
      <c r="V206" s="29" t="n">
        <v>26989</v>
      </c>
      <c r="W206" s="29" t="n">
        <v>29844</v>
      </c>
      <c r="X206" s="30">
        <f>SUM(E206:G206)</f>
        <v/>
      </c>
      <c r="Y206" s="30">
        <f>SUM(H206:I206)</f>
        <v/>
      </c>
      <c r="Z206" s="30">
        <f>SUM(J206:K206)</f>
        <v/>
      </c>
      <c r="AA206" s="30">
        <f>SUM(L206:M206)</f>
        <v/>
      </c>
      <c r="AB206" s="30">
        <f>SUM(N206:O206)</f>
        <v/>
      </c>
      <c r="AC206" s="30">
        <f>SUM(P206:Q206)</f>
        <v/>
      </c>
      <c r="AD206" s="30">
        <f>SUM(R206:U206)</f>
        <v/>
      </c>
      <c r="AE206" s="31">
        <f>SUM(X206:AD206)</f>
        <v/>
      </c>
      <c r="AF206" s="32">
        <f>AE206/SUM($AE$5:$AE$222)</f>
        <v/>
      </c>
      <c r="AG206" s="10">
        <f>RANK(AE206,$AE$5:$AE$222)</f>
        <v/>
      </c>
      <c r="AH206" s="29" t="n">
        <v>56836</v>
      </c>
      <c r="AI206" s="9">
        <f>IF(AH206&gt;0,AE206/AH206-1,"")</f>
        <v/>
      </c>
      <c r="AJ206" s="35" t="n"/>
      <c r="AK206" s="19">
        <f>IF(SUM($E206:E206)&gt;=AE206/2,0+5*(AE206/2-0)/E206,IF(SUM($E206:F206)&gt;=AE206/2,5+5*(AE206/2-SUM($E206:E206))/F206,IF(SUM($E206:G206)&gt;=AE206/2,10+5*(AE206/2-SUM($E206:F206))/G206,IF(SUM($E206:H206)&gt;=AE206/2,15+5*(AE206/2-SUM($E206:G206))/H206,IF(SUM($E206:I206)&gt;=AE206/2,20+5*(AE206/2-SUM($E206:H206))/I206,IF(SUM($E206:J206)&gt;=AE206/2,25+5*(AE206/2-SUM($E206:I206))/J206,IF(SUM($E206:K206)&gt;=AE206/2,30+5*(AE206/2-SUM($E206:J206))/K206,IF(SUM($E206:L206)&gt;=AE206/2,35+5*(AE206/2-SUM($E206:K206))/L206,IF(SUM($E206:M206)&gt;=AE206/2,40+5*(AE206/2-SUM($E206:L206))/M206,IF(SUM($E206:N206)&gt;=AE206/2,45+5*(AE206/2-SUM($E206:M206))/N206,IF(SUM($E206:O206)&gt;=AE206/2,50+5*(AE206/2-SUM($E206:N206))/O206,IF(SUM($E206:P206)&gt;=AE206/2,55+5*(AE206/2-SUM($E206:O206))/P206,IF(SUM($E206:Q206)&gt;=AE206/2,60+5*(AE206/2-SUM($E206:P206))/Q206,IF(SUM($E206:R206)&gt;=AE206/2,65+5*(AE206/2-SUM($E206:Q206))/R206,IF(SUM($E206:S206)&gt;=AE206/2,70+5*(AE206/2-SUM($E206:R206))/S206,IF(SUM($E206:T206)&gt;=AE206/2,75+5*(AE206/2-SUM($E206:S206))/T206,""))))))))))))))))</f>
        <v/>
      </c>
      <c r="AL206" s="30">
        <f>SUM(H206:Q206)</f>
        <v/>
      </c>
      <c r="AM206" s="36" t="n"/>
      <c r="AN206" s="36" t="n"/>
      <c r="AO206" s="33">
        <f>IF(AND(ISNUMBER(AN206),ISNUMBER(AM206)),(AN206-AM206)*100,"")</f>
        <v/>
      </c>
      <c r="AP206" s="30">
        <f>IF(ISNUMBER(AN206),AN206*AL206,"")</f>
        <v/>
      </c>
      <c r="AQ206" s="30">
        <f>IF(ISNUMBER(AN206),AL206,0)</f>
        <v/>
      </c>
      <c r="BB206" s="30">
        <f>IF(BA206="Yes",AX206,0)</f>
        <v/>
      </c>
      <c r="BC206" s="30">
        <f>IF(AND(BA206="Yes",ISNUMBER(AP206)),AP206,0)</f>
        <v/>
      </c>
      <c r="BD206" s="30">
        <f>IF(BA206="Yes",AX206,IF(ISNUMBER(AP206),AP206,0))</f>
        <v/>
      </c>
    </row>
    <row r="207">
      <c r="A207" s="6" t="inlineStr">
        <is>
          <t>FRO</t>
        </is>
      </c>
      <c r="B207" s="6" t="inlineStr">
        <is>
          <t>Faroe Islands</t>
        </is>
      </c>
      <c r="C207" s="6" t="inlineStr">
        <is>
          <t>Europe &amp; Central Asia</t>
        </is>
      </c>
      <c r="D207" s="6" t="inlineStr">
        <is>
          <t>High income</t>
        </is>
      </c>
      <c r="E207" s="29" t="n">
        <v>3513</v>
      </c>
      <c r="F207" s="29" t="n">
        <v>3767</v>
      </c>
      <c r="G207" s="29" t="n">
        <v>3629</v>
      </c>
      <c r="H207" s="29" t="n">
        <v>3746</v>
      </c>
      <c r="I207" s="29" t="n">
        <v>3879</v>
      </c>
      <c r="J207" s="29" t="n">
        <v>3218</v>
      </c>
      <c r="K207" s="29" t="n">
        <v>3394</v>
      </c>
      <c r="L207" s="29" t="n">
        <v>3643</v>
      </c>
      <c r="M207" s="29" t="n">
        <v>3224</v>
      </c>
      <c r="N207" s="29" t="n">
        <v>3269</v>
      </c>
      <c r="O207" s="29" t="n">
        <v>3313</v>
      </c>
      <c r="P207" s="29" t="n">
        <v>3400</v>
      </c>
      <c r="Q207" s="29" t="n">
        <v>3145</v>
      </c>
      <c r="R207" s="29" t="n">
        <v>2842</v>
      </c>
      <c r="S207" s="29" t="n">
        <v>2429</v>
      </c>
      <c r="T207" s="29" t="n">
        <v>2023</v>
      </c>
      <c r="U207" s="29" t="n">
        <v>2468</v>
      </c>
      <c r="V207" s="29" t="n">
        <v>26559</v>
      </c>
      <c r="W207" s="29" t="n">
        <v>28343</v>
      </c>
      <c r="X207" s="30">
        <f>SUM(E207:G207)</f>
        <v/>
      </c>
      <c r="Y207" s="30">
        <f>SUM(H207:I207)</f>
        <v/>
      </c>
      <c r="Z207" s="30">
        <f>SUM(J207:K207)</f>
        <v/>
      </c>
      <c r="AA207" s="30">
        <f>SUM(L207:M207)</f>
        <v/>
      </c>
      <c r="AB207" s="30">
        <f>SUM(N207:O207)</f>
        <v/>
      </c>
      <c r="AC207" s="30">
        <f>SUM(P207:Q207)</f>
        <v/>
      </c>
      <c r="AD207" s="30">
        <f>SUM(R207:U207)</f>
        <v/>
      </c>
      <c r="AE207" s="31">
        <f>SUM(X207:AD207)</f>
        <v/>
      </c>
      <c r="AF207" s="32">
        <f>AE207/SUM($AE$5:$AE$222)</f>
        <v/>
      </c>
      <c r="AG207" s="10">
        <f>RANK(AE207,$AE$5:$AE$222)</f>
        <v/>
      </c>
      <c r="AH207" s="29" t="n">
        <v>54640</v>
      </c>
      <c r="AI207" s="9">
        <f>IF(AH207&gt;0,AE207/AH207-1,"")</f>
        <v/>
      </c>
      <c r="AJ207" s="29" t="n">
        <v>74175</v>
      </c>
      <c r="AK207" s="19">
        <f>IF(SUM($E207:E207)&gt;=AE207/2,0+5*(AE207/2-0)/E207,IF(SUM($E207:F207)&gt;=AE207/2,5+5*(AE207/2-SUM($E207:E207))/F207,IF(SUM($E207:G207)&gt;=AE207/2,10+5*(AE207/2-SUM($E207:F207))/G207,IF(SUM($E207:H207)&gt;=AE207/2,15+5*(AE207/2-SUM($E207:G207))/H207,IF(SUM($E207:I207)&gt;=AE207/2,20+5*(AE207/2-SUM($E207:H207))/I207,IF(SUM($E207:J207)&gt;=AE207/2,25+5*(AE207/2-SUM($E207:I207))/J207,IF(SUM($E207:K207)&gt;=AE207/2,30+5*(AE207/2-SUM($E207:J207))/K207,IF(SUM($E207:L207)&gt;=AE207/2,35+5*(AE207/2-SUM($E207:K207))/L207,IF(SUM($E207:M207)&gt;=AE207/2,40+5*(AE207/2-SUM($E207:L207))/M207,IF(SUM($E207:N207)&gt;=AE207/2,45+5*(AE207/2-SUM($E207:M207))/N207,IF(SUM($E207:O207)&gt;=AE207/2,50+5*(AE207/2-SUM($E207:N207))/O207,IF(SUM($E207:P207)&gt;=AE207/2,55+5*(AE207/2-SUM($E207:O207))/P207,IF(SUM($E207:Q207)&gt;=AE207/2,60+5*(AE207/2-SUM($E207:P207))/Q207,IF(SUM($E207:R207)&gt;=AE207/2,65+5*(AE207/2-SUM($E207:Q207))/R207,IF(SUM($E207:S207)&gt;=AE207/2,70+5*(AE207/2-SUM($E207:R207))/S207,IF(SUM($E207:T207)&gt;=AE207/2,75+5*(AE207/2-SUM($E207:S207))/T207,""))))))))))))))))</f>
        <v/>
      </c>
      <c r="AL207" s="30">
        <f>SUM(H207:Q207)</f>
        <v/>
      </c>
      <c r="AM207" s="36" t="n"/>
      <c r="AN207" s="36" t="n"/>
      <c r="AO207" s="33">
        <f>IF(AND(ISNUMBER(AN207),ISNUMBER(AM207)),(AN207-AM207)*100,"")</f>
        <v/>
      </c>
      <c r="AP207" s="30">
        <f>IF(ISNUMBER(AN207),AN207*AL207,"")</f>
        <v/>
      </c>
      <c r="AQ207" s="30">
        <f>IF(ISNUMBER(AN207),AL207,0)</f>
        <v/>
      </c>
      <c r="BB207" s="30">
        <f>IF(BA207="Yes",AX207,0)</f>
        <v/>
      </c>
      <c r="BC207" s="30">
        <f>IF(AND(BA207="Yes",ISNUMBER(AP207)),AP207,0)</f>
        <v/>
      </c>
      <c r="BD207" s="30">
        <f>IF(BA207="Yes",AX207,IF(ISNUMBER(AP207),AP207,0))</f>
        <v/>
      </c>
    </row>
    <row r="208">
      <c r="A208" s="6" t="inlineStr">
        <is>
          <t>KNA</t>
        </is>
      </c>
      <c r="B208" s="6" t="inlineStr">
        <is>
          <t>St. Kitts and Nevis</t>
        </is>
      </c>
      <c r="C208" s="6" t="inlineStr">
        <is>
          <t>Latin America &amp; Caribbean</t>
        </is>
      </c>
      <c r="D208" s="6" t="inlineStr">
        <is>
          <t>High income</t>
        </is>
      </c>
      <c r="E208" s="29" t="n">
        <v>2755</v>
      </c>
      <c r="F208" s="29" t="n">
        <v>2946</v>
      </c>
      <c r="G208" s="29" t="n">
        <v>2903</v>
      </c>
      <c r="H208" s="29" t="n">
        <v>2957</v>
      </c>
      <c r="I208" s="29" t="n">
        <v>3095</v>
      </c>
      <c r="J208" s="29" t="n">
        <v>3556</v>
      </c>
      <c r="K208" s="29" t="n">
        <v>3580</v>
      </c>
      <c r="L208" s="29" t="n">
        <v>3925</v>
      </c>
      <c r="M208" s="29" t="n">
        <v>3671</v>
      </c>
      <c r="N208" s="29" t="n">
        <v>3281</v>
      </c>
      <c r="O208" s="29" t="n">
        <v>3105</v>
      </c>
      <c r="P208" s="29" t="n">
        <v>2885</v>
      </c>
      <c r="Q208" s="29" t="n">
        <v>2765</v>
      </c>
      <c r="R208" s="29" t="n">
        <v>2462</v>
      </c>
      <c r="S208" s="29" t="n">
        <v>1522</v>
      </c>
      <c r="T208" s="29" t="n">
        <v>741</v>
      </c>
      <c r="U208" s="29" t="n">
        <v>775</v>
      </c>
      <c r="V208" s="29" t="n">
        <v>24491</v>
      </c>
      <c r="W208" s="29" t="n">
        <v>22433</v>
      </c>
      <c r="X208" s="30">
        <f>SUM(E208:G208)</f>
        <v/>
      </c>
      <c r="Y208" s="30">
        <f>SUM(H208:I208)</f>
        <v/>
      </c>
      <c r="Z208" s="30">
        <f>SUM(J208:K208)</f>
        <v/>
      </c>
      <c r="AA208" s="30">
        <f>SUM(L208:M208)</f>
        <v/>
      </c>
      <c r="AB208" s="30">
        <f>SUM(N208:O208)</f>
        <v/>
      </c>
      <c r="AC208" s="30">
        <f>SUM(P208:Q208)</f>
        <v/>
      </c>
      <c r="AD208" s="30">
        <f>SUM(R208:U208)</f>
        <v/>
      </c>
      <c r="AE208" s="31">
        <f>SUM(X208:AD208)</f>
        <v/>
      </c>
      <c r="AF208" s="32">
        <f>AE208/SUM($AE$5:$AE$222)</f>
        <v/>
      </c>
      <c r="AG208" s="10">
        <f>RANK(AE208,$AE$5:$AE$222)</f>
        <v/>
      </c>
      <c r="AH208" s="29" t="n">
        <v>46843</v>
      </c>
      <c r="AI208" s="9">
        <f>IF(AH208&gt;0,AE208/AH208-1,"")</f>
        <v/>
      </c>
      <c r="AJ208" s="29" t="n">
        <v>25223</v>
      </c>
      <c r="AK208" s="19">
        <f>IF(SUM($E208:E208)&gt;=AE208/2,0+5*(AE208/2-0)/E208,IF(SUM($E208:F208)&gt;=AE208/2,5+5*(AE208/2-SUM($E208:E208))/F208,IF(SUM($E208:G208)&gt;=AE208/2,10+5*(AE208/2-SUM($E208:F208))/G208,IF(SUM($E208:H208)&gt;=AE208/2,15+5*(AE208/2-SUM($E208:G208))/H208,IF(SUM($E208:I208)&gt;=AE208/2,20+5*(AE208/2-SUM($E208:H208))/I208,IF(SUM($E208:J208)&gt;=AE208/2,25+5*(AE208/2-SUM($E208:I208))/J208,IF(SUM($E208:K208)&gt;=AE208/2,30+5*(AE208/2-SUM($E208:J208))/K208,IF(SUM($E208:L208)&gt;=AE208/2,35+5*(AE208/2-SUM($E208:K208))/L208,IF(SUM($E208:M208)&gt;=AE208/2,40+5*(AE208/2-SUM($E208:L208))/M208,IF(SUM($E208:N208)&gt;=AE208/2,45+5*(AE208/2-SUM($E208:M208))/N208,IF(SUM($E208:O208)&gt;=AE208/2,50+5*(AE208/2-SUM($E208:N208))/O208,IF(SUM($E208:P208)&gt;=AE208/2,55+5*(AE208/2-SUM($E208:O208))/P208,IF(SUM($E208:Q208)&gt;=AE208/2,60+5*(AE208/2-SUM($E208:P208))/Q208,IF(SUM($E208:R208)&gt;=AE208/2,65+5*(AE208/2-SUM($E208:Q208))/R208,IF(SUM($E208:S208)&gt;=AE208/2,70+5*(AE208/2-SUM($E208:R208))/S208,IF(SUM($E208:T208)&gt;=AE208/2,75+5*(AE208/2-SUM($E208:S208))/T208,""))))))))))))))))</f>
        <v/>
      </c>
      <c r="AL208" s="30">
        <f>SUM(H208:Q208)</f>
        <v/>
      </c>
      <c r="AM208" s="36" t="n"/>
      <c r="AN208" s="36" t="n"/>
      <c r="AO208" s="33">
        <f>IF(AND(ISNUMBER(AN208),ISNUMBER(AM208)),(AN208-AM208)*100,"")</f>
        <v/>
      </c>
      <c r="AP208" s="30">
        <f>IF(ISNUMBER(AN208),AN208*AL208,"")</f>
        <v/>
      </c>
      <c r="AQ208" s="30">
        <f>IF(ISNUMBER(AN208),AL208,0)</f>
        <v/>
      </c>
      <c r="BB208" s="30">
        <f>IF(BA208="Yes",AX208,0)</f>
        <v/>
      </c>
      <c r="BC208" s="30">
        <f>IF(AND(BA208="Yes",ISNUMBER(AP208)),AP208,0)</f>
        <v/>
      </c>
      <c r="BD208" s="30">
        <f>IF(BA208="Yes",AX208,IF(ISNUMBER(AP208),AP208,0))</f>
        <v/>
      </c>
    </row>
    <row r="209">
      <c r="A209" s="6" t="inlineStr">
        <is>
          <t>TCA</t>
        </is>
      </c>
      <c r="B209" s="6" t="inlineStr">
        <is>
          <t>Turks and Caicos Islands</t>
        </is>
      </c>
      <c r="C209" s="6" t="inlineStr">
        <is>
          <t>Latin America &amp; Caribbean</t>
        </is>
      </c>
      <c r="D209" s="6" t="inlineStr">
        <is>
          <t>High income</t>
        </is>
      </c>
      <c r="E209" s="29" t="n">
        <v>2532</v>
      </c>
      <c r="F209" s="29" t="n">
        <v>2617</v>
      </c>
      <c r="G209" s="29" t="n">
        <v>2336</v>
      </c>
      <c r="H209" s="29" t="n">
        <v>2614</v>
      </c>
      <c r="I209" s="29" t="n">
        <v>2675</v>
      </c>
      <c r="J209" s="29" t="n">
        <v>3196</v>
      </c>
      <c r="K209" s="29" t="n">
        <v>3401</v>
      </c>
      <c r="L209" s="29" t="n">
        <v>3907</v>
      </c>
      <c r="M209" s="29" t="n">
        <v>4205</v>
      </c>
      <c r="N209" s="29" t="n">
        <v>4141</v>
      </c>
      <c r="O209" s="29" t="n">
        <v>3814</v>
      </c>
      <c r="P209" s="29" t="n">
        <v>3233</v>
      </c>
      <c r="Q209" s="29" t="n">
        <v>2713</v>
      </c>
      <c r="R209" s="29" t="n">
        <v>2012</v>
      </c>
      <c r="S209" s="29" t="n">
        <v>1455</v>
      </c>
      <c r="T209" s="29" t="n">
        <v>919</v>
      </c>
      <c r="U209" s="29" t="n">
        <v>1086</v>
      </c>
      <c r="V209" s="29" t="n">
        <v>23415</v>
      </c>
      <c r="W209" s="29" t="n">
        <v>23441</v>
      </c>
      <c r="X209" s="30">
        <f>SUM(E209:G209)</f>
        <v/>
      </c>
      <c r="Y209" s="30">
        <f>SUM(H209:I209)</f>
        <v/>
      </c>
      <c r="Z209" s="30">
        <f>SUM(J209:K209)</f>
        <v/>
      </c>
      <c r="AA209" s="30">
        <f>SUM(L209:M209)</f>
        <v/>
      </c>
      <c r="AB209" s="30">
        <f>SUM(N209:O209)</f>
        <v/>
      </c>
      <c r="AC209" s="30">
        <f>SUM(P209:Q209)</f>
        <v/>
      </c>
      <c r="AD209" s="30">
        <f>SUM(R209:U209)</f>
        <v/>
      </c>
      <c r="AE209" s="31">
        <f>SUM(X209:AD209)</f>
        <v/>
      </c>
      <c r="AF209" s="32">
        <f>AE209/SUM($AE$5:$AE$222)</f>
        <v/>
      </c>
      <c r="AG209" s="10">
        <f>RANK(AE209,$AE$5:$AE$222)</f>
        <v/>
      </c>
      <c r="AH209" s="29" t="n">
        <v>46535</v>
      </c>
      <c r="AI209" s="9">
        <f>IF(AH209&gt;0,AE209/AH209-1,"")</f>
        <v/>
      </c>
      <c r="AJ209" s="29" t="n">
        <v>37507</v>
      </c>
      <c r="AK209" s="19">
        <f>IF(SUM($E209:E209)&gt;=AE209/2,0+5*(AE209/2-0)/E209,IF(SUM($E209:F209)&gt;=AE209/2,5+5*(AE209/2-SUM($E209:E209))/F209,IF(SUM($E209:G209)&gt;=AE209/2,10+5*(AE209/2-SUM($E209:F209))/G209,IF(SUM($E209:H209)&gt;=AE209/2,15+5*(AE209/2-SUM($E209:G209))/H209,IF(SUM($E209:I209)&gt;=AE209/2,20+5*(AE209/2-SUM($E209:H209))/I209,IF(SUM($E209:J209)&gt;=AE209/2,25+5*(AE209/2-SUM($E209:I209))/J209,IF(SUM($E209:K209)&gt;=AE209/2,30+5*(AE209/2-SUM($E209:J209))/K209,IF(SUM($E209:L209)&gt;=AE209/2,35+5*(AE209/2-SUM($E209:K209))/L209,IF(SUM($E209:M209)&gt;=AE209/2,40+5*(AE209/2-SUM($E209:L209))/M209,IF(SUM($E209:N209)&gt;=AE209/2,45+5*(AE209/2-SUM($E209:M209))/N209,IF(SUM($E209:O209)&gt;=AE209/2,50+5*(AE209/2-SUM($E209:N209))/O209,IF(SUM($E209:P209)&gt;=AE209/2,55+5*(AE209/2-SUM($E209:O209))/P209,IF(SUM($E209:Q209)&gt;=AE209/2,60+5*(AE209/2-SUM($E209:P209))/Q209,IF(SUM($E209:R209)&gt;=AE209/2,65+5*(AE209/2-SUM($E209:Q209))/R209,IF(SUM($E209:S209)&gt;=AE209/2,70+5*(AE209/2-SUM($E209:R209))/S209,IF(SUM($E209:T209)&gt;=AE209/2,75+5*(AE209/2-SUM($E209:S209))/T209,""))))))))))))))))</f>
        <v/>
      </c>
      <c r="AL209" s="30">
        <f>SUM(H209:Q209)</f>
        <v/>
      </c>
      <c r="AM209" s="36" t="n"/>
      <c r="AN209" s="36" t="n"/>
      <c r="AO209" s="33">
        <f>IF(AND(ISNUMBER(AN209),ISNUMBER(AM209)),(AN209-AM209)*100,"")</f>
        <v/>
      </c>
      <c r="AP209" s="30">
        <f>IF(ISNUMBER(AN209),AN209*AL209,"")</f>
        <v/>
      </c>
      <c r="AQ209" s="30">
        <f>IF(ISNUMBER(AN209),AL209,0)</f>
        <v/>
      </c>
      <c r="BB209" s="30">
        <f>IF(BA209="Yes",AX209,0)</f>
        <v/>
      </c>
      <c r="BC209" s="30">
        <f>IF(AND(BA209="Yes",ISNUMBER(AP209)),AP209,0)</f>
        <v/>
      </c>
      <c r="BD209" s="30">
        <f>IF(BA209="Yes",AX209,IF(ISNUMBER(AP209),AP209,0))</f>
        <v/>
      </c>
    </row>
    <row r="210">
      <c r="A210" s="6" t="inlineStr">
        <is>
          <t>ASM</t>
        </is>
      </c>
      <c r="B210" s="6" t="inlineStr">
        <is>
          <t>American Samoa</t>
        </is>
      </c>
      <c r="C210" s="6" t="inlineStr">
        <is>
          <t>East Asia &amp; Pacific</t>
        </is>
      </c>
      <c r="D210" s="6" t="inlineStr">
        <is>
          <t>High income</t>
        </is>
      </c>
      <c r="E210" s="29" t="n">
        <v>3395</v>
      </c>
      <c r="F210" s="29" t="n">
        <v>4182</v>
      </c>
      <c r="G210" s="29" t="n">
        <v>4551</v>
      </c>
      <c r="H210" s="29" t="n">
        <v>4657</v>
      </c>
      <c r="I210" s="29" t="n">
        <v>3916</v>
      </c>
      <c r="J210" s="29" t="n">
        <v>2334</v>
      </c>
      <c r="K210" s="29" t="n">
        <v>2674</v>
      </c>
      <c r="L210" s="29" t="n">
        <v>2722</v>
      </c>
      <c r="M210" s="29" t="n">
        <v>2693</v>
      </c>
      <c r="N210" s="29" t="n">
        <v>2947</v>
      </c>
      <c r="O210" s="29" t="n">
        <v>2894</v>
      </c>
      <c r="P210" s="29" t="n">
        <v>2812</v>
      </c>
      <c r="Q210" s="29" t="n">
        <v>2324</v>
      </c>
      <c r="R210" s="29" t="n">
        <v>1682</v>
      </c>
      <c r="S210" s="29" t="n">
        <v>1093</v>
      </c>
      <c r="T210" s="29" t="n">
        <v>661</v>
      </c>
      <c r="U210" s="29" t="n">
        <v>495</v>
      </c>
      <c r="V210" s="29" t="n">
        <v>22825</v>
      </c>
      <c r="W210" s="29" t="n">
        <v>23207</v>
      </c>
      <c r="X210" s="30">
        <f>SUM(E210:G210)</f>
        <v/>
      </c>
      <c r="Y210" s="30">
        <f>SUM(H210:I210)</f>
        <v/>
      </c>
      <c r="Z210" s="30">
        <f>SUM(J210:K210)</f>
        <v/>
      </c>
      <c r="AA210" s="30">
        <f>SUM(L210:M210)</f>
        <v/>
      </c>
      <c r="AB210" s="30">
        <f>SUM(N210:O210)</f>
        <v/>
      </c>
      <c r="AC210" s="30">
        <f>SUM(P210:Q210)</f>
        <v/>
      </c>
      <c r="AD210" s="30">
        <f>SUM(R210:U210)</f>
        <v/>
      </c>
      <c r="AE210" s="31">
        <f>SUM(X210:AD210)</f>
        <v/>
      </c>
      <c r="AF210" s="32">
        <f>AE210/SUM($AE$5:$AE$222)</f>
        <v/>
      </c>
      <c r="AG210" s="10">
        <f>RANK(AE210,$AE$5:$AE$222)</f>
        <v/>
      </c>
      <c r="AH210" s="29" t="n">
        <v>46765</v>
      </c>
      <c r="AI210" s="9">
        <f>IF(AH210&gt;0,AE210/AH210-1,"")</f>
        <v/>
      </c>
      <c r="AJ210" s="35" t="n"/>
      <c r="AK210" s="19">
        <f>IF(SUM($E210:E210)&gt;=AE210/2,0+5*(AE210/2-0)/E210,IF(SUM($E210:F210)&gt;=AE210/2,5+5*(AE210/2-SUM($E210:E210))/F210,IF(SUM($E210:G210)&gt;=AE210/2,10+5*(AE210/2-SUM($E210:F210))/G210,IF(SUM($E210:H210)&gt;=AE210/2,15+5*(AE210/2-SUM($E210:G210))/H210,IF(SUM($E210:I210)&gt;=AE210/2,20+5*(AE210/2-SUM($E210:H210))/I210,IF(SUM($E210:J210)&gt;=AE210/2,25+5*(AE210/2-SUM($E210:I210))/J210,IF(SUM($E210:K210)&gt;=AE210/2,30+5*(AE210/2-SUM($E210:J210))/K210,IF(SUM($E210:L210)&gt;=AE210/2,35+5*(AE210/2-SUM($E210:K210))/L210,IF(SUM($E210:M210)&gt;=AE210/2,40+5*(AE210/2-SUM($E210:L210))/M210,IF(SUM($E210:N210)&gt;=AE210/2,45+5*(AE210/2-SUM($E210:M210))/N210,IF(SUM($E210:O210)&gt;=AE210/2,50+5*(AE210/2-SUM($E210:N210))/O210,IF(SUM($E210:P210)&gt;=AE210/2,55+5*(AE210/2-SUM($E210:O210))/P210,IF(SUM($E210:Q210)&gt;=AE210/2,60+5*(AE210/2-SUM($E210:P210))/Q210,IF(SUM($E210:R210)&gt;=AE210/2,65+5*(AE210/2-SUM($E210:Q210))/R210,IF(SUM($E210:S210)&gt;=AE210/2,70+5*(AE210/2-SUM($E210:R210))/S210,IF(SUM($E210:T210)&gt;=AE210/2,75+5*(AE210/2-SUM($E210:S210))/T210,""))))))))))))))))</f>
        <v/>
      </c>
      <c r="AL210" s="30">
        <f>SUM(H210:Q210)</f>
        <v/>
      </c>
      <c r="AM210" s="36" t="n"/>
      <c r="AN210" s="36" t="n"/>
      <c r="AO210" s="33">
        <f>IF(AND(ISNUMBER(AN210),ISNUMBER(AM210)),(AN210-AM210)*100,"")</f>
        <v/>
      </c>
      <c r="AP210" s="30">
        <f>IF(ISNUMBER(AN210),AN210*AL210,"")</f>
        <v/>
      </c>
      <c r="AQ210" s="30">
        <f>IF(ISNUMBER(AN210),AL210,0)</f>
        <v/>
      </c>
      <c r="BB210" s="30">
        <f>IF(BA210="Yes",AX210,0)</f>
        <v/>
      </c>
      <c r="BC210" s="30">
        <f>IF(AND(BA210="Yes",ISNUMBER(AP210)),AP210,0)</f>
        <v/>
      </c>
      <c r="BD210" s="30">
        <f>IF(BA210="Yes",AX210,IF(ISNUMBER(AP210),AP210,0))</f>
        <v/>
      </c>
    </row>
    <row r="211">
      <c r="A211" s="6" t="inlineStr">
        <is>
          <t>SXM</t>
        </is>
      </c>
      <c r="B211" s="6" t="inlineStr">
        <is>
          <t>Sint Maarten (Dutch part)</t>
        </is>
      </c>
      <c r="C211" s="6" t="inlineStr">
        <is>
          <t>Latin America &amp; Caribbean</t>
        </is>
      </c>
      <c r="D211" s="6" t="inlineStr">
        <is>
          <t>High income</t>
        </is>
      </c>
      <c r="E211" s="29" t="n">
        <v>1934</v>
      </c>
      <c r="F211" s="29" t="n">
        <v>1983</v>
      </c>
      <c r="G211" s="29" t="n">
        <v>2586</v>
      </c>
      <c r="H211" s="29" t="n">
        <v>2832</v>
      </c>
      <c r="I211" s="29" t="n">
        <v>2504</v>
      </c>
      <c r="J211" s="29" t="n">
        <v>2399</v>
      </c>
      <c r="K211" s="29" t="n">
        <v>2751</v>
      </c>
      <c r="L211" s="29" t="n">
        <v>3119</v>
      </c>
      <c r="M211" s="29" t="n">
        <v>3238</v>
      </c>
      <c r="N211" s="29" t="n">
        <v>3343</v>
      </c>
      <c r="O211" s="29" t="n">
        <v>3587</v>
      </c>
      <c r="P211" s="29" t="n">
        <v>3834</v>
      </c>
      <c r="Q211" s="29" t="n">
        <v>3455</v>
      </c>
      <c r="R211" s="29" t="n">
        <v>2519</v>
      </c>
      <c r="S211" s="29" t="n">
        <v>1902</v>
      </c>
      <c r="T211" s="29" t="n">
        <v>1167</v>
      </c>
      <c r="U211" s="29" t="n">
        <v>771</v>
      </c>
      <c r="V211" s="29" t="n">
        <v>22579</v>
      </c>
      <c r="W211" s="29" t="n">
        <v>21345</v>
      </c>
      <c r="X211" s="30">
        <f>SUM(E211:G211)</f>
        <v/>
      </c>
      <c r="Y211" s="30">
        <f>SUM(H211:I211)</f>
        <v/>
      </c>
      <c r="Z211" s="30">
        <f>SUM(J211:K211)</f>
        <v/>
      </c>
      <c r="AA211" s="30">
        <f>SUM(L211:M211)</f>
        <v/>
      </c>
      <c r="AB211" s="30">
        <f>SUM(N211:O211)</f>
        <v/>
      </c>
      <c r="AC211" s="30">
        <f>SUM(P211:Q211)</f>
        <v/>
      </c>
      <c r="AD211" s="30">
        <f>SUM(R211:U211)</f>
        <v/>
      </c>
      <c r="AE211" s="31">
        <f>SUM(X211:AD211)</f>
        <v/>
      </c>
      <c r="AF211" s="32">
        <f>AE211/SUM($AE$5:$AE$222)</f>
        <v/>
      </c>
      <c r="AG211" s="10">
        <f>RANK(AE211,$AE$5:$AE$222)</f>
        <v/>
      </c>
      <c r="AH211" s="29" t="n">
        <v>43350</v>
      </c>
      <c r="AI211" s="9">
        <f>IF(AH211&gt;0,AE211/AH211-1,"")</f>
        <v/>
      </c>
      <c r="AJ211" s="29" t="n">
        <v>42978</v>
      </c>
      <c r="AK211" s="19">
        <f>IF(SUM($E211:E211)&gt;=AE211/2,0+5*(AE211/2-0)/E211,IF(SUM($E211:F211)&gt;=AE211/2,5+5*(AE211/2-SUM($E211:E211))/F211,IF(SUM($E211:G211)&gt;=AE211/2,10+5*(AE211/2-SUM($E211:F211))/G211,IF(SUM($E211:H211)&gt;=AE211/2,15+5*(AE211/2-SUM($E211:G211))/H211,IF(SUM($E211:I211)&gt;=AE211/2,20+5*(AE211/2-SUM($E211:H211))/I211,IF(SUM($E211:J211)&gt;=AE211/2,25+5*(AE211/2-SUM($E211:I211))/J211,IF(SUM($E211:K211)&gt;=AE211/2,30+5*(AE211/2-SUM($E211:J211))/K211,IF(SUM($E211:L211)&gt;=AE211/2,35+5*(AE211/2-SUM($E211:K211))/L211,IF(SUM($E211:M211)&gt;=AE211/2,40+5*(AE211/2-SUM($E211:L211))/M211,IF(SUM($E211:N211)&gt;=AE211/2,45+5*(AE211/2-SUM($E211:M211))/N211,IF(SUM($E211:O211)&gt;=AE211/2,50+5*(AE211/2-SUM($E211:N211))/O211,IF(SUM($E211:P211)&gt;=AE211/2,55+5*(AE211/2-SUM($E211:O211))/P211,IF(SUM($E211:Q211)&gt;=AE211/2,60+5*(AE211/2-SUM($E211:P211))/Q211,IF(SUM($E211:R211)&gt;=AE211/2,65+5*(AE211/2-SUM($E211:Q211))/R211,IF(SUM($E211:S211)&gt;=AE211/2,70+5*(AE211/2-SUM($E211:R211))/S211,IF(SUM($E211:T211)&gt;=AE211/2,75+5*(AE211/2-SUM($E211:S211))/T211,""))))))))))))))))</f>
        <v/>
      </c>
      <c r="AL211" s="30">
        <f>SUM(H211:Q211)</f>
        <v/>
      </c>
      <c r="AM211" s="36" t="n"/>
      <c r="AN211" s="36" t="n"/>
      <c r="AO211" s="33">
        <f>IF(AND(ISNUMBER(AN211),ISNUMBER(AM211)),(AN211-AM211)*100,"")</f>
        <v/>
      </c>
      <c r="AP211" s="30">
        <f>IF(ISNUMBER(AN211),AN211*AL211,"")</f>
        <v/>
      </c>
      <c r="AQ211" s="30">
        <f>IF(ISNUMBER(AN211),AL211,0)</f>
        <v/>
      </c>
      <c r="BB211" s="30">
        <f>IF(BA211="Yes",AX211,0)</f>
        <v/>
      </c>
      <c r="BC211" s="30">
        <f>IF(AND(BA211="Yes",ISNUMBER(AP211)),AP211,0)</f>
        <v/>
      </c>
      <c r="BD211" s="30">
        <f>IF(BA211="Yes",AX211,IF(ISNUMBER(AP211),AP211,0))</f>
        <v/>
      </c>
    </row>
    <row r="212">
      <c r="A212" s="6" t="inlineStr">
        <is>
          <t>MNP</t>
        </is>
      </c>
      <c r="B212" s="6" t="inlineStr">
        <is>
          <t>Northern Mariana Islands</t>
        </is>
      </c>
      <c r="C212" s="6" t="inlineStr">
        <is>
          <t>East Asia &amp; Pacific</t>
        </is>
      </c>
      <c r="D212" s="6" t="inlineStr">
        <is>
          <t>High income</t>
        </is>
      </c>
      <c r="E212" s="29" t="n">
        <v>2750</v>
      </c>
      <c r="F212" s="29" t="n">
        <v>2966</v>
      </c>
      <c r="G212" s="29" t="n">
        <v>3527</v>
      </c>
      <c r="H212" s="29" t="n">
        <v>3868</v>
      </c>
      <c r="I212" s="29" t="n">
        <v>2933</v>
      </c>
      <c r="J212" s="29" t="n">
        <v>1777</v>
      </c>
      <c r="K212" s="29" t="n">
        <v>2125</v>
      </c>
      <c r="L212" s="29" t="n">
        <v>2317</v>
      </c>
      <c r="M212" s="29" t="n">
        <v>2611</v>
      </c>
      <c r="N212" s="29" t="n">
        <v>3147</v>
      </c>
      <c r="O212" s="29" t="n">
        <v>3679</v>
      </c>
      <c r="P212" s="29" t="n">
        <v>3922</v>
      </c>
      <c r="Q212" s="29" t="n">
        <v>3225</v>
      </c>
      <c r="R212" s="29" t="n">
        <v>2362</v>
      </c>
      <c r="S212" s="29" t="n">
        <v>1310</v>
      </c>
      <c r="T212" s="29" t="n">
        <v>633</v>
      </c>
      <c r="U212" s="29" t="n">
        <v>394</v>
      </c>
      <c r="V212" s="29" t="n">
        <v>20507</v>
      </c>
      <c r="W212" s="29" t="n">
        <v>23039</v>
      </c>
      <c r="X212" s="30">
        <f>SUM(E212:G212)</f>
        <v/>
      </c>
      <c r="Y212" s="30">
        <f>SUM(H212:I212)</f>
        <v/>
      </c>
      <c r="Z212" s="30">
        <f>SUM(J212:K212)</f>
        <v/>
      </c>
      <c r="AA212" s="30">
        <f>SUM(L212:M212)</f>
        <v/>
      </c>
      <c r="AB212" s="30">
        <f>SUM(N212:O212)</f>
        <v/>
      </c>
      <c r="AC212" s="30">
        <f>SUM(P212:Q212)</f>
        <v/>
      </c>
      <c r="AD212" s="30">
        <f>SUM(R212:U212)</f>
        <v/>
      </c>
      <c r="AE212" s="31">
        <f>SUM(X212:AD212)</f>
        <v/>
      </c>
      <c r="AF212" s="32">
        <f>AE212/SUM($AE$5:$AE$222)</f>
        <v/>
      </c>
      <c r="AG212" s="10">
        <f>RANK(AE212,$AE$5:$AE$222)</f>
        <v/>
      </c>
      <c r="AH212" s="29" t="n">
        <v>44278</v>
      </c>
      <c r="AI212" s="9">
        <f>IF(AH212&gt;0,AE212/AH212-1,"")</f>
        <v/>
      </c>
      <c r="AJ212" s="35" t="n"/>
      <c r="AK212" s="19">
        <f>IF(SUM($E212:E212)&gt;=AE212/2,0+5*(AE212/2-0)/E212,IF(SUM($E212:F212)&gt;=AE212/2,5+5*(AE212/2-SUM($E212:E212))/F212,IF(SUM($E212:G212)&gt;=AE212/2,10+5*(AE212/2-SUM($E212:F212))/G212,IF(SUM($E212:H212)&gt;=AE212/2,15+5*(AE212/2-SUM($E212:G212))/H212,IF(SUM($E212:I212)&gt;=AE212/2,20+5*(AE212/2-SUM($E212:H212))/I212,IF(SUM($E212:J212)&gt;=AE212/2,25+5*(AE212/2-SUM($E212:I212))/J212,IF(SUM($E212:K212)&gt;=AE212/2,30+5*(AE212/2-SUM($E212:J212))/K212,IF(SUM($E212:L212)&gt;=AE212/2,35+5*(AE212/2-SUM($E212:K212))/L212,IF(SUM($E212:M212)&gt;=AE212/2,40+5*(AE212/2-SUM($E212:L212))/M212,IF(SUM($E212:N212)&gt;=AE212/2,45+5*(AE212/2-SUM($E212:M212))/N212,IF(SUM($E212:O212)&gt;=AE212/2,50+5*(AE212/2-SUM($E212:N212))/O212,IF(SUM($E212:P212)&gt;=AE212/2,55+5*(AE212/2-SUM($E212:O212))/P212,IF(SUM($E212:Q212)&gt;=AE212/2,60+5*(AE212/2-SUM($E212:P212))/Q212,IF(SUM($E212:R212)&gt;=AE212/2,65+5*(AE212/2-SUM($E212:Q212))/R212,IF(SUM($E212:S212)&gt;=AE212/2,70+5*(AE212/2-SUM($E212:R212))/S212,IF(SUM($E212:T212)&gt;=AE212/2,75+5*(AE212/2-SUM($E212:S212))/T212,""))))))))))))))))</f>
        <v/>
      </c>
      <c r="AL212" s="30">
        <f>SUM(H212:Q212)</f>
        <v/>
      </c>
      <c r="AM212" s="36" t="n"/>
      <c r="AN212" s="36" t="n"/>
      <c r="AO212" s="33">
        <f>IF(AND(ISNUMBER(AN212),ISNUMBER(AM212)),(AN212-AM212)*100,"")</f>
        <v/>
      </c>
      <c r="AP212" s="30">
        <f>IF(ISNUMBER(AN212),AN212*AL212,"")</f>
        <v/>
      </c>
      <c r="AQ212" s="30">
        <f>IF(ISNUMBER(AN212),AL212,0)</f>
        <v/>
      </c>
      <c r="BB212" s="30">
        <f>IF(BA212="Yes",AX212,0)</f>
        <v/>
      </c>
      <c r="BC212" s="30">
        <f>IF(AND(BA212="Yes",ISNUMBER(AP212)),AP212,0)</f>
        <v/>
      </c>
      <c r="BD212" s="30">
        <f>IF(BA212="Yes",AX212,IF(ISNUMBER(AP212),AP212,0))</f>
        <v/>
      </c>
    </row>
    <row r="213">
      <c r="A213" s="6" t="inlineStr">
        <is>
          <t>LIE</t>
        </is>
      </c>
      <c r="B213" s="6" t="inlineStr">
        <is>
          <t>Liechtenstein</t>
        </is>
      </c>
      <c r="C213" s="6" t="inlineStr">
        <is>
          <t>Europe &amp; Central Asia</t>
        </is>
      </c>
      <c r="D213" s="6" t="inlineStr">
        <is>
          <t>High income</t>
        </is>
      </c>
      <c r="E213" s="29" t="n">
        <v>1924</v>
      </c>
      <c r="F213" s="29" t="n">
        <v>1970</v>
      </c>
      <c r="G213" s="29" t="n">
        <v>1943</v>
      </c>
      <c r="H213" s="29" t="n">
        <v>2040</v>
      </c>
      <c r="I213" s="29" t="n">
        <v>2214</v>
      </c>
      <c r="J213" s="29" t="n">
        <v>2395</v>
      </c>
      <c r="K213" s="29" t="n">
        <v>2494</v>
      </c>
      <c r="L213" s="29" t="n">
        <v>2605</v>
      </c>
      <c r="M213" s="29" t="n">
        <v>2640</v>
      </c>
      <c r="N213" s="29" t="n">
        <v>2656</v>
      </c>
      <c r="O213" s="29" t="n">
        <v>2951</v>
      </c>
      <c r="P213" s="29" t="n">
        <v>3251</v>
      </c>
      <c r="Q213" s="29" t="n">
        <v>3176</v>
      </c>
      <c r="R213" s="29" t="n">
        <v>2674</v>
      </c>
      <c r="S213" s="29" t="n">
        <v>2126</v>
      </c>
      <c r="T213" s="29" t="n">
        <v>1766</v>
      </c>
      <c r="U213" s="29" t="n">
        <v>2203</v>
      </c>
      <c r="V213" s="29" t="n">
        <v>20636</v>
      </c>
      <c r="W213" s="29" t="n">
        <v>20392</v>
      </c>
      <c r="X213" s="30">
        <f>SUM(E213:G213)</f>
        <v/>
      </c>
      <c r="Y213" s="30">
        <f>SUM(H213:I213)</f>
        <v/>
      </c>
      <c r="Z213" s="30">
        <f>SUM(J213:K213)</f>
        <v/>
      </c>
      <c r="AA213" s="30">
        <f>SUM(L213:M213)</f>
        <v/>
      </c>
      <c r="AB213" s="30">
        <f>SUM(N213:O213)</f>
        <v/>
      </c>
      <c r="AC213" s="30">
        <f>SUM(P213:Q213)</f>
        <v/>
      </c>
      <c r="AD213" s="30">
        <f>SUM(R213:U213)</f>
        <v/>
      </c>
      <c r="AE213" s="31">
        <f>SUM(X213:AD213)</f>
        <v/>
      </c>
      <c r="AF213" s="32">
        <f>AE213/SUM($AE$5:$AE$222)</f>
        <v/>
      </c>
      <c r="AG213" s="10">
        <f>RANK(AE213,$AE$5:$AE$222)</f>
        <v/>
      </c>
      <c r="AH213" s="29" t="n">
        <v>40450</v>
      </c>
      <c r="AI213" s="9">
        <f>IF(AH213&gt;0,AE213/AH213-1,"")</f>
        <v/>
      </c>
      <c r="AJ213" s="29" t="n">
        <v>220167</v>
      </c>
      <c r="AK213" s="19">
        <f>IF(SUM($E213:E213)&gt;=AE213/2,0+5*(AE213/2-0)/E213,IF(SUM($E213:F213)&gt;=AE213/2,5+5*(AE213/2-SUM($E213:E213))/F213,IF(SUM($E213:G213)&gt;=AE213/2,10+5*(AE213/2-SUM($E213:F213))/G213,IF(SUM($E213:H213)&gt;=AE213/2,15+5*(AE213/2-SUM($E213:G213))/H213,IF(SUM($E213:I213)&gt;=AE213/2,20+5*(AE213/2-SUM($E213:H213))/I213,IF(SUM($E213:J213)&gt;=AE213/2,25+5*(AE213/2-SUM($E213:I213))/J213,IF(SUM($E213:K213)&gt;=AE213/2,30+5*(AE213/2-SUM($E213:J213))/K213,IF(SUM($E213:L213)&gt;=AE213/2,35+5*(AE213/2-SUM($E213:K213))/L213,IF(SUM($E213:M213)&gt;=AE213/2,40+5*(AE213/2-SUM($E213:L213))/M213,IF(SUM($E213:N213)&gt;=AE213/2,45+5*(AE213/2-SUM($E213:M213))/N213,IF(SUM($E213:O213)&gt;=AE213/2,50+5*(AE213/2-SUM($E213:N213))/O213,IF(SUM($E213:P213)&gt;=AE213/2,55+5*(AE213/2-SUM($E213:O213))/P213,IF(SUM($E213:Q213)&gt;=AE213/2,60+5*(AE213/2-SUM($E213:P213))/Q213,IF(SUM($E213:R213)&gt;=AE213/2,65+5*(AE213/2-SUM($E213:Q213))/R213,IF(SUM($E213:S213)&gt;=AE213/2,70+5*(AE213/2-SUM($E213:R213))/S213,IF(SUM($E213:T213)&gt;=AE213/2,75+5*(AE213/2-SUM($E213:S213))/T213,""))))))))))))))))</f>
        <v/>
      </c>
      <c r="AL213" s="30">
        <f>SUM(H213:Q213)</f>
        <v/>
      </c>
      <c r="AM213" s="36" t="n"/>
      <c r="AN213" s="36" t="n"/>
      <c r="AO213" s="33">
        <f>IF(AND(ISNUMBER(AN213),ISNUMBER(AM213)),(AN213-AM213)*100,"")</f>
        <v/>
      </c>
      <c r="AP213" s="30">
        <f>IF(ISNUMBER(AN213),AN213*AL213,"")</f>
        <v/>
      </c>
      <c r="AQ213" s="30">
        <f>IF(ISNUMBER(AN213),AL213,0)</f>
        <v/>
      </c>
      <c r="BB213" s="30">
        <f>IF(BA213="Yes",AX213,0)</f>
        <v/>
      </c>
      <c r="BC213" s="30">
        <f>IF(AND(BA213="Yes",ISNUMBER(AP213)),AP213,0)</f>
        <v/>
      </c>
      <c r="BD213" s="30">
        <f>IF(BA213="Yes",AX213,IF(ISNUMBER(AP213),AP213,0))</f>
        <v/>
      </c>
    </row>
    <row r="214">
      <c r="A214" s="6" t="inlineStr">
        <is>
          <t>GIB</t>
        </is>
      </c>
      <c r="B214" s="6" t="inlineStr">
        <is>
          <t>Gibraltar</t>
        </is>
      </c>
      <c r="C214" s="6" t="inlineStr">
        <is>
          <t>Europe &amp; Central Asia</t>
        </is>
      </c>
      <c r="D214" s="6" t="inlineStr">
        <is>
          <t>High income</t>
        </is>
      </c>
      <c r="E214" s="29" t="n">
        <v>2426</v>
      </c>
      <c r="F214" s="29" t="n">
        <v>2240</v>
      </c>
      <c r="G214" s="29" t="n">
        <v>2390</v>
      </c>
      <c r="H214" s="29" t="n">
        <v>2428</v>
      </c>
      <c r="I214" s="29" t="n">
        <v>2591</v>
      </c>
      <c r="J214" s="29" t="n">
        <v>2670</v>
      </c>
      <c r="K214" s="29" t="n">
        <v>2779</v>
      </c>
      <c r="L214" s="29" t="n">
        <v>2641</v>
      </c>
      <c r="M214" s="29" t="n">
        <v>2724</v>
      </c>
      <c r="N214" s="29" t="n">
        <v>2681</v>
      </c>
      <c r="O214" s="29" t="n">
        <v>2537</v>
      </c>
      <c r="P214" s="29" t="n">
        <v>2493</v>
      </c>
      <c r="Q214" s="29" t="n">
        <v>2367</v>
      </c>
      <c r="R214" s="29" t="n">
        <v>2032</v>
      </c>
      <c r="S214" s="29" t="n">
        <v>1719</v>
      </c>
      <c r="T214" s="29" t="n">
        <v>1588</v>
      </c>
      <c r="U214" s="29" t="n">
        <v>1819</v>
      </c>
      <c r="V214" s="29" t="n">
        <v>20156</v>
      </c>
      <c r="W214" s="29" t="n">
        <v>19969</v>
      </c>
      <c r="X214" s="30">
        <f>SUM(E214:G214)</f>
        <v/>
      </c>
      <c r="Y214" s="30">
        <f>SUM(H214:I214)</f>
        <v/>
      </c>
      <c r="Z214" s="30">
        <f>SUM(J214:K214)</f>
        <v/>
      </c>
      <c r="AA214" s="30">
        <f>SUM(L214:M214)</f>
        <v/>
      </c>
      <c r="AB214" s="30">
        <f>SUM(N214:O214)</f>
        <v/>
      </c>
      <c r="AC214" s="30">
        <f>SUM(P214:Q214)</f>
        <v/>
      </c>
      <c r="AD214" s="30">
        <f>SUM(R214:U214)</f>
        <v/>
      </c>
      <c r="AE214" s="31">
        <f>SUM(X214:AD214)</f>
        <v/>
      </c>
      <c r="AF214" s="32">
        <f>AE214/SUM($AE$5:$AE$222)</f>
        <v/>
      </c>
      <c r="AG214" s="10">
        <f>RANK(AE214,$AE$5:$AE$222)</f>
        <v/>
      </c>
      <c r="AH214" s="29" t="n">
        <v>39329</v>
      </c>
      <c r="AI214" s="9">
        <f>IF(AH214&gt;0,AE214/AH214-1,"")</f>
        <v/>
      </c>
      <c r="AJ214" s="35" t="n"/>
      <c r="AK214" s="19">
        <f>IF(SUM($E214:E214)&gt;=AE214/2,0+5*(AE214/2-0)/E214,IF(SUM($E214:F214)&gt;=AE214/2,5+5*(AE214/2-SUM($E214:E214))/F214,IF(SUM($E214:G214)&gt;=AE214/2,10+5*(AE214/2-SUM($E214:F214))/G214,IF(SUM($E214:H214)&gt;=AE214/2,15+5*(AE214/2-SUM($E214:G214))/H214,IF(SUM($E214:I214)&gt;=AE214/2,20+5*(AE214/2-SUM($E214:H214))/I214,IF(SUM($E214:J214)&gt;=AE214/2,25+5*(AE214/2-SUM($E214:I214))/J214,IF(SUM($E214:K214)&gt;=AE214/2,30+5*(AE214/2-SUM($E214:J214))/K214,IF(SUM($E214:L214)&gt;=AE214/2,35+5*(AE214/2-SUM($E214:K214))/L214,IF(SUM($E214:M214)&gt;=AE214/2,40+5*(AE214/2-SUM($E214:L214))/M214,IF(SUM($E214:N214)&gt;=AE214/2,45+5*(AE214/2-SUM($E214:M214))/N214,IF(SUM($E214:O214)&gt;=AE214/2,50+5*(AE214/2-SUM($E214:N214))/O214,IF(SUM($E214:P214)&gt;=AE214/2,55+5*(AE214/2-SUM($E214:O214))/P214,IF(SUM($E214:Q214)&gt;=AE214/2,60+5*(AE214/2-SUM($E214:P214))/Q214,IF(SUM($E214:R214)&gt;=AE214/2,65+5*(AE214/2-SUM($E214:Q214))/R214,IF(SUM($E214:S214)&gt;=AE214/2,70+5*(AE214/2-SUM($E214:R214))/S214,IF(SUM($E214:T214)&gt;=AE214/2,75+5*(AE214/2-SUM($E214:S214))/T214,""))))))))))))))))</f>
        <v/>
      </c>
      <c r="AL214" s="30">
        <f>SUM(H214:Q214)</f>
        <v/>
      </c>
      <c r="AM214" s="36" t="n"/>
      <c r="AN214" s="36" t="n"/>
      <c r="AO214" s="33">
        <f>IF(AND(ISNUMBER(AN214),ISNUMBER(AM214)),(AN214-AM214)*100,"")</f>
        <v/>
      </c>
      <c r="AP214" s="30">
        <f>IF(ISNUMBER(AN214),AN214*AL214,"")</f>
        <v/>
      </c>
      <c r="AQ214" s="30">
        <f>IF(ISNUMBER(AN214),AL214,0)</f>
        <v/>
      </c>
      <c r="BB214" s="30">
        <f>IF(BA214="Yes",AX214,0)</f>
        <v/>
      </c>
      <c r="BC214" s="30">
        <f>IF(AND(BA214="Yes",ISNUMBER(AP214)),AP214,0)</f>
        <v/>
      </c>
      <c r="BD214" s="30">
        <f>IF(BA214="Yes",AX214,IF(ISNUMBER(AP214),AP214,0))</f>
        <v/>
      </c>
    </row>
    <row r="215">
      <c r="A215" s="6" t="inlineStr">
        <is>
          <t>VGB</t>
        </is>
      </c>
      <c r="B215" s="6" t="inlineStr">
        <is>
          <t>British Virgin Islands</t>
        </is>
      </c>
      <c r="C215" s="6" t="inlineStr">
        <is>
          <t>Latin America &amp; Caribbean</t>
        </is>
      </c>
      <c r="D215" s="6" t="inlineStr">
        <is>
          <t>High income</t>
        </is>
      </c>
      <c r="E215" s="29" t="n">
        <v>1654</v>
      </c>
      <c r="F215" s="29" t="n">
        <v>1843</v>
      </c>
      <c r="G215" s="29" t="n">
        <v>2100</v>
      </c>
      <c r="H215" s="29" t="n">
        <v>2683</v>
      </c>
      <c r="I215" s="29" t="n">
        <v>2502</v>
      </c>
      <c r="J215" s="29" t="n">
        <v>2745</v>
      </c>
      <c r="K215" s="29" t="n">
        <v>3106</v>
      </c>
      <c r="L215" s="29" t="n">
        <v>3560</v>
      </c>
      <c r="M215" s="29" t="n">
        <v>3966</v>
      </c>
      <c r="N215" s="29" t="n">
        <v>3656</v>
      </c>
      <c r="O215" s="29" t="n">
        <v>3090</v>
      </c>
      <c r="P215" s="29" t="n">
        <v>2633</v>
      </c>
      <c r="Q215" s="29" t="n">
        <v>2181</v>
      </c>
      <c r="R215" s="29" t="n">
        <v>1651</v>
      </c>
      <c r="S215" s="29" t="n">
        <v>1110</v>
      </c>
      <c r="T215" s="29" t="n">
        <v>699</v>
      </c>
      <c r="U215" s="29" t="n">
        <v>555</v>
      </c>
      <c r="V215" s="29" t="n">
        <v>20924</v>
      </c>
      <c r="W215" s="29" t="n">
        <v>18810</v>
      </c>
      <c r="X215" s="30">
        <f>SUM(E215:G215)</f>
        <v/>
      </c>
      <c r="Y215" s="30">
        <f>SUM(H215:I215)</f>
        <v/>
      </c>
      <c r="Z215" s="30">
        <f>SUM(J215:K215)</f>
        <v/>
      </c>
      <c r="AA215" s="30">
        <f>SUM(L215:M215)</f>
        <v/>
      </c>
      <c r="AB215" s="30">
        <f>SUM(N215:O215)</f>
        <v/>
      </c>
      <c r="AC215" s="30">
        <f>SUM(P215:Q215)</f>
        <v/>
      </c>
      <c r="AD215" s="30">
        <f>SUM(R215:U215)</f>
        <v/>
      </c>
      <c r="AE215" s="31">
        <f>SUM(X215:AD215)</f>
        <v/>
      </c>
      <c r="AF215" s="32">
        <f>AE215/SUM($AE$5:$AE$222)</f>
        <v/>
      </c>
      <c r="AG215" s="10">
        <f>RANK(AE215,$AE$5:$AE$222)</f>
        <v/>
      </c>
      <c r="AH215" s="29" t="n">
        <v>39471</v>
      </c>
      <c r="AI215" s="9">
        <f>IF(AH215&gt;0,AE215/AH215-1,"")</f>
        <v/>
      </c>
      <c r="AJ215" s="35" t="n"/>
      <c r="AK215" s="19">
        <f>IF(SUM($E215:E215)&gt;=AE215/2,0+5*(AE215/2-0)/E215,IF(SUM($E215:F215)&gt;=AE215/2,5+5*(AE215/2-SUM($E215:E215))/F215,IF(SUM($E215:G215)&gt;=AE215/2,10+5*(AE215/2-SUM($E215:F215))/G215,IF(SUM($E215:H215)&gt;=AE215/2,15+5*(AE215/2-SUM($E215:G215))/H215,IF(SUM($E215:I215)&gt;=AE215/2,20+5*(AE215/2-SUM($E215:H215))/I215,IF(SUM($E215:J215)&gt;=AE215/2,25+5*(AE215/2-SUM($E215:I215))/J215,IF(SUM($E215:K215)&gt;=AE215/2,30+5*(AE215/2-SUM($E215:J215))/K215,IF(SUM($E215:L215)&gt;=AE215/2,35+5*(AE215/2-SUM($E215:K215))/L215,IF(SUM($E215:M215)&gt;=AE215/2,40+5*(AE215/2-SUM($E215:L215))/M215,IF(SUM($E215:N215)&gt;=AE215/2,45+5*(AE215/2-SUM($E215:M215))/N215,IF(SUM($E215:O215)&gt;=AE215/2,50+5*(AE215/2-SUM($E215:N215))/O215,IF(SUM($E215:P215)&gt;=AE215/2,55+5*(AE215/2-SUM($E215:O215))/P215,IF(SUM($E215:Q215)&gt;=AE215/2,60+5*(AE215/2-SUM($E215:P215))/Q215,IF(SUM($E215:R215)&gt;=AE215/2,65+5*(AE215/2-SUM($E215:Q215))/R215,IF(SUM($E215:S215)&gt;=AE215/2,70+5*(AE215/2-SUM($E215:R215))/S215,IF(SUM($E215:T215)&gt;=AE215/2,75+5*(AE215/2-SUM($E215:S215))/T215,""))))))))))))))))</f>
        <v/>
      </c>
      <c r="AL215" s="30">
        <f>SUM(H215:Q215)</f>
        <v/>
      </c>
      <c r="AM215" s="36" t="n"/>
      <c r="AN215" s="36" t="n"/>
      <c r="AO215" s="33">
        <f>IF(AND(ISNUMBER(AN215),ISNUMBER(AM215)),(AN215-AM215)*100,"")</f>
        <v/>
      </c>
      <c r="AP215" s="30">
        <f>IF(ISNUMBER(AN215),AN215*AL215,"")</f>
        <v/>
      </c>
      <c r="AQ215" s="30">
        <f>IF(ISNUMBER(AN215),AL215,0)</f>
        <v/>
      </c>
      <c r="BB215" s="30">
        <f>IF(BA215="Yes",AX215,0)</f>
        <v/>
      </c>
      <c r="BC215" s="30">
        <f>IF(AND(BA215="Yes",ISNUMBER(AP215)),AP215,0)</f>
        <v/>
      </c>
      <c r="BD215" s="30">
        <f>IF(BA215="Yes",AX215,IF(ISNUMBER(AP215),AP215,0))</f>
        <v/>
      </c>
    </row>
    <row r="216">
      <c r="A216" s="6" t="inlineStr">
        <is>
          <t>MCO</t>
        </is>
      </c>
      <c r="B216" s="6" t="inlineStr">
        <is>
          <t>Monaco</t>
        </is>
      </c>
      <c r="C216" s="6" t="inlineStr">
        <is>
          <t>Europe &amp; Central Asia</t>
        </is>
      </c>
      <c r="D216" s="6" t="inlineStr">
        <is>
          <t>High income</t>
        </is>
      </c>
      <c r="E216" s="29" t="n">
        <v>1825</v>
      </c>
      <c r="F216" s="29" t="n">
        <v>1850</v>
      </c>
      <c r="G216" s="29" t="n">
        <v>1607</v>
      </c>
      <c r="H216" s="29" t="n">
        <v>1579</v>
      </c>
      <c r="I216" s="29" t="n">
        <v>1784</v>
      </c>
      <c r="J216" s="29" t="n">
        <v>1897</v>
      </c>
      <c r="K216" s="29" t="n">
        <v>1770</v>
      </c>
      <c r="L216" s="29" t="n">
        <v>1766</v>
      </c>
      <c r="M216" s="29" t="n">
        <v>1720</v>
      </c>
      <c r="N216" s="29" t="n">
        <v>1650</v>
      </c>
      <c r="O216" s="29" t="n">
        <v>1881</v>
      </c>
      <c r="P216" s="29" t="n">
        <v>2446</v>
      </c>
      <c r="Q216" s="29" t="n">
        <v>2761</v>
      </c>
      <c r="R216" s="29" t="n">
        <v>2791</v>
      </c>
      <c r="S216" s="29" t="n">
        <v>2398</v>
      </c>
      <c r="T216" s="29" t="n">
        <v>2383</v>
      </c>
      <c r="U216" s="29" t="n">
        <v>6235</v>
      </c>
      <c r="V216" s="29" t="n">
        <v>19592</v>
      </c>
      <c r="W216" s="29" t="n">
        <v>18751</v>
      </c>
      <c r="X216" s="30">
        <f>SUM(E216:G216)</f>
        <v/>
      </c>
      <c r="Y216" s="30">
        <f>SUM(H216:I216)</f>
        <v/>
      </c>
      <c r="Z216" s="30">
        <f>SUM(J216:K216)</f>
        <v/>
      </c>
      <c r="AA216" s="30">
        <f>SUM(L216:M216)</f>
        <v/>
      </c>
      <c r="AB216" s="30">
        <f>SUM(N216:O216)</f>
        <v/>
      </c>
      <c r="AC216" s="30">
        <f>SUM(P216:Q216)</f>
        <v/>
      </c>
      <c r="AD216" s="30">
        <f>SUM(R216:U216)</f>
        <v/>
      </c>
      <c r="AE216" s="31">
        <f>SUM(X216:AD216)</f>
        <v/>
      </c>
      <c r="AF216" s="32">
        <f>AE216/SUM($AE$5:$AE$222)</f>
        <v/>
      </c>
      <c r="AG216" s="10">
        <f>RANK(AE216,$AE$5:$AE$222)</f>
        <v/>
      </c>
      <c r="AH216" s="29" t="n">
        <v>38631</v>
      </c>
      <c r="AI216" s="9">
        <f>IF(AH216&gt;0,AE216/AH216-1,"")</f>
        <v/>
      </c>
      <c r="AJ216" s="29" t="n">
        <v>288002</v>
      </c>
      <c r="AK216" s="19">
        <f>IF(SUM($E216:E216)&gt;=AE216/2,0+5*(AE216/2-0)/E216,IF(SUM($E216:F216)&gt;=AE216/2,5+5*(AE216/2-SUM($E216:E216))/F216,IF(SUM($E216:G216)&gt;=AE216/2,10+5*(AE216/2-SUM($E216:F216))/G216,IF(SUM($E216:H216)&gt;=AE216/2,15+5*(AE216/2-SUM($E216:G216))/H216,IF(SUM($E216:I216)&gt;=AE216/2,20+5*(AE216/2-SUM($E216:H216))/I216,IF(SUM($E216:J216)&gt;=AE216/2,25+5*(AE216/2-SUM($E216:I216))/J216,IF(SUM($E216:K216)&gt;=AE216/2,30+5*(AE216/2-SUM($E216:J216))/K216,IF(SUM($E216:L216)&gt;=AE216/2,35+5*(AE216/2-SUM($E216:K216))/L216,IF(SUM($E216:M216)&gt;=AE216/2,40+5*(AE216/2-SUM($E216:L216))/M216,IF(SUM($E216:N216)&gt;=AE216/2,45+5*(AE216/2-SUM($E216:M216))/N216,IF(SUM($E216:O216)&gt;=AE216/2,50+5*(AE216/2-SUM($E216:N216))/O216,IF(SUM($E216:P216)&gt;=AE216/2,55+5*(AE216/2-SUM($E216:O216))/P216,IF(SUM($E216:Q216)&gt;=AE216/2,60+5*(AE216/2-SUM($E216:P216))/Q216,IF(SUM($E216:R216)&gt;=AE216/2,65+5*(AE216/2-SUM($E216:Q216))/R216,IF(SUM($E216:S216)&gt;=AE216/2,70+5*(AE216/2-SUM($E216:R216))/S216,IF(SUM($E216:T216)&gt;=AE216/2,75+5*(AE216/2-SUM($E216:S216))/T216,""))))))))))))))))</f>
        <v/>
      </c>
      <c r="AL216" s="30">
        <f>SUM(H216:Q216)</f>
        <v/>
      </c>
      <c r="AM216" s="36" t="n"/>
      <c r="AN216" s="36" t="n"/>
      <c r="AO216" s="33">
        <f>IF(AND(ISNUMBER(AN216),ISNUMBER(AM216)),(AN216-AM216)*100,"")</f>
        <v/>
      </c>
      <c r="AP216" s="30">
        <f>IF(ISNUMBER(AN216),AN216*AL216,"")</f>
        <v/>
      </c>
      <c r="AQ216" s="30">
        <f>IF(ISNUMBER(AN216),AL216,0)</f>
        <v/>
      </c>
      <c r="BB216" s="30">
        <f>IF(BA216="Yes",AX216,0)</f>
        <v/>
      </c>
      <c r="BC216" s="30">
        <f>IF(AND(BA216="Yes",ISNUMBER(AP216)),AP216,0)</f>
        <v/>
      </c>
      <c r="BD216" s="30">
        <f>IF(BA216="Yes",AX216,IF(ISNUMBER(AP216),AP216,0))</f>
        <v/>
      </c>
    </row>
    <row r="217">
      <c r="A217" s="6" t="inlineStr">
        <is>
          <t>MHL</t>
        </is>
      </c>
      <c r="B217" s="6" t="inlineStr">
        <is>
          <t>Marshall Islands</t>
        </is>
      </c>
      <c r="C217" s="6" t="inlineStr">
        <is>
          <t>East Asia &amp; Pacific</t>
        </is>
      </c>
      <c r="D217" s="6" t="inlineStr">
        <is>
          <t>Upper middle income</t>
        </is>
      </c>
      <c r="E217" s="29" t="n">
        <v>3702</v>
      </c>
      <c r="F217" s="29" t="n">
        <v>4154</v>
      </c>
      <c r="G217" s="29" t="n">
        <v>4441</v>
      </c>
      <c r="H217" s="29" t="n">
        <v>4683</v>
      </c>
      <c r="I217" s="29" t="n">
        <v>3297</v>
      </c>
      <c r="J217" s="29" t="n">
        <v>1812</v>
      </c>
      <c r="K217" s="29" t="n">
        <v>1359</v>
      </c>
      <c r="L217" s="29" t="n">
        <v>2087</v>
      </c>
      <c r="M217" s="29" t="n">
        <v>2362</v>
      </c>
      <c r="N217" s="29" t="n">
        <v>2117</v>
      </c>
      <c r="O217" s="29" t="n">
        <v>1823</v>
      </c>
      <c r="P217" s="29" t="n">
        <v>1512</v>
      </c>
      <c r="Q217" s="29" t="n">
        <v>1164</v>
      </c>
      <c r="R217" s="29" t="n">
        <v>818</v>
      </c>
      <c r="S217" s="29" t="n">
        <v>549</v>
      </c>
      <c r="T217" s="29" t="n">
        <v>269</v>
      </c>
      <c r="U217" s="29" t="n">
        <v>134</v>
      </c>
      <c r="V217" s="29" t="n">
        <v>17722</v>
      </c>
      <c r="W217" s="29" t="n">
        <v>18561</v>
      </c>
      <c r="X217" s="30">
        <f>SUM(E217:G217)</f>
        <v/>
      </c>
      <c r="Y217" s="30">
        <f>SUM(H217:I217)</f>
        <v/>
      </c>
      <c r="Z217" s="30">
        <f>SUM(J217:K217)</f>
        <v/>
      </c>
      <c r="AA217" s="30">
        <f>SUM(L217:M217)</f>
        <v/>
      </c>
      <c r="AB217" s="30">
        <f>SUM(N217:O217)</f>
        <v/>
      </c>
      <c r="AC217" s="30">
        <f>SUM(P217:Q217)</f>
        <v/>
      </c>
      <c r="AD217" s="30">
        <f>SUM(R217:U217)</f>
        <v/>
      </c>
      <c r="AE217" s="31">
        <f>SUM(X217:AD217)</f>
        <v/>
      </c>
      <c r="AF217" s="32">
        <f>AE217/SUM($AE$5:$AE$222)</f>
        <v/>
      </c>
      <c r="AG217" s="10">
        <f>RANK(AE217,$AE$5:$AE$222)</f>
        <v/>
      </c>
      <c r="AH217" s="29" t="n">
        <v>37548</v>
      </c>
      <c r="AI217" s="9">
        <f>IF(AH217&gt;0,AE217/AH217-1,"")</f>
        <v/>
      </c>
      <c r="AJ217" s="29" t="n">
        <v>8489</v>
      </c>
      <c r="AK217" s="19">
        <f>IF(SUM($E217:E217)&gt;=AE217/2,0+5*(AE217/2-0)/E217,IF(SUM($E217:F217)&gt;=AE217/2,5+5*(AE217/2-SUM($E217:E217))/F217,IF(SUM($E217:G217)&gt;=AE217/2,10+5*(AE217/2-SUM($E217:F217))/G217,IF(SUM($E217:H217)&gt;=AE217/2,15+5*(AE217/2-SUM($E217:G217))/H217,IF(SUM($E217:I217)&gt;=AE217/2,20+5*(AE217/2-SUM($E217:H217))/I217,IF(SUM($E217:J217)&gt;=AE217/2,25+5*(AE217/2-SUM($E217:I217))/J217,IF(SUM($E217:K217)&gt;=AE217/2,30+5*(AE217/2-SUM($E217:J217))/K217,IF(SUM($E217:L217)&gt;=AE217/2,35+5*(AE217/2-SUM($E217:K217))/L217,IF(SUM($E217:M217)&gt;=AE217/2,40+5*(AE217/2-SUM($E217:L217))/M217,IF(SUM($E217:N217)&gt;=AE217/2,45+5*(AE217/2-SUM($E217:M217))/N217,IF(SUM($E217:O217)&gt;=AE217/2,50+5*(AE217/2-SUM($E217:N217))/O217,IF(SUM($E217:P217)&gt;=AE217/2,55+5*(AE217/2-SUM($E217:O217))/P217,IF(SUM($E217:Q217)&gt;=AE217/2,60+5*(AE217/2-SUM($E217:P217))/Q217,IF(SUM($E217:R217)&gt;=AE217/2,65+5*(AE217/2-SUM($E217:Q217))/R217,IF(SUM($E217:S217)&gt;=AE217/2,70+5*(AE217/2-SUM($E217:R217))/S217,IF(SUM($E217:T217)&gt;=AE217/2,75+5*(AE217/2-SUM($E217:S217))/T217,""))))))))))))))))</f>
        <v/>
      </c>
      <c r="AL217" s="30">
        <f>SUM(H217:Q217)</f>
        <v/>
      </c>
      <c r="AM217" s="36" t="n"/>
      <c r="AN217" s="36" t="n"/>
      <c r="AO217" s="33">
        <f>IF(AND(ISNUMBER(AN217),ISNUMBER(AM217)),(AN217-AM217)*100,"")</f>
        <v/>
      </c>
      <c r="AP217" s="30">
        <f>IF(ISNUMBER(AN217),AN217*AL217,"")</f>
        <v/>
      </c>
      <c r="AQ217" s="30">
        <f>IF(ISNUMBER(AN217),AL217,0)</f>
        <v/>
      </c>
      <c r="BB217" s="30">
        <f>IF(BA217="Yes",AX217,0)</f>
        <v/>
      </c>
      <c r="BC217" s="30">
        <f>IF(AND(BA217="Yes",ISNUMBER(AP217)),AP217,0)</f>
        <v/>
      </c>
      <c r="BD217" s="30">
        <f>IF(BA217="Yes",AX217,IF(ISNUMBER(AP217),AP217,0))</f>
        <v/>
      </c>
    </row>
    <row r="218">
      <c r="A218" s="6" t="inlineStr">
        <is>
          <t>SMR</t>
        </is>
      </c>
      <c r="B218" s="6" t="inlineStr">
        <is>
          <t>San Marino</t>
        </is>
      </c>
      <c r="C218" s="6" t="inlineStr">
        <is>
          <t>Europe &amp; Central Asia</t>
        </is>
      </c>
      <c r="D218" s="6" t="inlineStr">
        <is>
          <t>High income</t>
        </is>
      </c>
      <c r="E218" s="29" t="n">
        <v>1076</v>
      </c>
      <c r="F218" s="29" t="n">
        <v>1308</v>
      </c>
      <c r="G218" s="29" t="n">
        <v>1657</v>
      </c>
      <c r="H218" s="29" t="n">
        <v>1779</v>
      </c>
      <c r="I218" s="29" t="n">
        <v>1797</v>
      </c>
      <c r="J218" s="29" t="n">
        <v>1740</v>
      </c>
      <c r="K218" s="29" t="n">
        <v>1618</v>
      </c>
      <c r="L218" s="29" t="n">
        <v>1701</v>
      </c>
      <c r="M218" s="29" t="n">
        <v>2048</v>
      </c>
      <c r="N218" s="29" t="n">
        <v>2574</v>
      </c>
      <c r="O218" s="29" t="n">
        <v>2938</v>
      </c>
      <c r="P218" s="29" t="n">
        <v>3110</v>
      </c>
      <c r="Q218" s="29" t="n">
        <v>2866</v>
      </c>
      <c r="R218" s="29" t="n">
        <v>2178</v>
      </c>
      <c r="S218" s="29" t="n">
        <v>1785</v>
      </c>
      <c r="T218" s="29" t="n">
        <v>1579</v>
      </c>
      <c r="U218" s="29" t="n">
        <v>2354</v>
      </c>
      <c r="V218" s="29" t="n">
        <v>17335</v>
      </c>
      <c r="W218" s="29" t="n">
        <v>16773</v>
      </c>
      <c r="X218" s="30">
        <f>SUM(E218:G218)</f>
        <v/>
      </c>
      <c r="Y218" s="30">
        <f>SUM(H218:I218)</f>
        <v/>
      </c>
      <c r="Z218" s="30">
        <f>SUM(J218:K218)</f>
        <v/>
      </c>
      <c r="AA218" s="30">
        <f>SUM(L218:M218)</f>
        <v/>
      </c>
      <c r="AB218" s="30">
        <f>SUM(N218:O218)</f>
        <v/>
      </c>
      <c r="AC218" s="30">
        <f>SUM(P218:Q218)</f>
        <v/>
      </c>
      <c r="AD218" s="30">
        <f>SUM(R218:U218)</f>
        <v/>
      </c>
      <c r="AE218" s="31">
        <f>SUM(X218:AD218)</f>
        <v/>
      </c>
      <c r="AF218" s="32">
        <f>AE218/SUM($AE$5:$AE$222)</f>
        <v/>
      </c>
      <c r="AG218" s="10">
        <f>RANK(AE218,$AE$5:$AE$222)</f>
        <v/>
      </c>
      <c r="AH218" s="29" t="n">
        <v>33977</v>
      </c>
      <c r="AI218" s="9">
        <f>IF(AH218&gt;0,AE218/AH218-1,"")</f>
        <v/>
      </c>
      <c r="AJ218" s="35" t="n"/>
      <c r="AK218" s="19">
        <f>IF(SUM($E218:E218)&gt;=AE218/2,0+5*(AE218/2-0)/E218,IF(SUM($E218:F218)&gt;=AE218/2,5+5*(AE218/2-SUM($E218:E218))/F218,IF(SUM($E218:G218)&gt;=AE218/2,10+5*(AE218/2-SUM($E218:F218))/G218,IF(SUM($E218:H218)&gt;=AE218/2,15+5*(AE218/2-SUM($E218:G218))/H218,IF(SUM($E218:I218)&gt;=AE218/2,20+5*(AE218/2-SUM($E218:H218))/I218,IF(SUM($E218:J218)&gt;=AE218/2,25+5*(AE218/2-SUM($E218:I218))/J218,IF(SUM($E218:K218)&gt;=AE218/2,30+5*(AE218/2-SUM($E218:J218))/K218,IF(SUM($E218:L218)&gt;=AE218/2,35+5*(AE218/2-SUM($E218:K218))/L218,IF(SUM($E218:M218)&gt;=AE218/2,40+5*(AE218/2-SUM($E218:L218))/M218,IF(SUM($E218:N218)&gt;=AE218/2,45+5*(AE218/2-SUM($E218:M218))/N218,IF(SUM($E218:O218)&gt;=AE218/2,50+5*(AE218/2-SUM($E218:N218))/O218,IF(SUM($E218:P218)&gt;=AE218/2,55+5*(AE218/2-SUM($E218:O218))/P218,IF(SUM($E218:Q218)&gt;=AE218/2,60+5*(AE218/2-SUM($E218:P218))/Q218,IF(SUM($E218:R218)&gt;=AE218/2,65+5*(AE218/2-SUM($E218:Q218))/R218,IF(SUM($E218:S218)&gt;=AE218/2,70+5*(AE218/2-SUM($E218:R218))/S218,IF(SUM($E218:T218)&gt;=AE218/2,75+5*(AE218/2-SUM($E218:S218))/T218,""))))))))))))))))</f>
        <v/>
      </c>
      <c r="AL218" s="30">
        <f>SUM(H218:Q218)</f>
        <v/>
      </c>
      <c r="AM218" s="36" t="n"/>
      <c r="AN218" s="36" t="n"/>
      <c r="AO218" s="33">
        <f>IF(AND(ISNUMBER(AN218),ISNUMBER(AM218)),(AN218-AM218)*100,"")</f>
        <v/>
      </c>
      <c r="AP218" s="30">
        <f>IF(ISNUMBER(AN218),AN218*AL218,"")</f>
        <v/>
      </c>
      <c r="AQ218" s="30">
        <f>IF(ISNUMBER(AN218),AL218,0)</f>
        <v/>
      </c>
      <c r="BB218" s="30">
        <f>IF(BA218="Yes",AX218,0)</f>
        <v/>
      </c>
      <c r="BC218" s="30">
        <f>IF(AND(BA218="Yes",ISNUMBER(AP218)),AP218,0)</f>
        <v/>
      </c>
      <c r="BD218" s="30">
        <f>IF(BA218="Yes",AX218,IF(ISNUMBER(AP218),AP218,0))</f>
        <v/>
      </c>
    </row>
    <row r="219">
      <c r="A219" s="6" t="inlineStr">
        <is>
          <t>MAF</t>
        </is>
      </c>
      <c r="B219" s="6" t="inlineStr">
        <is>
          <t>St. Martin (French part)</t>
        </is>
      </c>
      <c r="C219" s="6" t="inlineStr">
        <is>
          <t>Latin America &amp; Caribbean</t>
        </is>
      </c>
      <c r="D219" s="6" t="inlineStr">
        <is>
          <t>High income</t>
        </is>
      </c>
      <c r="E219" s="29" t="n">
        <v>1661</v>
      </c>
      <c r="F219" s="29" t="n">
        <v>1703</v>
      </c>
      <c r="G219" s="29" t="n">
        <v>1889</v>
      </c>
      <c r="H219" s="29" t="n">
        <v>1878</v>
      </c>
      <c r="I219" s="29" t="n">
        <v>1289</v>
      </c>
      <c r="J219" s="29" t="n">
        <v>764</v>
      </c>
      <c r="K219" s="29" t="n">
        <v>991</v>
      </c>
      <c r="L219" s="29" t="n">
        <v>1303</v>
      </c>
      <c r="M219" s="29" t="n">
        <v>1465</v>
      </c>
      <c r="N219" s="29" t="n">
        <v>1473</v>
      </c>
      <c r="O219" s="29" t="n">
        <v>1761</v>
      </c>
      <c r="P219" s="29" t="n">
        <v>1918</v>
      </c>
      <c r="Q219" s="29" t="n">
        <v>1947</v>
      </c>
      <c r="R219" s="29" t="n">
        <v>1576</v>
      </c>
      <c r="S219" s="29" t="n">
        <v>1272</v>
      </c>
      <c r="T219" s="29" t="n">
        <v>901</v>
      </c>
      <c r="U219" s="29" t="n">
        <v>1154</v>
      </c>
      <c r="V219" s="29" t="n">
        <v>13395</v>
      </c>
      <c r="W219" s="29" t="n">
        <v>11550</v>
      </c>
      <c r="X219" s="30">
        <f>SUM(E219:G219)</f>
        <v/>
      </c>
      <c r="Y219" s="30">
        <f>SUM(H219:I219)</f>
        <v/>
      </c>
      <c r="Z219" s="30">
        <f>SUM(J219:K219)</f>
        <v/>
      </c>
      <c r="AA219" s="30">
        <f>SUM(L219:M219)</f>
        <v/>
      </c>
      <c r="AB219" s="30">
        <f>SUM(N219:O219)</f>
        <v/>
      </c>
      <c r="AC219" s="30">
        <f>SUM(P219:Q219)</f>
        <v/>
      </c>
      <c r="AD219" s="30">
        <f>SUM(R219:U219)</f>
        <v/>
      </c>
      <c r="AE219" s="31">
        <f>SUM(X219:AD219)</f>
        <v/>
      </c>
      <c r="AF219" s="32">
        <f>AE219/SUM($AE$5:$AE$222)</f>
        <v/>
      </c>
      <c r="AG219" s="10">
        <f>RANK(AE219,$AE$5:$AE$222)</f>
        <v/>
      </c>
      <c r="AH219" s="29" t="n">
        <v>26129</v>
      </c>
      <c r="AI219" s="9">
        <f>IF(AH219&gt;0,AE219/AH219-1,"")</f>
        <v/>
      </c>
      <c r="AJ219" s="35" t="n"/>
      <c r="AK219" s="19">
        <f>IF(SUM($E219:E219)&gt;=AE219/2,0+5*(AE219/2-0)/E219,IF(SUM($E219:F219)&gt;=AE219/2,5+5*(AE219/2-SUM($E219:E219))/F219,IF(SUM($E219:G219)&gt;=AE219/2,10+5*(AE219/2-SUM($E219:F219))/G219,IF(SUM($E219:H219)&gt;=AE219/2,15+5*(AE219/2-SUM($E219:G219))/H219,IF(SUM($E219:I219)&gt;=AE219/2,20+5*(AE219/2-SUM($E219:H219))/I219,IF(SUM($E219:J219)&gt;=AE219/2,25+5*(AE219/2-SUM($E219:I219))/J219,IF(SUM($E219:K219)&gt;=AE219/2,30+5*(AE219/2-SUM($E219:J219))/K219,IF(SUM($E219:L219)&gt;=AE219/2,35+5*(AE219/2-SUM($E219:K219))/L219,IF(SUM($E219:M219)&gt;=AE219/2,40+5*(AE219/2-SUM($E219:L219))/M219,IF(SUM($E219:N219)&gt;=AE219/2,45+5*(AE219/2-SUM($E219:M219))/N219,IF(SUM($E219:O219)&gt;=AE219/2,50+5*(AE219/2-SUM($E219:N219))/O219,IF(SUM($E219:P219)&gt;=AE219/2,55+5*(AE219/2-SUM($E219:O219))/P219,IF(SUM($E219:Q219)&gt;=AE219/2,60+5*(AE219/2-SUM($E219:P219))/Q219,IF(SUM($E219:R219)&gt;=AE219/2,65+5*(AE219/2-SUM($E219:Q219))/R219,IF(SUM($E219:S219)&gt;=AE219/2,70+5*(AE219/2-SUM($E219:R219))/S219,IF(SUM($E219:T219)&gt;=AE219/2,75+5*(AE219/2-SUM($E219:S219))/T219,""))))))))))))))))</f>
        <v/>
      </c>
      <c r="AL219" s="30">
        <f>SUM(H219:Q219)</f>
        <v/>
      </c>
      <c r="AM219" s="36" t="n"/>
      <c r="AN219" s="36" t="n"/>
      <c r="AO219" s="33">
        <f>IF(AND(ISNUMBER(AN219),ISNUMBER(AM219)),(AN219-AM219)*100,"")</f>
        <v/>
      </c>
      <c r="AP219" s="30">
        <f>IF(ISNUMBER(AN219),AN219*AL219,"")</f>
        <v/>
      </c>
      <c r="AQ219" s="30">
        <f>IF(ISNUMBER(AN219),AL219,0)</f>
        <v/>
      </c>
      <c r="BB219" s="30">
        <f>IF(BA219="Yes",AX219,0)</f>
        <v/>
      </c>
      <c r="BC219" s="30">
        <f>IF(AND(BA219="Yes",ISNUMBER(AP219)),AP219,0)</f>
        <v/>
      </c>
      <c r="BD219" s="30">
        <f>IF(BA219="Yes",AX219,IF(ISNUMBER(AP219),AP219,0))</f>
        <v/>
      </c>
    </row>
    <row r="220">
      <c r="A220" s="6" t="inlineStr">
        <is>
          <t>PLW</t>
        </is>
      </c>
      <c r="B220" s="6" t="inlineStr">
        <is>
          <t>Palau</t>
        </is>
      </c>
      <c r="C220" s="6" t="inlineStr">
        <is>
          <t>East Asia &amp; Pacific</t>
        </is>
      </c>
      <c r="D220" s="6" t="inlineStr">
        <is>
          <t>High income</t>
        </is>
      </c>
      <c r="E220" s="29" t="n">
        <v>957</v>
      </c>
      <c r="F220" s="29" t="n">
        <v>1032</v>
      </c>
      <c r="G220" s="29" t="n">
        <v>1180</v>
      </c>
      <c r="H220" s="29" t="n">
        <v>1199</v>
      </c>
      <c r="I220" s="29" t="n">
        <v>1035</v>
      </c>
      <c r="J220" s="29" t="n">
        <v>913</v>
      </c>
      <c r="K220" s="29" t="n">
        <v>1308</v>
      </c>
      <c r="L220" s="29" t="n">
        <v>1337</v>
      </c>
      <c r="M220" s="29" t="n">
        <v>1349</v>
      </c>
      <c r="N220" s="29" t="n">
        <v>1399</v>
      </c>
      <c r="O220" s="29" t="n">
        <v>1400</v>
      </c>
      <c r="P220" s="29" t="n">
        <v>1310</v>
      </c>
      <c r="Q220" s="29" t="n">
        <v>1158</v>
      </c>
      <c r="R220" s="29" t="n">
        <v>902</v>
      </c>
      <c r="S220" s="29" t="n">
        <v>617</v>
      </c>
      <c r="T220" s="29" t="n">
        <v>325</v>
      </c>
      <c r="U220" s="29" t="n">
        <v>248</v>
      </c>
      <c r="V220" s="29" t="n">
        <v>8158</v>
      </c>
      <c r="W220" s="29" t="n">
        <v>9511</v>
      </c>
      <c r="X220" s="30">
        <f>SUM(E220:G220)</f>
        <v/>
      </c>
      <c r="Y220" s="30">
        <f>SUM(H220:I220)</f>
        <v/>
      </c>
      <c r="Z220" s="30">
        <f>SUM(J220:K220)</f>
        <v/>
      </c>
      <c r="AA220" s="30">
        <f>SUM(L220:M220)</f>
        <v/>
      </c>
      <c r="AB220" s="30">
        <f>SUM(N220:O220)</f>
        <v/>
      </c>
      <c r="AC220" s="30">
        <f>SUM(P220:Q220)</f>
        <v/>
      </c>
      <c r="AD220" s="30">
        <f>SUM(R220:U220)</f>
        <v/>
      </c>
      <c r="AE220" s="31">
        <f>SUM(X220:AD220)</f>
        <v/>
      </c>
      <c r="AF220" s="32">
        <f>AE220/SUM($AE$5:$AE$222)</f>
        <v/>
      </c>
      <c r="AG220" s="10">
        <f>RANK(AE220,$AE$5:$AE$222)</f>
        <v/>
      </c>
      <c r="AH220" s="29" t="n">
        <v>17695</v>
      </c>
      <c r="AI220" s="9">
        <f>IF(AH220&gt;0,AE220/AH220-1,"")</f>
        <v/>
      </c>
      <c r="AJ220" s="29" t="n">
        <v>19532</v>
      </c>
      <c r="AK220" s="19">
        <f>IF(SUM($E220:E220)&gt;=AE220/2,0+5*(AE220/2-0)/E220,IF(SUM($E220:F220)&gt;=AE220/2,5+5*(AE220/2-SUM($E220:E220))/F220,IF(SUM($E220:G220)&gt;=AE220/2,10+5*(AE220/2-SUM($E220:F220))/G220,IF(SUM($E220:H220)&gt;=AE220/2,15+5*(AE220/2-SUM($E220:G220))/H220,IF(SUM($E220:I220)&gt;=AE220/2,20+5*(AE220/2-SUM($E220:H220))/I220,IF(SUM($E220:J220)&gt;=AE220/2,25+5*(AE220/2-SUM($E220:I220))/J220,IF(SUM($E220:K220)&gt;=AE220/2,30+5*(AE220/2-SUM($E220:J220))/K220,IF(SUM($E220:L220)&gt;=AE220/2,35+5*(AE220/2-SUM($E220:K220))/L220,IF(SUM($E220:M220)&gt;=AE220/2,40+5*(AE220/2-SUM($E220:L220))/M220,IF(SUM($E220:N220)&gt;=AE220/2,45+5*(AE220/2-SUM($E220:M220))/N220,IF(SUM($E220:O220)&gt;=AE220/2,50+5*(AE220/2-SUM($E220:N220))/O220,IF(SUM($E220:P220)&gt;=AE220/2,55+5*(AE220/2-SUM($E220:O220))/P220,IF(SUM($E220:Q220)&gt;=AE220/2,60+5*(AE220/2-SUM($E220:P220))/Q220,IF(SUM($E220:R220)&gt;=AE220/2,65+5*(AE220/2-SUM($E220:Q220))/R220,IF(SUM($E220:S220)&gt;=AE220/2,70+5*(AE220/2-SUM($E220:R220))/S220,IF(SUM($E220:T220)&gt;=AE220/2,75+5*(AE220/2-SUM($E220:S220))/T220,""))))))))))))))))</f>
        <v/>
      </c>
      <c r="AL220" s="30">
        <f>SUM(H220:Q220)</f>
        <v/>
      </c>
      <c r="AM220" s="36" t="n"/>
      <c r="AN220" s="36" t="n"/>
      <c r="AO220" s="33">
        <f>IF(AND(ISNUMBER(AN220),ISNUMBER(AM220)),(AN220-AM220)*100,"")</f>
        <v/>
      </c>
      <c r="AP220" s="30">
        <f>IF(ISNUMBER(AN220),AN220*AL220,"")</f>
        <v/>
      </c>
      <c r="AQ220" s="30">
        <f>IF(ISNUMBER(AN220),AL220,0)</f>
        <v/>
      </c>
      <c r="BB220" s="30">
        <f>IF(BA220="Yes",AX220,0)</f>
        <v/>
      </c>
      <c r="BC220" s="30">
        <f>IF(AND(BA220="Yes",ISNUMBER(AP220)),AP220,0)</f>
        <v/>
      </c>
      <c r="BD220" s="30">
        <f>IF(BA220="Yes",AX220,IF(ISNUMBER(AP220),AP220,0))</f>
        <v/>
      </c>
    </row>
    <row r="221">
      <c r="A221" s="6" t="inlineStr">
        <is>
          <t>NRU</t>
        </is>
      </c>
      <c r="B221" s="6" t="inlineStr">
        <is>
          <t>Naoero</t>
        </is>
      </c>
      <c r="C221" s="6" t="inlineStr">
        <is>
          <t>East Asia &amp; Pacific</t>
        </is>
      </c>
      <c r="D221" s="6" t="inlineStr">
        <is>
          <t>High income</t>
        </is>
      </c>
      <c r="E221" s="29" t="n">
        <v>1462</v>
      </c>
      <c r="F221" s="29" t="n">
        <v>1459</v>
      </c>
      <c r="G221" s="29" t="n">
        <v>1547</v>
      </c>
      <c r="H221" s="29" t="n">
        <v>1303</v>
      </c>
      <c r="I221" s="29" t="n">
        <v>897</v>
      </c>
      <c r="J221" s="29" t="n">
        <v>829</v>
      </c>
      <c r="K221" s="29" t="n">
        <v>869</v>
      </c>
      <c r="L221" s="29" t="n">
        <v>900</v>
      </c>
      <c r="M221" s="29" t="n">
        <v>805</v>
      </c>
      <c r="N221" s="29" t="n">
        <v>566</v>
      </c>
      <c r="O221" s="29" t="n">
        <v>398</v>
      </c>
      <c r="P221" s="29" t="n">
        <v>343</v>
      </c>
      <c r="Q221" s="29" t="n">
        <v>283</v>
      </c>
      <c r="R221" s="29" t="n">
        <v>200</v>
      </c>
      <c r="S221" s="29" t="n">
        <v>106</v>
      </c>
      <c r="T221" s="29" t="n">
        <v>44</v>
      </c>
      <c r="U221" s="29" t="n">
        <v>12</v>
      </c>
      <c r="V221" s="29" t="n">
        <v>5908</v>
      </c>
      <c r="W221" s="29" t="n">
        <v>6115</v>
      </c>
      <c r="X221" s="30">
        <f>SUM(E221:G221)</f>
        <v/>
      </c>
      <c r="Y221" s="30">
        <f>SUM(H221:I221)</f>
        <v/>
      </c>
      <c r="Z221" s="30">
        <f>SUM(J221:K221)</f>
        <v/>
      </c>
      <c r="AA221" s="30">
        <f>SUM(L221:M221)</f>
        <v/>
      </c>
      <c r="AB221" s="30">
        <f>SUM(N221:O221)</f>
        <v/>
      </c>
      <c r="AC221" s="30">
        <f>SUM(P221:Q221)</f>
        <v/>
      </c>
      <c r="AD221" s="30">
        <f>SUM(R221:U221)</f>
        <v/>
      </c>
      <c r="AE221" s="31">
        <f>SUM(X221:AD221)</f>
        <v/>
      </c>
      <c r="AF221" s="32">
        <f>AE221/SUM($AE$5:$AE$222)</f>
        <v/>
      </c>
      <c r="AG221" s="10">
        <f>RANK(AE221,$AE$5:$AE$222)</f>
        <v/>
      </c>
      <c r="AH221" s="29" t="n">
        <v>11947</v>
      </c>
      <c r="AI221" s="9">
        <f>IF(AH221&gt;0,AE221/AH221-1,"")</f>
        <v/>
      </c>
      <c r="AJ221" s="29" t="n">
        <v>14640</v>
      </c>
      <c r="AK221" s="19">
        <f>IF(SUM($E221:E221)&gt;=AE221/2,0+5*(AE221/2-0)/E221,IF(SUM($E221:F221)&gt;=AE221/2,5+5*(AE221/2-SUM($E221:E221))/F221,IF(SUM($E221:G221)&gt;=AE221/2,10+5*(AE221/2-SUM($E221:F221))/G221,IF(SUM($E221:H221)&gt;=AE221/2,15+5*(AE221/2-SUM($E221:G221))/H221,IF(SUM($E221:I221)&gt;=AE221/2,20+5*(AE221/2-SUM($E221:H221))/I221,IF(SUM($E221:J221)&gt;=AE221/2,25+5*(AE221/2-SUM($E221:I221))/J221,IF(SUM($E221:K221)&gt;=AE221/2,30+5*(AE221/2-SUM($E221:J221))/K221,IF(SUM($E221:L221)&gt;=AE221/2,35+5*(AE221/2-SUM($E221:K221))/L221,IF(SUM($E221:M221)&gt;=AE221/2,40+5*(AE221/2-SUM($E221:L221))/M221,IF(SUM($E221:N221)&gt;=AE221/2,45+5*(AE221/2-SUM($E221:M221))/N221,IF(SUM($E221:O221)&gt;=AE221/2,50+5*(AE221/2-SUM($E221:N221))/O221,IF(SUM($E221:P221)&gt;=AE221/2,55+5*(AE221/2-SUM($E221:O221))/P221,IF(SUM($E221:Q221)&gt;=AE221/2,60+5*(AE221/2-SUM($E221:P221))/Q221,IF(SUM($E221:R221)&gt;=AE221/2,65+5*(AE221/2-SUM($E221:Q221))/R221,IF(SUM($E221:S221)&gt;=AE221/2,70+5*(AE221/2-SUM($E221:R221))/S221,IF(SUM($E221:T221)&gt;=AE221/2,75+5*(AE221/2-SUM($E221:S221))/T221,""))))))))))))))))</f>
        <v/>
      </c>
      <c r="AL221" s="30">
        <f>SUM(H221:Q221)</f>
        <v/>
      </c>
      <c r="AM221" s="36" t="n"/>
      <c r="AN221" s="36" t="n"/>
      <c r="AO221" s="33">
        <f>IF(AND(ISNUMBER(AN221),ISNUMBER(AM221)),(AN221-AM221)*100,"")</f>
        <v/>
      </c>
      <c r="AP221" s="30">
        <f>IF(ISNUMBER(AN221),AN221*AL221,"")</f>
        <v/>
      </c>
      <c r="AQ221" s="30">
        <f>IF(ISNUMBER(AN221),AL221,0)</f>
        <v/>
      </c>
      <c r="BB221" s="30">
        <f>IF(BA221="Yes",AX221,0)</f>
        <v/>
      </c>
      <c r="BC221" s="30">
        <f>IF(AND(BA221="Yes",ISNUMBER(AP221)),AP221,0)</f>
        <v/>
      </c>
      <c r="BD221" s="30">
        <f>IF(BA221="Yes",AX221,IF(ISNUMBER(AP221),AP221,0))</f>
        <v/>
      </c>
    </row>
    <row r="222">
      <c r="A222" s="6" t="inlineStr">
        <is>
          <t>TUV</t>
        </is>
      </c>
      <c r="B222" s="6" t="inlineStr">
        <is>
          <t>Tuvalu</t>
        </is>
      </c>
      <c r="C222" s="6" t="inlineStr">
        <is>
          <t>East Asia &amp; Pacific</t>
        </is>
      </c>
      <c r="D222" s="6" t="inlineStr">
        <is>
          <t>Upper middle income</t>
        </is>
      </c>
      <c r="E222" s="29" t="n">
        <v>1021</v>
      </c>
      <c r="F222" s="29" t="n">
        <v>1090</v>
      </c>
      <c r="G222" s="29" t="n">
        <v>1023</v>
      </c>
      <c r="H222" s="29" t="n">
        <v>860</v>
      </c>
      <c r="I222" s="29" t="n">
        <v>724</v>
      </c>
      <c r="J222" s="29" t="n">
        <v>691</v>
      </c>
      <c r="K222" s="29" t="n">
        <v>643</v>
      </c>
      <c r="L222" s="29" t="n">
        <v>544</v>
      </c>
      <c r="M222" s="29" t="n">
        <v>423</v>
      </c>
      <c r="N222" s="29" t="n">
        <v>403</v>
      </c>
      <c r="O222" s="29" t="n">
        <v>452</v>
      </c>
      <c r="P222" s="29" t="n">
        <v>523</v>
      </c>
      <c r="Q222" s="29" t="n">
        <v>427</v>
      </c>
      <c r="R222" s="29" t="n">
        <v>298</v>
      </c>
      <c r="S222" s="29" t="n">
        <v>159</v>
      </c>
      <c r="T222" s="29" t="n">
        <v>112</v>
      </c>
      <c r="U222" s="29" t="n">
        <v>98</v>
      </c>
      <c r="V222" s="29" t="n">
        <v>4632</v>
      </c>
      <c r="W222" s="29" t="n">
        <v>4859</v>
      </c>
      <c r="X222" s="30">
        <f>SUM(E222:G222)</f>
        <v/>
      </c>
      <c r="Y222" s="30">
        <f>SUM(H222:I222)</f>
        <v/>
      </c>
      <c r="Z222" s="30">
        <f>SUM(J222:K222)</f>
        <v/>
      </c>
      <c r="AA222" s="30">
        <f>SUM(L222:M222)</f>
        <v/>
      </c>
      <c r="AB222" s="30">
        <f>SUM(N222:O222)</f>
        <v/>
      </c>
      <c r="AC222" s="30">
        <f>SUM(P222:Q222)</f>
        <v/>
      </c>
      <c r="AD222" s="30">
        <f>SUM(R222:U222)</f>
        <v/>
      </c>
      <c r="AE222" s="31">
        <f>SUM(X222:AD222)</f>
        <v/>
      </c>
      <c r="AF222" s="32">
        <f>AE222/SUM($AE$5:$AE$222)</f>
        <v/>
      </c>
      <c r="AG222" s="10">
        <f>RANK(AE222,$AE$5:$AE$222)</f>
        <v/>
      </c>
      <c r="AH222" s="29" t="n">
        <v>9646</v>
      </c>
      <c r="AI222" s="9">
        <f>IF(AH222&gt;0,AE222/AH222-1,"")</f>
        <v/>
      </c>
      <c r="AJ222" s="29" t="n">
        <v>6041</v>
      </c>
      <c r="AK222" s="19">
        <f>IF(SUM($E222:E222)&gt;=AE222/2,0+5*(AE222/2-0)/E222,IF(SUM($E222:F222)&gt;=AE222/2,5+5*(AE222/2-SUM($E222:E222))/F222,IF(SUM($E222:G222)&gt;=AE222/2,10+5*(AE222/2-SUM($E222:F222))/G222,IF(SUM($E222:H222)&gt;=AE222/2,15+5*(AE222/2-SUM($E222:G222))/H222,IF(SUM($E222:I222)&gt;=AE222/2,20+5*(AE222/2-SUM($E222:H222))/I222,IF(SUM($E222:J222)&gt;=AE222/2,25+5*(AE222/2-SUM($E222:I222))/J222,IF(SUM($E222:K222)&gt;=AE222/2,30+5*(AE222/2-SUM($E222:J222))/K222,IF(SUM($E222:L222)&gt;=AE222/2,35+5*(AE222/2-SUM($E222:K222))/L222,IF(SUM($E222:M222)&gt;=AE222/2,40+5*(AE222/2-SUM($E222:L222))/M222,IF(SUM($E222:N222)&gt;=AE222/2,45+5*(AE222/2-SUM($E222:M222))/N222,IF(SUM($E222:O222)&gt;=AE222/2,50+5*(AE222/2-SUM($E222:N222))/O222,IF(SUM($E222:P222)&gt;=AE222/2,55+5*(AE222/2-SUM($E222:O222))/P222,IF(SUM($E222:Q222)&gt;=AE222/2,60+5*(AE222/2-SUM($E222:P222))/Q222,IF(SUM($E222:R222)&gt;=AE222/2,65+5*(AE222/2-SUM($E222:Q222))/R222,IF(SUM($E222:S222)&gt;=AE222/2,70+5*(AE222/2-SUM($E222:R222))/S222,IF(SUM($E222:T222)&gt;=AE222/2,75+5*(AE222/2-SUM($E222:S222))/T222,""))))))))))))))))</f>
        <v/>
      </c>
      <c r="AL222" s="30">
        <f>SUM(H222:Q222)</f>
        <v/>
      </c>
      <c r="AM222" s="36" t="n"/>
      <c r="AN222" s="36" t="n"/>
      <c r="AO222" s="33">
        <f>IF(AND(ISNUMBER(AN222),ISNUMBER(AM222)),(AN222-AM222)*100,"")</f>
        <v/>
      </c>
      <c r="AP222" s="30">
        <f>IF(ISNUMBER(AN222),AN222*AL222,"")</f>
        <v/>
      </c>
      <c r="AQ222" s="30">
        <f>IF(ISNUMBER(AN222),AL222,0)</f>
        <v/>
      </c>
      <c r="BB222" s="30">
        <f>IF(BA222="Yes",AX222,0)</f>
        <v/>
      </c>
      <c r="BC222" s="30">
        <f>IF(AND(BA222="Yes",ISNUMBER(AP222)),AP222,0)</f>
        <v/>
      </c>
      <c r="BD222" s="30">
        <f>IF(BA222="Yes",AX222,IF(ISNUMBER(AP222),AP222,0))</f>
        <v/>
      </c>
    </row>
    <row r="223">
      <c r="A223" s="17" t="n"/>
      <c r="B223" s="14" t="inlineStr">
        <is>
          <t>World (sum of above)</t>
        </is>
      </c>
      <c r="C223" s="17" t="n"/>
      <c r="D223" s="17" t="n"/>
      <c r="E223" s="37">
        <f>SUM(E5:E222)</f>
        <v/>
      </c>
      <c r="F223" s="37">
        <f>SUM(F5:F222)</f>
        <v/>
      </c>
      <c r="G223" s="37">
        <f>SUM(G5:G222)</f>
        <v/>
      </c>
      <c r="H223" s="37">
        <f>SUM(H5:H222)</f>
        <v/>
      </c>
      <c r="I223" s="37">
        <f>SUM(I5:I222)</f>
        <v/>
      </c>
      <c r="J223" s="37">
        <f>SUM(J5:J222)</f>
        <v/>
      </c>
      <c r="K223" s="37">
        <f>SUM(K5:K222)</f>
        <v/>
      </c>
      <c r="L223" s="37">
        <f>SUM(L5:L222)</f>
        <v/>
      </c>
      <c r="M223" s="37">
        <f>SUM(M5:M222)</f>
        <v/>
      </c>
      <c r="N223" s="37">
        <f>SUM(N5:N222)</f>
        <v/>
      </c>
      <c r="O223" s="37">
        <f>SUM(O5:O222)</f>
        <v/>
      </c>
      <c r="P223" s="37">
        <f>SUM(P5:P222)</f>
        <v/>
      </c>
      <c r="Q223" s="37">
        <f>SUM(Q5:Q222)</f>
        <v/>
      </c>
      <c r="R223" s="37">
        <f>SUM(R5:R222)</f>
        <v/>
      </c>
      <c r="S223" s="37">
        <f>SUM(S5:S222)</f>
        <v/>
      </c>
      <c r="T223" s="37">
        <f>SUM(T5:T222)</f>
        <v/>
      </c>
      <c r="U223" s="37">
        <f>SUM(U5:U222)</f>
        <v/>
      </c>
      <c r="V223" s="37">
        <f>SUM(V5:V222)</f>
        <v/>
      </c>
      <c r="W223" s="37">
        <f>SUM(W5:W222)</f>
        <v/>
      </c>
      <c r="X223" s="37">
        <f>SUM(X5:X222)</f>
        <v/>
      </c>
      <c r="Y223" s="37">
        <f>SUM(Y5:Y222)</f>
        <v/>
      </c>
      <c r="Z223" s="37">
        <f>SUM(Z5:Z222)</f>
        <v/>
      </c>
      <c r="AA223" s="37">
        <f>SUM(AA5:AA222)</f>
        <v/>
      </c>
      <c r="AB223" s="37">
        <f>SUM(AB5:AB222)</f>
        <v/>
      </c>
      <c r="AC223" s="37">
        <f>SUM(AC5:AC222)</f>
        <v/>
      </c>
      <c r="AD223" s="37">
        <f>SUM(AD5:AD222)</f>
        <v/>
      </c>
      <c r="AE223" s="37">
        <f>SUM(AE5:AE222)</f>
        <v/>
      </c>
      <c r="AF223" s="17" t="n"/>
      <c r="AG223" s="17" t="n"/>
      <c r="AH223" s="37">
        <f>SUM(AH5:AH222)</f>
        <v/>
      </c>
      <c r="AI223" s="16">
        <f>AE223/AH223-1</f>
        <v/>
      </c>
      <c r="AJ223" s="17" t="n"/>
      <c r="AK223" s="17" t="n"/>
      <c r="AL223" s="37">
        <f>SUM(AL5:AL222)</f>
        <v/>
      </c>
      <c r="AM223" s="17" t="n"/>
      <c r="AN223" s="38">
        <f>AP223/AQ223</f>
        <v/>
      </c>
      <c r="AO223" s="17" t="n"/>
      <c r="AP223" s="37">
        <f>SUM(AP5:AP222)</f>
        <v/>
      </c>
      <c r="AQ223" s="37">
        <f>SUM(AQ5:AQ222)</f>
        <v/>
      </c>
      <c r="AR223" s="17" t="n"/>
      <c r="AS223" s="17" t="n"/>
      <c r="AT223" s="17" t="n"/>
      <c r="AU223" s="17" t="n"/>
      <c r="AV223" s="17" t="n"/>
      <c r="AW223" s="17" t="n"/>
      <c r="AX223" s="17" t="n"/>
      <c r="AY223" s="17" t="n"/>
      <c r="AZ223" s="17" t="n"/>
      <c r="BA223" s="17" t="n"/>
      <c r="BB223" s="37">
        <f>SUM(BB5:BB222)</f>
        <v/>
      </c>
      <c r="BC223" s="37">
        <f>SUM(BC5:BC222)</f>
        <v/>
      </c>
      <c r="BD223" s="37">
        <f>SUM(BD5:BD222)</f>
        <v/>
      </c>
      <c r="BE223" s="17" t="n"/>
      <c r="BF223" s="17" t="n"/>
      <c r="BG223" s="17" t="n"/>
      <c r="BH223" s="17" t="n"/>
    </row>
    <row r="224">
      <c r="B224" s="2" t="inlineStr">
        <is>
          <t>Check vs World Bank WLD 2025 (SP.POP.TOTL)</t>
        </is>
      </c>
      <c r="AE224" s="29" t="n">
        <v>8215424893</v>
      </c>
    </row>
    <row r="225">
      <c r="B225" s="2" t="inlineStr">
        <is>
          <t>Difference (rounding only)</t>
        </is>
      </c>
      <c r="AE225" s="30">
        <f>AE223-AE224</f>
        <v/>
      </c>
    </row>
  </sheetData>
  <autoFilter ref="A4:BH222"/>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16"/>
  <sheetViews>
    <sheetView showGridLines="0" workbookViewId="0">
      <selection activeCell="A1" sqref="A1"/>
    </sheetView>
  </sheetViews>
  <sheetFormatPr baseColWidth="8" defaultRowHeight="15"/>
  <cols>
    <col width="140" customWidth="1" min="1" max="1"/>
  </cols>
  <sheetData>
    <row r="1">
      <c r="A1" s="39" t="inlineStr">
        <is>
          <t>Global population 2025 — sources &amp; definitions</t>
        </is>
      </c>
    </row>
    <row r="2">
      <c r="A2" s="40" t="inlineStr"/>
    </row>
    <row r="3">
      <c r="A3" s="40" t="inlineStr">
        <is>
          <t>Population: World Bank World Development Indicators, SP.POP.TOTL and SP.POP.&lt;age&gt;.&lt;FE|MA&gt; (5-year bins 0-4 … 80+), year 2025. Age-bin series last updated 2026-07-01; totals 2026-10-08. WB population estimates are based on UN World Population Prospects.</t>
        </is>
      </c>
    </row>
    <row r="4">
      <c r="A4" s="40" t="inlineStr">
        <is>
          <t>API: https://api.worldbank.org/v2/country/all/indicator/SP.POP.0004.FE?format=json&amp;date=2020:2025 (and the other bins); fetch_wb.py re-pulls.</t>
        </is>
      </c>
    </row>
    <row r="5">
      <c r="A5" s="40" t="inlineStr">
        <is>
          <t>Income level: World Bank FY2027 classification (GNI per capita, Atlas method): High / Upper middle / Lower middle / Low income. Taken from the WB country API (incomeLevel).</t>
        </is>
      </c>
    </row>
    <row r="6">
      <c r="A6" s="40" t="inlineStr">
        <is>
          <t>Region: World Bank regions. Note the WB now uses "Middle East, North Africa, Afghanistan &amp; Pakistan" — Afghanistan and Pakistan sit there, NOT in South Asia (South Asia = India, Bangladesh, Sri Lanka, Nepal, Bhutan, Maldives).</t>
        </is>
      </c>
    </row>
    <row r="7">
      <c r="A7" s="40" t="inlineStr">
        <is>
          <t>Taiwan: the World Bank includes Taiwan in its World aggregate but does not publish it as an economy. Its row is the residual World minus the 217 listed economies, per age bin and sex (23.3M; age profile matches Taiwan MOI data). Classed High income, East Asia &amp; Pacific.</t>
        </is>
      </c>
    </row>
    <row r="8">
      <c r="A8" s="40" t="inlineStr">
        <is>
          <t>Median age: estimated by linear interpolation within the 5-year bin containing the 50th percentile (typically within ~1 yr of UN-published medians, e.g. Japan 50.8 vs UN ~49.9).</t>
        </is>
      </c>
    </row>
    <row r="9">
      <c r="A9" s="40" t="inlineStr">
        <is>
          <t>Countries sheet values are in people; Summary and Age pyramid are in millions. GDP per capita = NY.GDP.PCAP.CD, current US$, latest of 2025/2024.</t>
        </is>
      </c>
    </row>
    <row r="10">
      <c r="A10" s="40" t="inlineStr">
        <is>
          <t>AI adoption: Microsoft AI Economy Institute, AI Diffusion Report, Q2 2026 update. "AI user share" = share of people aged 15-64 who used a generative AI product in the period, from aggregated, anonymised Microsoft telemetry adjusted for OS/device market share, internet penetration and population. 146 economies (98.6% of the world's 15-64s); the rest are left blank, not imputed. Data: https://raw.githubusercontent.com/microsoft/ai-diffusion-report/main/data/AI_Diffusion_Q22026_Update.csv</t>
        </is>
      </c>
    </row>
    <row r="11">
      <c r="A11" s="40" t="inlineStr">
        <is>
          <t>AI users = AI user share x World Bank 2025 population aged 15-64 (people outside 15-64 are not counted). Summed this way the measured economies give ~0.99B users, within 2% of Microsoft's own global figure (18.8% x WB 15-64 population = 1.01B).</t>
        </is>
      </c>
    </row>
    <row r="12">
      <c r="A12" s="40" t="inlineStr">
        <is>
          <t>China: Microsoft says its telemetry undercounts China and expects a larger upward revision there. The official CNNIC figure is over 700M generative-AI users in H1 2026 (Generative AI Application Development Report 2026) and 602M in Dec 2025 (57th Statistical Report, 42.8% penetration), all ages. Summary section 6c shows the world total both ways.</t>
        </is>
      </c>
    </row>
    <row r="13">
      <c r="A13" s="40" t="inlineStr">
        <is>
          <t>National sources (Countries sheet, columns from "National source"): Eurostat isoc_ai_iaiu 2025 for 35 European countries (share of 16-74s who used generative AI tools in the last 3 months), plus one hand-checked source per economy elsewhere: CNNIC (China), Ofcom (UK), Federal Reserve Bank of St. Louis (US), CETIC.br (Brazil), MIC (Japan), MSIT/NIA (Korea), TWNIC (Taiwan), ANRT (Morocco), and others. Each row gives the measure, period, publisher and URL; a cell comment on the share holds caveats and the quoted figure.</t>
        </is>
      </c>
    </row>
    <row r="14">
      <c r="A14" s="40" t="inlineStr">
        <is>
          <t>Tiers: A = official statistics (statistics office, ministry, regulator, official national body); B = central bank or public university/research institute; C = reputable independent survey (e.g. Gallup World Poll, run with Microsoft). Only A and B count in totals.</t>
        </is>
      </c>
    </row>
    <row r="15">
      <c r="A15" s="40" t="inlineStr">
        <is>
          <t>National figures are not comparable with each other or with Microsoft: they differ in age range, time window (last 3 months, past year, ever) and base (all people vs internet users). Treat the national-vs-Microsoft ratio as a range check, not a precise adjustment.</t>
        </is>
      </c>
    </row>
    <row r="16">
      <c r="A16" s="40" t="inlineStr">
        <is>
          <t>Colour code: blue = hardcoded input (World Bank, Microsoft, national sources), black = formula, green = cross-sheet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2026-10-22T23:03:40Z</dcterms:created>
  <dcterms:modified xmlns:dcterms="http://purl.org/dc/terms/" xmlns:xsi="http://www.w3.org/2001/XMLSchema-instance" xsi:type="dcterms:W3CDTF">2026-10-22T23:03:40Z</dcterms:modified>
</cp:coreProperties>
</file>